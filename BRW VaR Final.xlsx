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SE\SEM 3\Financial Analytics and Big Data\Term Paper\Presentation\"/>
    </mc:Choice>
  </mc:AlternateContent>
  <xr:revisionPtr revIDLastSave="0" documentId="13_ncr:1_{F2191C72-09F0-4D3A-8101-C4C1D1626A10}" xr6:coauthVersionLast="47" xr6:coauthVersionMax="47" xr10:uidLastSave="{00000000-0000-0000-0000-000000000000}"/>
  <bookViews>
    <workbookView xWindow="-120" yWindow="-120" windowWidth="20730" windowHeight="11760" activeTab="2" xr2:uid="{A65009F6-4321-446D-A45A-5FB25324D519}"/>
  </bookViews>
  <sheets>
    <sheet name="NBES Historical Data" sheetId="1" r:id="rId1"/>
    <sheet name="BRW VaR @ NBES" sheetId="4" r:id="rId2"/>
    <sheet name="BRW VaR @ NBES (2)" sheetId="6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6" l="1"/>
  <c r="H3" i="6"/>
  <c r="G3" i="6"/>
  <c r="Q963" i="6"/>
  <c r="Q962" i="6"/>
  <c r="G962" i="6"/>
  <c r="Q961" i="6"/>
  <c r="G961" i="6"/>
  <c r="Q960" i="6"/>
  <c r="G960" i="6"/>
  <c r="Q959" i="6"/>
  <c r="G959" i="6"/>
  <c r="Q958" i="6"/>
  <c r="G958" i="6"/>
  <c r="Q957" i="6"/>
  <c r="G957" i="6"/>
  <c r="Q956" i="6"/>
  <c r="G956" i="6"/>
  <c r="Q955" i="6"/>
  <c r="G955" i="6"/>
  <c r="Q954" i="6"/>
  <c r="G954" i="6"/>
  <c r="Q953" i="6"/>
  <c r="G953" i="6"/>
  <c r="Q952" i="6"/>
  <c r="G952" i="6"/>
  <c r="Q951" i="6"/>
  <c r="G951" i="6"/>
  <c r="Q950" i="6"/>
  <c r="G950" i="6"/>
  <c r="Q949" i="6"/>
  <c r="G949" i="6"/>
  <c r="Q948" i="6"/>
  <c r="G948" i="6"/>
  <c r="Q947" i="6"/>
  <c r="G947" i="6"/>
  <c r="Q946" i="6"/>
  <c r="G946" i="6"/>
  <c r="Q945" i="6"/>
  <c r="G945" i="6"/>
  <c r="Q944" i="6"/>
  <c r="G944" i="6"/>
  <c r="Q943" i="6"/>
  <c r="G943" i="6"/>
  <c r="Q942" i="6"/>
  <c r="G942" i="6"/>
  <c r="Q941" i="6"/>
  <c r="G941" i="6"/>
  <c r="Q940" i="6"/>
  <c r="G940" i="6"/>
  <c r="Q939" i="6"/>
  <c r="G939" i="6"/>
  <c r="Q938" i="6"/>
  <c r="G938" i="6"/>
  <c r="Q937" i="6"/>
  <c r="G937" i="6"/>
  <c r="Q936" i="6"/>
  <c r="G936" i="6"/>
  <c r="Q935" i="6"/>
  <c r="G935" i="6"/>
  <c r="Q934" i="6"/>
  <c r="G934" i="6"/>
  <c r="Q933" i="6"/>
  <c r="G933" i="6"/>
  <c r="Q932" i="6"/>
  <c r="G932" i="6"/>
  <c r="Q931" i="6"/>
  <c r="G931" i="6"/>
  <c r="Q930" i="6"/>
  <c r="G930" i="6"/>
  <c r="Q929" i="6"/>
  <c r="G929" i="6"/>
  <c r="Q928" i="6"/>
  <c r="G928" i="6"/>
  <c r="Q927" i="6"/>
  <c r="G927" i="6"/>
  <c r="Q926" i="6"/>
  <c r="G926" i="6"/>
  <c r="Q925" i="6"/>
  <c r="G925" i="6"/>
  <c r="Q924" i="6"/>
  <c r="G924" i="6"/>
  <c r="Q923" i="6"/>
  <c r="G923" i="6"/>
  <c r="Q922" i="6"/>
  <c r="G922" i="6"/>
  <c r="Q921" i="6"/>
  <c r="G921" i="6"/>
  <c r="Q920" i="6"/>
  <c r="G920" i="6"/>
  <c r="Q919" i="6"/>
  <c r="G919" i="6"/>
  <c r="Q918" i="6"/>
  <c r="G918" i="6"/>
  <c r="Q917" i="6"/>
  <c r="G917" i="6"/>
  <c r="Q916" i="6"/>
  <c r="G916" i="6"/>
  <c r="Q915" i="6"/>
  <c r="G915" i="6"/>
  <c r="Q914" i="6"/>
  <c r="G914" i="6"/>
  <c r="Q913" i="6"/>
  <c r="G913" i="6"/>
  <c r="Q912" i="6"/>
  <c r="G912" i="6"/>
  <c r="Q911" i="6"/>
  <c r="G911" i="6"/>
  <c r="Q910" i="6"/>
  <c r="G910" i="6"/>
  <c r="Q909" i="6"/>
  <c r="G909" i="6"/>
  <c r="Q908" i="6"/>
  <c r="G908" i="6"/>
  <c r="Q907" i="6"/>
  <c r="G907" i="6"/>
  <c r="Q906" i="6"/>
  <c r="G906" i="6"/>
  <c r="Q905" i="6"/>
  <c r="G905" i="6"/>
  <c r="Q904" i="6"/>
  <c r="G904" i="6"/>
  <c r="Q903" i="6"/>
  <c r="G903" i="6"/>
  <c r="Q902" i="6"/>
  <c r="G902" i="6"/>
  <c r="Q901" i="6"/>
  <c r="G901" i="6"/>
  <c r="Q900" i="6"/>
  <c r="G900" i="6"/>
  <c r="Q899" i="6"/>
  <c r="G899" i="6"/>
  <c r="Q898" i="6"/>
  <c r="G898" i="6"/>
  <c r="Q897" i="6"/>
  <c r="G897" i="6"/>
  <c r="Q896" i="6"/>
  <c r="G896" i="6"/>
  <c r="Q895" i="6"/>
  <c r="G895" i="6"/>
  <c r="Q894" i="6"/>
  <c r="G894" i="6"/>
  <c r="Q893" i="6"/>
  <c r="G893" i="6"/>
  <c r="Q892" i="6"/>
  <c r="G892" i="6"/>
  <c r="Q891" i="6"/>
  <c r="G891" i="6"/>
  <c r="Q890" i="6"/>
  <c r="G890" i="6"/>
  <c r="Q889" i="6"/>
  <c r="G889" i="6"/>
  <c r="Q888" i="6"/>
  <c r="G888" i="6"/>
  <c r="Q887" i="6"/>
  <c r="G887" i="6"/>
  <c r="Q886" i="6"/>
  <c r="G886" i="6"/>
  <c r="Q885" i="6"/>
  <c r="G885" i="6"/>
  <c r="Q884" i="6"/>
  <c r="G884" i="6"/>
  <c r="Q883" i="6"/>
  <c r="G883" i="6"/>
  <c r="Q882" i="6"/>
  <c r="G882" i="6"/>
  <c r="Q881" i="6"/>
  <c r="G881" i="6"/>
  <c r="Q880" i="6"/>
  <c r="G880" i="6"/>
  <c r="Q879" i="6"/>
  <c r="G879" i="6"/>
  <c r="Q878" i="6"/>
  <c r="G878" i="6"/>
  <c r="Q877" i="6"/>
  <c r="G877" i="6"/>
  <c r="Q876" i="6"/>
  <c r="G876" i="6"/>
  <c r="Q875" i="6"/>
  <c r="G875" i="6"/>
  <c r="Q874" i="6"/>
  <c r="G874" i="6"/>
  <c r="Q873" i="6"/>
  <c r="G873" i="6"/>
  <c r="Q872" i="6"/>
  <c r="G872" i="6"/>
  <c r="Q871" i="6"/>
  <c r="G871" i="6"/>
  <c r="Q870" i="6"/>
  <c r="G870" i="6"/>
  <c r="Q869" i="6"/>
  <c r="G869" i="6"/>
  <c r="Q868" i="6"/>
  <c r="G868" i="6"/>
  <c r="Q867" i="6"/>
  <c r="G867" i="6"/>
  <c r="Q866" i="6"/>
  <c r="G866" i="6"/>
  <c r="Q865" i="6"/>
  <c r="G865" i="6"/>
  <c r="Q864" i="6"/>
  <c r="G864" i="6"/>
  <c r="Q863" i="6"/>
  <c r="G863" i="6"/>
  <c r="Q862" i="6"/>
  <c r="G862" i="6"/>
  <c r="Q861" i="6"/>
  <c r="G861" i="6"/>
  <c r="Q860" i="6"/>
  <c r="G860" i="6"/>
  <c r="Q859" i="6"/>
  <c r="G859" i="6"/>
  <c r="Q858" i="6"/>
  <c r="G858" i="6"/>
  <c r="Q857" i="6"/>
  <c r="G857" i="6"/>
  <c r="Q856" i="6"/>
  <c r="G856" i="6"/>
  <c r="Q855" i="6"/>
  <c r="G855" i="6"/>
  <c r="Q854" i="6"/>
  <c r="G854" i="6"/>
  <c r="Q853" i="6"/>
  <c r="G853" i="6"/>
  <c r="Q852" i="6"/>
  <c r="G852" i="6"/>
  <c r="Q851" i="6"/>
  <c r="G851" i="6"/>
  <c r="Q850" i="6"/>
  <c r="G850" i="6"/>
  <c r="Q849" i="6"/>
  <c r="G849" i="6"/>
  <c r="Q848" i="6"/>
  <c r="G848" i="6"/>
  <c r="Q847" i="6"/>
  <c r="G847" i="6"/>
  <c r="Q846" i="6"/>
  <c r="G846" i="6"/>
  <c r="Q845" i="6"/>
  <c r="G845" i="6"/>
  <c r="Q844" i="6"/>
  <c r="G844" i="6"/>
  <c r="Q843" i="6"/>
  <c r="G843" i="6"/>
  <c r="Q842" i="6"/>
  <c r="G842" i="6"/>
  <c r="Q841" i="6"/>
  <c r="G841" i="6"/>
  <c r="Q840" i="6"/>
  <c r="G840" i="6"/>
  <c r="Q839" i="6"/>
  <c r="G839" i="6"/>
  <c r="Q838" i="6"/>
  <c r="G838" i="6"/>
  <c r="Q837" i="6"/>
  <c r="G837" i="6"/>
  <c r="Q836" i="6"/>
  <c r="G836" i="6"/>
  <c r="Q835" i="6"/>
  <c r="G835" i="6"/>
  <c r="Q834" i="6"/>
  <c r="G834" i="6"/>
  <c r="Q833" i="6"/>
  <c r="G833" i="6"/>
  <c r="Q832" i="6"/>
  <c r="G832" i="6"/>
  <c r="Q831" i="6"/>
  <c r="G831" i="6"/>
  <c r="Q830" i="6"/>
  <c r="G830" i="6"/>
  <c r="Q829" i="6"/>
  <c r="G829" i="6"/>
  <c r="Q828" i="6"/>
  <c r="G828" i="6"/>
  <c r="Q827" i="6"/>
  <c r="G827" i="6"/>
  <c r="Q826" i="6"/>
  <c r="G826" i="6"/>
  <c r="Q825" i="6"/>
  <c r="G825" i="6"/>
  <c r="Q824" i="6"/>
  <c r="G824" i="6"/>
  <c r="Q823" i="6"/>
  <c r="G823" i="6"/>
  <c r="Q822" i="6"/>
  <c r="G822" i="6"/>
  <c r="Q821" i="6"/>
  <c r="G821" i="6"/>
  <c r="Q820" i="6"/>
  <c r="G820" i="6"/>
  <c r="Q819" i="6"/>
  <c r="G819" i="6"/>
  <c r="Q818" i="6"/>
  <c r="G818" i="6"/>
  <c r="Q817" i="6"/>
  <c r="G817" i="6"/>
  <c r="Q816" i="6"/>
  <c r="G816" i="6"/>
  <c r="Q815" i="6"/>
  <c r="G815" i="6"/>
  <c r="Q814" i="6"/>
  <c r="G814" i="6"/>
  <c r="Q813" i="6"/>
  <c r="G813" i="6"/>
  <c r="Q812" i="6"/>
  <c r="G812" i="6"/>
  <c r="Q811" i="6"/>
  <c r="G811" i="6"/>
  <c r="Q810" i="6"/>
  <c r="G810" i="6"/>
  <c r="Q809" i="6"/>
  <c r="G809" i="6"/>
  <c r="Q808" i="6"/>
  <c r="G808" i="6"/>
  <c r="Q807" i="6"/>
  <c r="G807" i="6"/>
  <c r="Q806" i="6"/>
  <c r="G806" i="6"/>
  <c r="Q805" i="6"/>
  <c r="G805" i="6"/>
  <c r="Q804" i="6"/>
  <c r="G804" i="6"/>
  <c r="Q803" i="6"/>
  <c r="G803" i="6"/>
  <c r="Q802" i="6"/>
  <c r="G802" i="6"/>
  <c r="Q801" i="6"/>
  <c r="G801" i="6"/>
  <c r="Q800" i="6"/>
  <c r="G800" i="6"/>
  <c r="Q799" i="6"/>
  <c r="G799" i="6"/>
  <c r="Q798" i="6"/>
  <c r="G798" i="6"/>
  <c r="Q797" i="6"/>
  <c r="G797" i="6"/>
  <c r="Q796" i="6"/>
  <c r="G796" i="6"/>
  <c r="Q795" i="6"/>
  <c r="G795" i="6"/>
  <c r="Q794" i="6"/>
  <c r="G794" i="6"/>
  <c r="Q793" i="6"/>
  <c r="G793" i="6"/>
  <c r="Q792" i="6"/>
  <c r="G792" i="6"/>
  <c r="Q791" i="6"/>
  <c r="G791" i="6"/>
  <c r="Q790" i="6"/>
  <c r="G790" i="6"/>
  <c r="Q789" i="6"/>
  <c r="G789" i="6"/>
  <c r="Q788" i="6"/>
  <c r="G788" i="6"/>
  <c r="Q787" i="6"/>
  <c r="G787" i="6"/>
  <c r="Q786" i="6"/>
  <c r="G786" i="6"/>
  <c r="Q785" i="6"/>
  <c r="G785" i="6"/>
  <c r="Q784" i="6"/>
  <c r="G784" i="6"/>
  <c r="Q783" i="6"/>
  <c r="G783" i="6"/>
  <c r="Q782" i="6"/>
  <c r="G782" i="6"/>
  <c r="Q781" i="6"/>
  <c r="G781" i="6"/>
  <c r="Q780" i="6"/>
  <c r="G780" i="6"/>
  <c r="Q779" i="6"/>
  <c r="G779" i="6"/>
  <c r="Q778" i="6"/>
  <c r="G778" i="6"/>
  <c r="Q777" i="6"/>
  <c r="G777" i="6"/>
  <c r="Q776" i="6"/>
  <c r="G776" i="6"/>
  <c r="Q775" i="6"/>
  <c r="G775" i="6"/>
  <c r="Q774" i="6"/>
  <c r="G774" i="6"/>
  <c r="Q773" i="6"/>
  <c r="G773" i="6"/>
  <c r="Q772" i="6"/>
  <c r="G772" i="6"/>
  <c r="Q771" i="6"/>
  <c r="G771" i="6"/>
  <c r="Q770" i="6"/>
  <c r="G770" i="6"/>
  <c r="Q769" i="6"/>
  <c r="G769" i="6"/>
  <c r="Q768" i="6"/>
  <c r="G768" i="6"/>
  <c r="Q767" i="6"/>
  <c r="G767" i="6"/>
  <c r="Q766" i="6"/>
  <c r="G766" i="6"/>
  <c r="Q765" i="6"/>
  <c r="G765" i="6"/>
  <c r="Q764" i="6"/>
  <c r="G764" i="6"/>
  <c r="Q763" i="6"/>
  <c r="G763" i="6"/>
  <c r="Q762" i="6"/>
  <c r="G762" i="6"/>
  <c r="Q761" i="6"/>
  <c r="G761" i="6"/>
  <c r="Q760" i="6"/>
  <c r="G760" i="6"/>
  <c r="Q759" i="6"/>
  <c r="G759" i="6"/>
  <c r="Q758" i="6"/>
  <c r="G758" i="6"/>
  <c r="Q757" i="6"/>
  <c r="G757" i="6"/>
  <c r="Q756" i="6"/>
  <c r="G756" i="6"/>
  <c r="Q755" i="6"/>
  <c r="G755" i="6"/>
  <c r="Q754" i="6"/>
  <c r="G754" i="6"/>
  <c r="Q753" i="6"/>
  <c r="G753" i="6"/>
  <c r="Q752" i="6"/>
  <c r="G752" i="6"/>
  <c r="Q751" i="6"/>
  <c r="G751" i="6"/>
  <c r="Q750" i="6"/>
  <c r="G750" i="6"/>
  <c r="Q749" i="6"/>
  <c r="G749" i="6"/>
  <c r="Q748" i="6"/>
  <c r="G748" i="6"/>
  <c r="Q747" i="6"/>
  <c r="G747" i="6"/>
  <c r="Q746" i="6"/>
  <c r="G746" i="6"/>
  <c r="Q745" i="6"/>
  <c r="G745" i="6"/>
  <c r="Q744" i="6"/>
  <c r="G744" i="6"/>
  <c r="Q743" i="6"/>
  <c r="G743" i="6"/>
  <c r="Q742" i="6"/>
  <c r="G742" i="6"/>
  <c r="Q741" i="6"/>
  <c r="G741" i="6"/>
  <c r="Q740" i="6"/>
  <c r="G740" i="6"/>
  <c r="Q739" i="6"/>
  <c r="G739" i="6"/>
  <c r="Q738" i="6"/>
  <c r="G738" i="6"/>
  <c r="Q737" i="6"/>
  <c r="G737" i="6"/>
  <c r="Q736" i="6"/>
  <c r="G736" i="6"/>
  <c r="Q735" i="6"/>
  <c r="G735" i="6"/>
  <c r="Q734" i="6"/>
  <c r="G734" i="6"/>
  <c r="Q733" i="6"/>
  <c r="G733" i="6"/>
  <c r="Q732" i="6"/>
  <c r="G732" i="6"/>
  <c r="Q731" i="6"/>
  <c r="G731" i="6"/>
  <c r="Q730" i="6"/>
  <c r="G730" i="6"/>
  <c r="Q729" i="6"/>
  <c r="G729" i="6"/>
  <c r="Q728" i="6"/>
  <c r="G728" i="6"/>
  <c r="Q727" i="6"/>
  <c r="G727" i="6"/>
  <c r="Q726" i="6"/>
  <c r="G726" i="6"/>
  <c r="Q725" i="6"/>
  <c r="G725" i="6"/>
  <c r="Q724" i="6"/>
  <c r="G724" i="6"/>
  <c r="Q723" i="6"/>
  <c r="G723" i="6"/>
  <c r="Q722" i="6"/>
  <c r="G722" i="6"/>
  <c r="Q721" i="6"/>
  <c r="G721" i="6"/>
  <c r="Q720" i="6"/>
  <c r="G720" i="6"/>
  <c r="Q719" i="6"/>
  <c r="G719" i="6"/>
  <c r="Q718" i="6"/>
  <c r="G718" i="6"/>
  <c r="Q717" i="6"/>
  <c r="G717" i="6"/>
  <c r="Q716" i="6"/>
  <c r="G716" i="6"/>
  <c r="Q715" i="6"/>
  <c r="G715" i="6"/>
  <c r="Q714" i="6"/>
  <c r="G714" i="6"/>
  <c r="Q713" i="6"/>
  <c r="G713" i="6"/>
  <c r="Q712" i="6"/>
  <c r="G712" i="6"/>
  <c r="Q711" i="6"/>
  <c r="G711" i="6"/>
  <c r="Q710" i="6"/>
  <c r="G710" i="6"/>
  <c r="Q709" i="6"/>
  <c r="G709" i="6"/>
  <c r="Q708" i="6"/>
  <c r="G708" i="6"/>
  <c r="Q707" i="6"/>
  <c r="G707" i="6"/>
  <c r="Q706" i="6"/>
  <c r="G706" i="6"/>
  <c r="Q705" i="6"/>
  <c r="G705" i="6"/>
  <c r="Q704" i="6"/>
  <c r="G704" i="6"/>
  <c r="Q703" i="6"/>
  <c r="G703" i="6"/>
  <c r="Q702" i="6"/>
  <c r="G702" i="6"/>
  <c r="Q701" i="6"/>
  <c r="G701" i="6"/>
  <c r="Q700" i="6"/>
  <c r="G700" i="6"/>
  <c r="Q699" i="6"/>
  <c r="G699" i="6"/>
  <c r="Q698" i="6"/>
  <c r="G698" i="6"/>
  <c r="Q697" i="6"/>
  <c r="G697" i="6"/>
  <c r="Q696" i="6"/>
  <c r="G696" i="6"/>
  <c r="Q695" i="6"/>
  <c r="G695" i="6"/>
  <c r="Q694" i="6"/>
  <c r="G694" i="6"/>
  <c r="Q693" i="6"/>
  <c r="G693" i="6"/>
  <c r="Q692" i="6"/>
  <c r="G692" i="6"/>
  <c r="Q691" i="6"/>
  <c r="G691" i="6"/>
  <c r="Q690" i="6"/>
  <c r="G690" i="6"/>
  <c r="Q689" i="6"/>
  <c r="G689" i="6"/>
  <c r="Q688" i="6"/>
  <c r="G688" i="6"/>
  <c r="Q687" i="6"/>
  <c r="G687" i="6"/>
  <c r="Q686" i="6"/>
  <c r="G686" i="6"/>
  <c r="Q685" i="6"/>
  <c r="G685" i="6"/>
  <c r="Q684" i="6"/>
  <c r="G684" i="6"/>
  <c r="Q683" i="6"/>
  <c r="G683" i="6"/>
  <c r="Q682" i="6"/>
  <c r="G682" i="6"/>
  <c r="Q681" i="6"/>
  <c r="G681" i="6"/>
  <c r="Q680" i="6"/>
  <c r="G680" i="6"/>
  <c r="Q679" i="6"/>
  <c r="G679" i="6"/>
  <c r="Q678" i="6"/>
  <c r="G678" i="6"/>
  <c r="Q677" i="6"/>
  <c r="G677" i="6"/>
  <c r="Q676" i="6"/>
  <c r="G676" i="6"/>
  <c r="Q675" i="6"/>
  <c r="G675" i="6"/>
  <c r="Q674" i="6"/>
  <c r="G674" i="6"/>
  <c r="Q673" i="6"/>
  <c r="G673" i="6"/>
  <c r="Q672" i="6"/>
  <c r="G672" i="6"/>
  <c r="Q671" i="6"/>
  <c r="G671" i="6"/>
  <c r="Q670" i="6"/>
  <c r="G670" i="6"/>
  <c r="Q669" i="6"/>
  <c r="G669" i="6"/>
  <c r="Q668" i="6"/>
  <c r="G668" i="6"/>
  <c r="Q667" i="6"/>
  <c r="G667" i="6"/>
  <c r="Q666" i="6"/>
  <c r="G666" i="6"/>
  <c r="Q665" i="6"/>
  <c r="G665" i="6"/>
  <c r="Q664" i="6"/>
  <c r="G664" i="6"/>
  <c r="Q663" i="6"/>
  <c r="G663" i="6"/>
  <c r="Q662" i="6"/>
  <c r="G662" i="6"/>
  <c r="Q661" i="6"/>
  <c r="G661" i="6"/>
  <c r="Q660" i="6"/>
  <c r="G660" i="6"/>
  <c r="Q659" i="6"/>
  <c r="G659" i="6"/>
  <c r="Q658" i="6"/>
  <c r="G658" i="6"/>
  <c r="Q657" i="6"/>
  <c r="G657" i="6"/>
  <c r="Q656" i="6"/>
  <c r="G656" i="6"/>
  <c r="Q655" i="6"/>
  <c r="G655" i="6"/>
  <c r="Q654" i="6"/>
  <c r="G654" i="6"/>
  <c r="Q653" i="6"/>
  <c r="G653" i="6"/>
  <c r="Q652" i="6"/>
  <c r="G652" i="6"/>
  <c r="Q651" i="6"/>
  <c r="G651" i="6"/>
  <c r="Q650" i="6"/>
  <c r="G650" i="6"/>
  <c r="Q649" i="6"/>
  <c r="G649" i="6"/>
  <c r="Q648" i="6"/>
  <c r="G648" i="6"/>
  <c r="Q647" i="6"/>
  <c r="G647" i="6"/>
  <c r="Q646" i="6"/>
  <c r="G646" i="6"/>
  <c r="Q645" i="6"/>
  <c r="G645" i="6"/>
  <c r="Q644" i="6"/>
  <c r="G644" i="6"/>
  <c r="Q643" i="6"/>
  <c r="G643" i="6"/>
  <c r="Q642" i="6"/>
  <c r="G642" i="6"/>
  <c r="Q641" i="6"/>
  <c r="G641" i="6"/>
  <c r="Q640" i="6"/>
  <c r="G640" i="6"/>
  <c r="Q639" i="6"/>
  <c r="G639" i="6"/>
  <c r="Q638" i="6"/>
  <c r="G638" i="6"/>
  <c r="Q637" i="6"/>
  <c r="G637" i="6"/>
  <c r="Q636" i="6"/>
  <c r="G636" i="6"/>
  <c r="Q635" i="6"/>
  <c r="G635" i="6"/>
  <c r="Q634" i="6"/>
  <c r="G634" i="6"/>
  <c r="Q633" i="6"/>
  <c r="G633" i="6"/>
  <c r="Q632" i="6"/>
  <c r="G632" i="6"/>
  <c r="Q631" i="6"/>
  <c r="G631" i="6"/>
  <c r="Q630" i="6"/>
  <c r="G630" i="6"/>
  <c r="Q629" i="6"/>
  <c r="G629" i="6"/>
  <c r="Q628" i="6"/>
  <c r="G628" i="6"/>
  <c r="Q627" i="6"/>
  <c r="G627" i="6"/>
  <c r="Q626" i="6"/>
  <c r="G626" i="6"/>
  <c r="Q625" i="6"/>
  <c r="G625" i="6"/>
  <c r="Q624" i="6"/>
  <c r="G624" i="6"/>
  <c r="Q623" i="6"/>
  <c r="G623" i="6"/>
  <c r="Q622" i="6"/>
  <c r="G622" i="6"/>
  <c r="Q621" i="6"/>
  <c r="G621" i="6"/>
  <c r="Q620" i="6"/>
  <c r="G620" i="6"/>
  <c r="Q619" i="6"/>
  <c r="G619" i="6"/>
  <c r="Q618" i="6"/>
  <c r="G618" i="6"/>
  <c r="Q617" i="6"/>
  <c r="G617" i="6"/>
  <c r="Q616" i="6"/>
  <c r="G616" i="6"/>
  <c r="Q615" i="6"/>
  <c r="G615" i="6"/>
  <c r="Q614" i="6"/>
  <c r="G614" i="6"/>
  <c r="Q613" i="6"/>
  <c r="G613" i="6"/>
  <c r="Q612" i="6"/>
  <c r="G612" i="6"/>
  <c r="Q611" i="6"/>
  <c r="G611" i="6"/>
  <c r="Q610" i="6"/>
  <c r="G610" i="6"/>
  <c r="Q609" i="6"/>
  <c r="G609" i="6"/>
  <c r="Q608" i="6"/>
  <c r="G608" i="6"/>
  <c r="Q607" i="6"/>
  <c r="G607" i="6"/>
  <c r="Q606" i="6"/>
  <c r="G606" i="6"/>
  <c r="Q605" i="6"/>
  <c r="G605" i="6"/>
  <c r="Q604" i="6"/>
  <c r="G604" i="6"/>
  <c r="Q603" i="6"/>
  <c r="G603" i="6"/>
  <c r="Q602" i="6"/>
  <c r="G602" i="6"/>
  <c r="Q601" i="6"/>
  <c r="G601" i="6"/>
  <c r="Q600" i="6"/>
  <c r="G600" i="6"/>
  <c r="Q599" i="6"/>
  <c r="G599" i="6"/>
  <c r="Q598" i="6"/>
  <c r="G598" i="6"/>
  <c r="Q597" i="6"/>
  <c r="G597" i="6"/>
  <c r="Q596" i="6"/>
  <c r="G596" i="6"/>
  <c r="Q595" i="6"/>
  <c r="G595" i="6"/>
  <c r="Q594" i="6"/>
  <c r="G594" i="6"/>
  <c r="Q593" i="6"/>
  <c r="G593" i="6"/>
  <c r="Q592" i="6"/>
  <c r="G592" i="6"/>
  <c r="Q591" i="6"/>
  <c r="G591" i="6"/>
  <c r="Q590" i="6"/>
  <c r="G590" i="6"/>
  <c r="Q589" i="6"/>
  <c r="G589" i="6"/>
  <c r="Q588" i="6"/>
  <c r="G588" i="6"/>
  <c r="Q587" i="6"/>
  <c r="G587" i="6"/>
  <c r="Q586" i="6"/>
  <c r="G586" i="6"/>
  <c r="Q585" i="6"/>
  <c r="G585" i="6"/>
  <c r="Q584" i="6"/>
  <c r="G584" i="6"/>
  <c r="Q583" i="6"/>
  <c r="G583" i="6"/>
  <c r="Q582" i="6"/>
  <c r="G582" i="6"/>
  <c r="Q581" i="6"/>
  <c r="G581" i="6"/>
  <c r="Q580" i="6"/>
  <c r="G580" i="6"/>
  <c r="Q579" i="6"/>
  <c r="G579" i="6"/>
  <c r="Q578" i="6"/>
  <c r="G578" i="6"/>
  <c r="Q577" i="6"/>
  <c r="G577" i="6"/>
  <c r="Q576" i="6"/>
  <c r="G576" i="6"/>
  <c r="Q575" i="6"/>
  <c r="G575" i="6"/>
  <c r="Q574" i="6"/>
  <c r="G574" i="6"/>
  <c r="Q573" i="6"/>
  <c r="G573" i="6"/>
  <c r="Q572" i="6"/>
  <c r="G572" i="6"/>
  <c r="Q571" i="6"/>
  <c r="G571" i="6"/>
  <c r="Q570" i="6"/>
  <c r="G570" i="6"/>
  <c r="Q569" i="6"/>
  <c r="G569" i="6"/>
  <c r="Q568" i="6"/>
  <c r="G568" i="6"/>
  <c r="Q567" i="6"/>
  <c r="G567" i="6"/>
  <c r="Q566" i="6"/>
  <c r="G566" i="6"/>
  <c r="Q565" i="6"/>
  <c r="G565" i="6"/>
  <c r="Q564" i="6"/>
  <c r="G564" i="6"/>
  <c r="Q563" i="6"/>
  <c r="G563" i="6"/>
  <c r="Q562" i="6"/>
  <c r="G562" i="6"/>
  <c r="Q561" i="6"/>
  <c r="G561" i="6"/>
  <c r="Q560" i="6"/>
  <c r="G560" i="6"/>
  <c r="Q559" i="6"/>
  <c r="G559" i="6"/>
  <c r="Q558" i="6"/>
  <c r="G558" i="6"/>
  <c r="Q557" i="6"/>
  <c r="G557" i="6"/>
  <c r="Q556" i="6"/>
  <c r="G556" i="6"/>
  <c r="Q555" i="6"/>
  <c r="G555" i="6"/>
  <c r="Q554" i="6"/>
  <c r="G554" i="6"/>
  <c r="Q553" i="6"/>
  <c r="G553" i="6"/>
  <c r="Q552" i="6"/>
  <c r="G552" i="6"/>
  <c r="Q551" i="6"/>
  <c r="G551" i="6"/>
  <c r="Q550" i="6"/>
  <c r="G550" i="6"/>
  <c r="Q549" i="6"/>
  <c r="G549" i="6"/>
  <c r="Q548" i="6"/>
  <c r="G548" i="6"/>
  <c r="Q547" i="6"/>
  <c r="G547" i="6"/>
  <c r="Q546" i="6"/>
  <c r="G546" i="6"/>
  <c r="Q545" i="6"/>
  <c r="G545" i="6"/>
  <c r="Q544" i="6"/>
  <c r="G544" i="6"/>
  <c r="Q543" i="6"/>
  <c r="G543" i="6"/>
  <c r="Q542" i="6"/>
  <c r="G542" i="6"/>
  <c r="Q541" i="6"/>
  <c r="G541" i="6"/>
  <c r="Q540" i="6"/>
  <c r="G540" i="6"/>
  <c r="Q539" i="6"/>
  <c r="G539" i="6"/>
  <c r="Q538" i="6"/>
  <c r="G538" i="6"/>
  <c r="Q537" i="6"/>
  <c r="G537" i="6"/>
  <c r="Q536" i="6"/>
  <c r="G536" i="6"/>
  <c r="Q535" i="6"/>
  <c r="G535" i="6"/>
  <c r="Q534" i="6"/>
  <c r="G534" i="6"/>
  <c r="Q533" i="6"/>
  <c r="G533" i="6"/>
  <c r="Q532" i="6"/>
  <c r="G532" i="6"/>
  <c r="Q531" i="6"/>
  <c r="G531" i="6"/>
  <c r="Q530" i="6"/>
  <c r="G530" i="6"/>
  <c r="Q529" i="6"/>
  <c r="G529" i="6"/>
  <c r="Q528" i="6"/>
  <c r="G528" i="6"/>
  <c r="Q527" i="6"/>
  <c r="G527" i="6"/>
  <c r="Q526" i="6"/>
  <c r="G526" i="6"/>
  <c r="Q525" i="6"/>
  <c r="G525" i="6"/>
  <c r="Q524" i="6"/>
  <c r="G524" i="6"/>
  <c r="Q523" i="6"/>
  <c r="G523" i="6"/>
  <c r="Q522" i="6"/>
  <c r="G522" i="6"/>
  <c r="Q521" i="6"/>
  <c r="G521" i="6"/>
  <c r="Q520" i="6"/>
  <c r="G520" i="6"/>
  <c r="Q519" i="6"/>
  <c r="G519" i="6"/>
  <c r="Q518" i="6"/>
  <c r="G518" i="6"/>
  <c r="Q517" i="6"/>
  <c r="G517" i="6"/>
  <c r="Q516" i="6"/>
  <c r="G516" i="6"/>
  <c r="Q515" i="6"/>
  <c r="G515" i="6"/>
  <c r="Q514" i="6"/>
  <c r="G514" i="6"/>
  <c r="Q513" i="6"/>
  <c r="G513" i="6"/>
  <c r="Q512" i="6"/>
  <c r="G512" i="6"/>
  <c r="Q511" i="6"/>
  <c r="G511" i="6"/>
  <c r="Q510" i="6"/>
  <c r="G510" i="6"/>
  <c r="Q509" i="6"/>
  <c r="G509" i="6"/>
  <c r="Q508" i="6"/>
  <c r="G508" i="6"/>
  <c r="Q507" i="6"/>
  <c r="G507" i="6"/>
  <c r="Q506" i="6"/>
  <c r="G506" i="6"/>
  <c r="Q505" i="6"/>
  <c r="G505" i="6"/>
  <c r="Q504" i="6"/>
  <c r="G504" i="6"/>
  <c r="Q503" i="6"/>
  <c r="G503" i="6"/>
  <c r="Q502" i="6"/>
  <c r="G502" i="6"/>
  <c r="Q501" i="6"/>
  <c r="G501" i="6"/>
  <c r="Q500" i="6"/>
  <c r="G500" i="6"/>
  <c r="Q499" i="6"/>
  <c r="G499" i="6"/>
  <c r="Q498" i="6"/>
  <c r="G498" i="6"/>
  <c r="Q497" i="6"/>
  <c r="G497" i="6"/>
  <c r="Q496" i="6"/>
  <c r="G496" i="6"/>
  <c r="Q495" i="6"/>
  <c r="G495" i="6"/>
  <c r="Q494" i="6"/>
  <c r="G494" i="6"/>
  <c r="Q493" i="6"/>
  <c r="G493" i="6"/>
  <c r="Q492" i="6"/>
  <c r="G492" i="6"/>
  <c r="Q491" i="6"/>
  <c r="G491" i="6"/>
  <c r="Q490" i="6"/>
  <c r="G490" i="6"/>
  <c r="Q489" i="6"/>
  <c r="G489" i="6"/>
  <c r="Q488" i="6"/>
  <c r="G488" i="6"/>
  <c r="Q487" i="6"/>
  <c r="G487" i="6"/>
  <c r="Q486" i="6"/>
  <c r="G486" i="6"/>
  <c r="Q485" i="6"/>
  <c r="G485" i="6"/>
  <c r="Q484" i="6"/>
  <c r="G484" i="6"/>
  <c r="Q483" i="6"/>
  <c r="G483" i="6"/>
  <c r="Q482" i="6"/>
  <c r="G482" i="6"/>
  <c r="Q481" i="6"/>
  <c r="G481" i="6"/>
  <c r="Q480" i="6"/>
  <c r="G480" i="6"/>
  <c r="Q479" i="6"/>
  <c r="G479" i="6"/>
  <c r="Q478" i="6"/>
  <c r="G478" i="6"/>
  <c r="Q477" i="6"/>
  <c r="G477" i="6"/>
  <c r="Q476" i="6"/>
  <c r="G476" i="6"/>
  <c r="Q475" i="6"/>
  <c r="G475" i="6"/>
  <c r="Q474" i="6"/>
  <c r="G474" i="6"/>
  <c r="Q473" i="6"/>
  <c r="G473" i="6"/>
  <c r="Q472" i="6"/>
  <c r="G472" i="6"/>
  <c r="Q471" i="6"/>
  <c r="G471" i="6"/>
  <c r="Q470" i="6"/>
  <c r="G470" i="6"/>
  <c r="Q469" i="6"/>
  <c r="G469" i="6"/>
  <c r="Q468" i="6"/>
  <c r="G468" i="6"/>
  <c r="Q467" i="6"/>
  <c r="G467" i="6"/>
  <c r="Q466" i="6"/>
  <c r="G466" i="6"/>
  <c r="Q465" i="6"/>
  <c r="G465" i="6"/>
  <c r="Q464" i="6"/>
  <c r="G464" i="6"/>
  <c r="Q463" i="6"/>
  <c r="G463" i="6"/>
  <c r="Q462" i="6"/>
  <c r="G462" i="6"/>
  <c r="Q461" i="6"/>
  <c r="G461" i="6"/>
  <c r="Q460" i="6"/>
  <c r="G460" i="6"/>
  <c r="Q459" i="6"/>
  <c r="G459" i="6"/>
  <c r="Q458" i="6"/>
  <c r="G458" i="6"/>
  <c r="Q457" i="6"/>
  <c r="G457" i="6"/>
  <c r="Q456" i="6"/>
  <c r="G456" i="6"/>
  <c r="Q455" i="6"/>
  <c r="G455" i="6"/>
  <c r="Q454" i="6"/>
  <c r="G454" i="6"/>
  <c r="Q453" i="6"/>
  <c r="G453" i="6"/>
  <c r="Q452" i="6"/>
  <c r="G452" i="6"/>
  <c r="Q451" i="6"/>
  <c r="G451" i="6"/>
  <c r="Q450" i="6"/>
  <c r="G450" i="6"/>
  <c r="Q449" i="6"/>
  <c r="G449" i="6"/>
  <c r="Q448" i="6"/>
  <c r="G448" i="6"/>
  <c r="Q447" i="6"/>
  <c r="G447" i="6"/>
  <c r="Q446" i="6"/>
  <c r="G446" i="6"/>
  <c r="Q445" i="6"/>
  <c r="G445" i="6"/>
  <c r="Q444" i="6"/>
  <c r="G444" i="6"/>
  <c r="Q443" i="6"/>
  <c r="G443" i="6"/>
  <c r="Q442" i="6"/>
  <c r="G442" i="6"/>
  <c r="Q441" i="6"/>
  <c r="G441" i="6"/>
  <c r="Q440" i="6"/>
  <c r="G440" i="6"/>
  <c r="Q439" i="6"/>
  <c r="G439" i="6"/>
  <c r="Q438" i="6"/>
  <c r="G438" i="6"/>
  <c r="Q437" i="6"/>
  <c r="G437" i="6"/>
  <c r="Q436" i="6"/>
  <c r="G436" i="6"/>
  <c r="Q435" i="6"/>
  <c r="G435" i="6"/>
  <c r="Q434" i="6"/>
  <c r="G434" i="6"/>
  <c r="Q433" i="6"/>
  <c r="G433" i="6"/>
  <c r="Q432" i="6"/>
  <c r="G432" i="6"/>
  <c r="Q431" i="6"/>
  <c r="G431" i="6"/>
  <c r="Q430" i="6"/>
  <c r="G430" i="6"/>
  <c r="Q429" i="6"/>
  <c r="G429" i="6"/>
  <c r="Q428" i="6"/>
  <c r="G428" i="6"/>
  <c r="Q427" i="6"/>
  <c r="G427" i="6"/>
  <c r="Q426" i="6"/>
  <c r="G426" i="6"/>
  <c r="Q425" i="6"/>
  <c r="G425" i="6"/>
  <c r="Q424" i="6"/>
  <c r="G424" i="6"/>
  <c r="Q423" i="6"/>
  <c r="G423" i="6"/>
  <c r="Q422" i="6"/>
  <c r="G422" i="6"/>
  <c r="Q421" i="6"/>
  <c r="G421" i="6"/>
  <c r="Q420" i="6"/>
  <c r="G420" i="6"/>
  <c r="Q419" i="6"/>
  <c r="G419" i="6"/>
  <c r="Q418" i="6"/>
  <c r="G418" i="6"/>
  <c r="Q417" i="6"/>
  <c r="G417" i="6"/>
  <c r="Q416" i="6"/>
  <c r="G416" i="6"/>
  <c r="Q415" i="6"/>
  <c r="G415" i="6"/>
  <c r="Q414" i="6"/>
  <c r="G414" i="6"/>
  <c r="Q413" i="6"/>
  <c r="G413" i="6"/>
  <c r="Q412" i="6"/>
  <c r="G412" i="6"/>
  <c r="Q411" i="6"/>
  <c r="G411" i="6"/>
  <c r="Q410" i="6"/>
  <c r="G410" i="6"/>
  <c r="Q409" i="6"/>
  <c r="G409" i="6"/>
  <c r="Q408" i="6"/>
  <c r="G408" i="6"/>
  <c r="Q407" i="6"/>
  <c r="G407" i="6"/>
  <c r="Q406" i="6"/>
  <c r="G406" i="6"/>
  <c r="Q405" i="6"/>
  <c r="G405" i="6"/>
  <c r="Q404" i="6"/>
  <c r="G404" i="6"/>
  <c r="Q403" i="6"/>
  <c r="G403" i="6"/>
  <c r="Q402" i="6"/>
  <c r="G402" i="6"/>
  <c r="Q401" i="6"/>
  <c r="G401" i="6"/>
  <c r="Q400" i="6"/>
  <c r="G400" i="6"/>
  <c r="Q399" i="6"/>
  <c r="G399" i="6"/>
  <c r="Q398" i="6"/>
  <c r="G398" i="6"/>
  <c r="Q397" i="6"/>
  <c r="G397" i="6"/>
  <c r="Q396" i="6"/>
  <c r="G396" i="6"/>
  <c r="Q395" i="6"/>
  <c r="G395" i="6"/>
  <c r="Q394" i="6"/>
  <c r="G394" i="6"/>
  <c r="Q393" i="6"/>
  <c r="G393" i="6"/>
  <c r="Q392" i="6"/>
  <c r="G392" i="6"/>
  <c r="Q391" i="6"/>
  <c r="G391" i="6"/>
  <c r="Q390" i="6"/>
  <c r="G390" i="6"/>
  <c r="Q389" i="6"/>
  <c r="G389" i="6"/>
  <c r="Q388" i="6"/>
  <c r="G388" i="6"/>
  <c r="Q387" i="6"/>
  <c r="G387" i="6"/>
  <c r="Q386" i="6"/>
  <c r="G386" i="6"/>
  <c r="Q385" i="6"/>
  <c r="G385" i="6"/>
  <c r="Q384" i="6"/>
  <c r="G384" i="6"/>
  <c r="Q383" i="6"/>
  <c r="G383" i="6"/>
  <c r="Q382" i="6"/>
  <c r="G382" i="6"/>
  <c r="Q381" i="6"/>
  <c r="G381" i="6"/>
  <c r="Q380" i="6"/>
  <c r="G380" i="6"/>
  <c r="Q379" i="6"/>
  <c r="G379" i="6"/>
  <c r="Q378" i="6"/>
  <c r="G378" i="6"/>
  <c r="Q377" i="6"/>
  <c r="G377" i="6"/>
  <c r="Q376" i="6"/>
  <c r="G376" i="6"/>
  <c r="Q375" i="6"/>
  <c r="G375" i="6"/>
  <c r="Q374" i="6"/>
  <c r="G374" i="6"/>
  <c r="Q373" i="6"/>
  <c r="G373" i="6"/>
  <c r="Q372" i="6"/>
  <c r="G372" i="6"/>
  <c r="Q371" i="6"/>
  <c r="G371" i="6"/>
  <c r="Q370" i="6"/>
  <c r="G370" i="6"/>
  <c r="Q369" i="6"/>
  <c r="G369" i="6"/>
  <c r="Q368" i="6"/>
  <c r="G368" i="6"/>
  <c r="Q367" i="6"/>
  <c r="G367" i="6"/>
  <c r="Q366" i="6"/>
  <c r="G366" i="6"/>
  <c r="Q365" i="6"/>
  <c r="G365" i="6"/>
  <c r="Q364" i="6"/>
  <c r="G364" i="6"/>
  <c r="Q363" i="6"/>
  <c r="G363" i="6"/>
  <c r="Q362" i="6"/>
  <c r="G362" i="6"/>
  <c r="Q361" i="6"/>
  <c r="G361" i="6"/>
  <c r="Q360" i="6"/>
  <c r="G360" i="6"/>
  <c r="Q359" i="6"/>
  <c r="G359" i="6"/>
  <c r="Q358" i="6"/>
  <c r="G358" i="6"/>
  <c r="Q357" i="6"/>
  <c r="G357" i="6"/>
  <c r="Q356" i="6"/>
  <c r="G356" i="6"/>
  <c r="Q355" i="6"/>
  <c r="G355" i="6"/>
  <c r="Q354" i="6"/>
  <c r="G354" i="6"/>
  <c r="Q353" i="6"/>
  <c r="G353" i="6"/>
  <c r="Q352" i="6"/>
  <c r="G352" i="6"/>
  <c r="Q351" i="6"/>
  <c r="G351" i="6"/>
  <c r="Q350" i="6"/>
  <c r="G350" i="6"/>
  <c r="Q349" i="6"/>
  <c r="G349" i="6"/>
  <c r="Q348" i="6"/>
  <c r="G348" i="6"/>
  <c r="Q347" i="6"/>
  <c r="G347" i="6"/>
  <c r="Q346" i="6"/>
  <c r="G346" i="6"/>
  <c r="Q345" i="6"/>
  <c r="G345" i="6"/>
  <c r="Q344" i="6"/>
  <c r="G344" i="6"/>
  <c r="Q343" i="6"/>
  <c r="G343" i="6"/>
  <c r="Q342" i="6"/>
  <c r="G342" i="6"/>
  <c r="Q341" i="6"/>
  <c r="G341" i="6"/>
  <c r="Q340" i="6"/>
  <c r="G340" i="6"/>
  <c r="Q339" i="6"/>
  <c r="G339" i="6"/>
  <c r="Q338" i="6"/>
  <c r="G338" i="6"/>
  <c r="Q337" i="6"/>
  <c r="G337" i="6"/>
  <c r="Q336" i="6"/>
  <c r="G336" i="6"/>
  <c r="Q335" i="6"/>
  <c r="G335" i="6"/>
  <c r="Q334" i="6"/>
  <c r="G334" i="6"/>
  <c r="Q333" i="6"/>
  <c r="G333" i="6"/>
  <c r="Q332" i="6"/>
  <c r="G332" i="6"/>
  <c r="Q331" i="6"/>
  <c r="G331" i="6"/>
  <c r="Q330" i="6"/>
  <c r="G330" i="6"/>
  <c r="Q329" i="6"/>
  <c r="G329" i="6"/>
  <c r="Q328" i="6"/>
  <c r="G328" i="6"/>
  <c r="Q327" i="6"/>
  <c r="G327" i="6"/>
  <c r="Q326" i="6"/>
  <c r="G326" i="6"/>
  <c r="Q325" i="6"/>
  <c r="G325" i="6"/>
  <c r="Q324" i="6"/>
  <c r="G324" i="6"/>
  <c r="Q323" i="6"/>
  <c r="G323" i="6"/>
  <c r="Q322" i="6"/>
  <c r="G322" i="6"/>
  <c r="Q321" i="6"/>
  <c r="G321" i="6"/>
  <c r="Q320" i="6"/>
  <c r="G320" i="6"/>
  <c r="Q319" i="6"/>
  <c r="G319" i="6"/>
  <c r="Q318" i="6"/>
  <c r="G318" i="6"/>
  <c r="Q317" i="6"/>
  <c r="G317" i="6"/>
  <c r="Q316" i="6"/>
  <c r="G316" i="6"/>
  <c r="Q315" i="6"/>
  <c r="G315" i="6"/>
  <c r="Q314" i="6"/>
  <c r="G314" i="6"/>
  <c r="Q313" i="6"/>
  <c r="G313" i="6"/>
  <c r="Q312" i="6"/>
  <c r="G312" i="6"/>
  <c r="Q311" i="6"/>
  <c r="G311" i="6"/>
  <c r="Q310" i="6"/>
  <c r="G310" i="6"/>
  <c r="Q309" i="6"/>
  <c r="G309" i="6"/>
  <c r="Q308" i="6"/>
  <c r="G308" i="6"/>
  <c r="Q307" i="6"/>
  <c r="G307" i="6"/>
  <c r="Q306" i="6"/>
  <c r="G306" i="6"/>
  <c r="Q305" i="6"/>
  <c r="G305" i="6"/>
  <c r="Q304" i="6"/>
  <c r="G304" i="6"/>
  <c r="Q303" i="6"/>
  <c r="G303" i="6"/>
  <c r="Q302" i="6"/>
  <c r="G302" i="6"/>
  <c r="Q301" i="6"/>
  <c r="G301" i="6"/>
  <c r="Q300" i="6"/>
  <c r="G300" i="6"/>
  <c r="Q299" i="6"/>
  <c r="G299" i="6"/>
  <c r="Q298" i="6"/>
  <c r="G298" i="6"/>
  <c r="Q297" i="6"/>
  <c r="G297" i="6"/>
  <c r="Q296" i="6"/>
  <c r="G296" i="6"/>
  <c r="Q295" i="6"/>
  <c r="G295" i="6"/>
  <c r="Q294" i="6"/>
  <c r="G294" i="6"/>
  <c r="Q293" i="6"/>
  <c r="G293" i="6"/>
  <c r="Q292" i="6"/>
  <c r="G292" i="6"/>
  <c r="Q291" i="6"/>
  <c r="G291" i="6"/>
  <c r="Q290" i="6"/>
  <c r="G290" i="6"/>
  <c r="Q289" i="6"/>
  <c r="G289" i="6"/>
  <c r="Q288" i="6"/>
  <c r="G288" i="6"/>
  <c r="Q287" i="6"/>
  <c r="G287" i="6"/>
  <c r="Q286" i="6"/>
  <c r="G286" i="6"/>
  <c r="Q285" i="6"/>
  <c r="G285" i="6"/>
  <c r="Q284" i="6"/>
  <c r="G284" i="6"/>
  <c r="Q283" i="6"/>
  <c r="G283" i="6"/>
  <c r="Q282" i="6"/>
  <c r="G282" i="6"/>
  <c r="Q281" i="6"/>
  <c r="G281" i="6"/>
  <c r="Q280" i="6"/>
  <c r="G280" i="6"/>
  <c r="Q279" i="6"/>
  <c r="G279" i="6"/>
  <c r="Q278" i="6"/>
  <c r="G278" i="6"/>
  <c r="Q277" i="6"/>
  <c r="G277" i="6"/>
  <c r="Q276" i="6"/>
  <c r="G276" i="6"/>
  <c r="Q275" i="6"/>
  <c r="G275" i="6"/>
  <c r="Q274" i="6"/>
  <c r="G274" i="6"/>
  <c r="Q273" i="6"/>
  <c r="G273" i="6"/>
  <c r="Q272" i="6"/>
  <c r="G272" i="6"/>
  <c r="Q271" i="6"/>
  <c r="G271" i="6"/>
  <c r="Q270" i="6"/>
  <c r="G270" i="6"/>
  <c r="Q269" i="6"/>
  <c r="G269" i="6"/>
  <c r="Q268" i="6"/>
  <c r="G268" i="6"/>
  <c r="Q267" i="6"/>
  <c r="G267" i="6"/>
  <c r="Q266" i="6"/>
  <c r="G266" i="6"/>
  <c r="Q265" i="6"/>
  <c r="G265" i="6"/>
  <c r="Q264" i="6"/>
  <c r="G264" i="6"/>
  <c r="Q263" i="6"/>
  <c r="G263" i="6"/>
  <c r="Q262" i="6"/>
  <c r="G262" i="6"/>
  <c r="Q261" i="6"/>
  <c r="G261" i="6"/>
  <c r="Q260" i="6"/>
  <c r="G260" i="6"/>
  <c r="Q259" i="6"/>
  <c r="G259" i="6"/>
  <c r="Q258" i="6"/>
  <c r="G258" i="6"/>
  <c r="Q257" i="6"/>
  <c r="G257" i="6"/>
  <c r="Q256" i="6"/>
  <c r="G256" i="6"/>
  <c r="Q255" i="6"/>
  <c r="G255" i="6"/>
  <c r="Q254" i="6"/>
  <c r="G254" i="6"/>
  <c r="Q253" i="6"/>
  <c r="G253" i="6"/>
  <c r="Q252" i="6"/>
  <c r="G252" i="6"/>
  <c r="Q251" i="6"/>
  <c r="G251" i="6"/>
  <c r="Q250" i="6"/>
  <c r="G250" i="6"/>
  <c r="Q249" i="6"/>
  <c r="G249" i="6"/>
  <c r="Q248" i="6"/>
  <c r="G248" i="6"/>
  <c r="Q247" i="6"/>
  <c r="G247" i="6"/>
  <c r="Q246" i="6"/>
  <c r="G246" i="6"/>
  <c r="Q245" i="6"/>
  <c r="G245" i="6"/>
  <c r="Q244" i="6"/>
  <c r="G244" i="6"/>
  <c r="Q243" i="6"/>
  <c r="G243" i="6"/>
  <c r="Q242" i="6"/>
  <c r="G242" i="6"/>
  <c r="Q241" i="6"/>
  <c r="G241" i="6"/>
  <c r="Q240" i="6"/>
  <c r="G240" i="6"/>
  <c r="Q239" i="6"/>
  <c r="G239" i="6"/>
  <c r="Q238" i="6"/>
  <c r="G238" i="6"/>
  <c r="Q237" i="6"/>
  <c r="G237" i="6"/>
  <c r="Q236" i="6"/>
  <c r="G236" i="6"/>
  <c r="Q235" i="6"/>
  <c r="G235" i="6"/>
  <c r="Q234" i="6"/>
  <c r="G234" i="6"/>
  <c r="Q233" i="6"/>
  <c r="G233" i="6"/>
  <c r="Q232" i="6"/>
  <c r="G232" i="6"/>
  <c r="Q231" i="6"/>
  <c r="G231" i="6"/>
  <c r="Q230" i="6"/>
  <c r="G230" i="6"/>
  <c r="Q229" i="6"/>
  <c r="G229" i="6"/>
  <c r="Q228" i="6"/>
  <c r="G228" i="6"/>
  <c r="Q227" i="6"/>
  <c r="G227" i="6"/>
  <c r="Q226" i="6"/>
  <c r="G226" i="6"/>
  <c r="Q225" i="6"/>
  <c r="G225" i="6"/>
  <c r="Q224" i="6"/>
  <c r="G224" i="6"/>
  <c r="Q223" i="6"/>
  <c r="G223" i="6"/>
  <c r="Q222" i="6"/>
  <c r="G222" i="6"/>
  <c r="Q221" i="6"/>
  <c r="G221" i="6"/>
  <c r="Q220" i="6"/>
  <c r="G220" i="6"/>
  <c r="Q219" i="6"/>
  <c r="G219" i="6"/>
  <c r="Q218" i="6"/>
  <c r="G218" i="6"/>
  <c r="Q217" i="6"/>
  <c r="G217" i="6"/>
  <c r="Q216" i="6"/>
  <c r="G216" i="6"/>
  <c r="Q215" i="6"/>
  <c r="G215" i="6"/>
  <c r="Q214" i="6"/>
  <c r="G214" i="6"/>
  <c r="Q213" i="6"/>
  <c r="G213" i="6"/>
  <c r="Q212" i="6"/>
  <c r="G212" i="6"/>
  <c r="Q211" i="6"/>
  <c r="G211" i="6"/>
  <c r="Q210" i="6"/>
  <c r="G210" i="6"/>
  <c r="Q209" i="6"/>
  <c r="G209" i="6"/>
  <c r="Q208" i="6"/>
  <c r="G208" i="6"/>
  <c r="Q207" i="6"/>
  <c r="G207" i="6"/>
  <c r="Q206" i="6"/>
  <c r="G206" i="6"/>
  <c r="Q205" i="6"/>
  <c r="G205" i="6"/>
  <c r="Q204" i="6"/>
  <c r="G204" i="6"/>
  <c r="Q203" i="6"/>
  <c r="G203" i="6"/>
  <c r="Q202" i="6"/>
  <c r="G202" i="6"/>
  <c r="Q201" i="6"/>
  <c r="G201" i="6"/>
  <c r="Q200" i="6"/>
  <c r="G200" i="6"/>
  <c r="Q199" i="6"/>
  <c r="G199" i="6"/>
  <c r="Q198" i="6"/>
  <c r="G198" i="6"/>
  <c r="Q197" i="6"/>
  <c r="G197" i="6"/>
  <c r="Q196" i="6"/>
  <c r="G196" i="6"/>
  <c r="Q195" i="6"/>
  <c r="G195" i="6"/>
  <c r="Q194" i="6"/>
  <c r="G194" i="6"/>
  <c r="Q193" i="6"/>
  <c r="G193" i="6"/>
  <c r="Q192" i="6"/>
  <c r="G192" i="6"/>
  <c r="Q191" i="6"/>
  <c r="G191" i="6"/>
  <c r="Q190" i="6"/>
  <c r="G190" i="6"/>
  <c r="Q189" i="6"/>
  <c r="G189" i="6"/>
  <c r="Q188" i="6"/>
  <c r="G188" i="6"/>
  <c r="Q187" i="6"/>
  <c r="G187" i="6"/>
  <c r="Q186" i="6"/>
  <c r="G186" i="6"/>
  <c r="Q185" i="6"/>
  <c r="G185" i="6"/>
  <c r="Q184" i="6"/>
  <c r="G184" i="6"/>
  <c r="Q183" i="6"/>
  <c r="G183" i="6"/>
  <c r="Q182" i="6"/>
  <c r="G182" i="6"/>
  <c r="Q181" i="6"/>
  <c r="G181" i="6"/>
  <c r="Q180" i="6"/>
  <c r="G180" i="6"/>
  <c r="Q179" i="6"/>
  <c r="G179" i="6"/>
  <c r="Q178" i="6"/>
  <c r="G178" i="6"/>
  <c r="Q177" i="6"/>
  <c r="G177" i="6"/>
  <c r="Q176" i="6"/>
  <c r="G176" i="6"/>
  <c r="Q175" i="6"/>
  <c r="G175" i="6"/>
  <c r="Q174" i="6"/>
  <c r="G174" i="6"/>
  <c r="Q173" i="6"/>
  <c r="G173" i="6"/>
  <c r="Q172" i="6"/>
  <c r="G172" i="6"/>
  <c r="Q171" i="6"/>
  <c r="G171" i="6"/>
  <c r="Q170" i="6"/>
  <c r="G170" i="6"/>
  <c r="Q169" i="6"/>
  <c r="G169" i="6"/>
  <c r="Q168" i="6"/>
  <c r="G168" i="6"/>
  <c r="Q167" i="6"/>
  <c r="G167" i="6"/>
  <c r="Q166" i="6"/>
  <c r="G166" i="6"/>
  <c r="Q165" i="6"/>
  <c r="G165" i="6"/>
  <c r="Q164" i="6"/>
  <c r="G164" i="6"/>
  <c r="Q163" i="6"/>
  <c r="G163" i="6"/>
  <c r="Q162" i="6"/>
  <c r="G162" i="6"/>
  <c r="Q161" i="6"/>
  <c r="G161" i="6"/>
  <c r="Q160" i="6"/>
  <c r="G160" i="6"/>
  <c r="Q159" i="6"/>
  <c r="G159" i="6"/>
  <c r="Q158" i="6"/>
  <c r="G158" i="6"/>
  <c r="Q157" i="6"/>
  <c r="G157" i="6"/>
  <c r="Q156" i="6"/>
  <c r="G156" i="6"/>
  <c r="Q155" i="6"/>
  <c r="G155" i="6"/>
  <c r="Q154" i="6"/>
  <c r="G154" i="6"/>
  <c r="Q153" i="6"/>
  <c r="G153" i="6"/>
  <c r="Q152" i="6"/>
  <c r="G152" i="6"/>
  <c r="Q151" i="6"/>
  <c r="G151" i="6"/>
  <c r="Q150" i="6"/>
  <c r="G150" i="6"/>
  <c r="Q149" i="6"/>
  <c r="G149" i="6"/>
  <c r="Q148" i="6"/>
  <c r="G148" i="6"/>
  <c r="Q147" i="6"/>
  <c r="G147" i="6"/>
  <c r="Q146" i="6"/>
  <c r="G146" i="6"/>
  <c r="Q145" i="6"/>
  <c r="G145" i="6"/>
  <c r="Q144" i="6"/>
  <c r="G144" i="6"/>
  <c r="Q143" i="6"/>
  <c r="G143" i="6"/>
  <c r="Q142" i="6"/>
  <c r="G142" i="6"/>
  <c r="Q141" i="6"/>
  <c r="G141" i="6"/>
  <c r="Q140" i="6"/>
  <c r="G140" i="6"/>
  <c r="Q139" i="6"/>
  <c r="G139" i="6"/>
  <c r="Q138" i="6"/>
  <c r="G138" i="6"/>
  <c r="Q137" i="6"/>
  <c r="G137" i="6"/>
  <c r="Q136" i="6"/>
  <c r="G136" i="6"/>
  <c r="Q135" i="6"/>
  <c r="G135" i="6"/>
  <c r="Q134" i="6"/>
  <c r="G134" i="6"/>
  <c r="Q133" i="6"/>
  <c r="G133" i="6"/>
  <c r="Q132" i="6"/>
  <c r="G132" i="6"/>
  <c r="Q131" i="6"/>
  <c r="G131" i="6"/>
  <c r="Q130" i="6"/>
  <c r="G130" i="6"/>
  <c r="Q129" i="6"/>
  <c r="G129" i="6"/>
  <c r="Q128" i="6"/>
  <c r="G128" i="6"/>
  <c r="Q127" i="6"/>
  <c r="G127" i="6"/>
  <c r="Q126" i="6"/>
  <c r="G126" i="6"/>
  <c r="Q125" i="6"/>
  <c r="G125" i="6"/>
  <c r="Q124" i="6"/>
  <c r="G124" i="6"/>
  <c r="Q123" i="6"/>
  <c r="G123" i="6"/>
  <c r="Q122" i="6"/>
  <c r="G122" i="6"/>
  <c r="Q121" i="6"/>
  <c r="G121" i="6"/>
  <c r="Q120" i="6"/>
  <c r="G120" i="6"/>
  <c r="Q119" i="6"/>
  <c r="G119" i="6"/>
  <c r="Q118" i="6"/>
  <c r="G118" i="6"/>
  <c r="Q117" i="6"/>
  <c r="G117" i="6"/>
  <c r="Q116" i="6"/>
  <c r="G116" i="6"/>
  <c r="Q115" i="6"/>
  <c r="G115" i="6"/>
  <c r="Q114" i="6"/>
  <c r="G114" i="6"/>
  <c r="Q113" i="6"/>
  <c r="G113" i="6"/>
  <c r="Q112" i="6"/>
  <c r="G112" i="6"/>
  <c r="Q111" i="6"/>
  <c r="G111" i="6"/>
  <c r="Q110" i="6"/>
  <c r="G110" i="6"/>
  <c r="Q109" i="6"/>
  <c r="G109" i="6"/>
  <c r="Q108" i="6"/>
  <c r="G108" i="6"/>
  <c r="Q107" i="6"/>
  <c r="G107" i="6"/>
  <c r="Q106" i="6"/>
  <c r="G106" i="6"/>
  <c r="Q105" i="6"/>
  <c r="G105" i="6"/>
  <c r="Q104" i="6"/>
  <c r="G104" i="6"/>
  <c r="Q103" i="6"/>
  <c r="G103" i="6"/>
  <c r="Q102" i="6"/>
  <c r="G102" i="6"/>
  <c r="Q101" i="6"/>
  <c r="G101" i="6"/>
  <c r="Q100" i="6"/>
  <c r="G100" i="6"/>
  <c r="Q99" i="6"/>
  <c r="G99" i="6"/>
  <c r="Q98" i="6"/>
  <c r="G98" i="6"/>
  <c r="Q97" i="6"/>
  <c r="G97" i="6"/>
  <c r="Q96" i="6"/>
  <c r="G96" i="6"/>
  <c r="Q95" i="6"/>
  <c r="G95" i="6"/>
  <c r="Q94" i="6"/>
  <c r="G94" i="6"/>
  <c r="Q93" i="6"/>
  <c r="G93" i="6"/>
  <c r="Q92" i="6"/>
  <c r="G92" i="6"/>
  <c r="Q91" i="6"/>
  <c r="G91" i="6"/>
  <c r="Q90" i="6"/>
  <c r="G90" i="6"/>
  <c r="Q89" i="6"/>
  <c r="G89" i="6"/>
  <c r="Q88" i="6"/>
  <c r="G88" i="6"/>
  <c r="Q87" i="6"/>
  <c r="G87" i="6"/>
  <c r="Q86" i="6"/>
  <c r="G86" i="6"/>
  <c r="Q85" i="6"/>
  <c r="G85" i="6"/>
  <c r="Q84" i="6"/>
  <c r="G84" i="6"/>
  <c r="Q83" i="6"/>
  <c r="G83" i="6"/>
  <c r="Q82" i="6"/>
  <c r="G82" i="6"/>
  <c r="Q81" i="6"/>
  <c r="G81" i="6"/>
  <c r="Q80" i="6"/>
  <c r="G80" i="6"/>
  <c r="Q79" i="6"/>
  <c r="G79" i="6"/>
  <c r="Q78" i="6"/>
  <c r="G78" i="6"/>
  <c r="Q77" i="6"/>
  <c r="G77" i="6"/>
  <c r="Q76" i="6"/>
  <c r="G76" i="6"/>
  <c r="Q75" i="6"/>
  <c r="G75" i="6"/>
  <c r="Q74" i="6"/>
  <c r="G74" i="6"/>
  <c r="Q73" i="6"/>
  <c r="G73" i="6"/>
  <c r="Q72" i="6"/>
  <c r="G72" i="6"/>
  <c r="Q71" i="6"/>
  <c r="G71" i="6"/>
  <c r="Q70" i="6"/>
  <c r="G70" i="6"/>
  <c r="Q69" i="6"/>
  <c r="G69" i="6"/>
  <c r="Q68" i="6"/>
  <c r="G68" i="6"/>
  <c r="Q67" i="6"/>
  <c r="G67" i="6"/>
  <c r="Q66" i="6"/>
  <c r="G66" i="6"/>
  <c r="Q65" i="6"/>
  <c r="G65" i="6"/>
  <c r="Q64" i="6"/>
  <c r="G64" i="6"/>
  <c r="Q63" i="6"/>
  <c r="G63" i="6"/>
  <c r="Q62" i="6"/>
  <c r="G62" i="6"/>
  <c r="Q61" i="6"/>
  <c r="G61" i="6"/>
  <c r="Q60" i="6"/>
  <c r="G60" i="6"/>
  <c r="Q59" i="6"/>
  <c r="G59" i="6"/>
  <c r="Q58" i="6"/>
  <c r="G58" i="6"/>
  <c r="Q57" i="6"/>
  <c r="G57" i="6"/>
  <c r="Q56" i="6"/>
  <c r="G56" i="6"/>
  <c r="Q55" i="6"/>
  <c r="G55" i="6"/>
  <c r="Q54" i="6"/>
  <c r="G54" i="6"/>
  <c r="Q53" i="6"/>
  <c r="G53" i="6"/>
  <c r="Q52" i="6"/>
  <c r="G52" i="6"/>
  <c r="Q51" i="6"/>
  <c r="G51" i="6"/>
  <c r="Q50" i="6"/>
  <c r="G50" i="6"/>
  <c r="Q49" i="6"/>
  <c r="G49" i="6"/>
  <c r="Q48" i="6"/>
  <c r="G48" i="6"/>
  <c r="Q47" i="6"/>
  <c r="G47" i="6"/>
  <c r="Q46" i="6"/>
  <c r="G46" i="6"/>
  <c r="Q45" i="6"/>
  <c r="G45" i="6"/>
  <c r="Q44" i="6"/>
  <c r="G44" i="6"/>
  <c r="Q43" i="6"/>
  <c r="G43" i="6"/>
  <c r="Q42" i="6"/>
  <c r="G42" i="6"/>
  <c r="Q41" i="6"/>
  <c r="G41" i="6"/>
  <c r="Q40" i="6"/>
  <c r="G40" i="6"/>
  <c r="Q39" i="6"/>
  <c r="G39" i="6"/>
  <c r="Q38" i="6"/>
  <c r="G38" i="6"/>
  <c r="Q37" i="6"/>
  <c r="G37" i="6"/>
  <c r="Q36" i="6"/>
  <c r="G36" i="6"/>
  <c r="Q35" i="6"/>
  <c r="G35" i="6"/>
  <c r="Q34" i="6"/>
  <c r="G34" i="6"/>
  <c r="Q33" i="6"/>
  <c r="G33" i="6"/>
  <c r="Q32" i="6"/>
  <c r="G32" i="6"/>
  <c r="Q31" i="6"/>
  <c r="G31" i="6"/>
  <c r="Q30" i="6"/>
  <c r="G30" i="6"/>
  <c r="Q29" i="6"/>
  <c r="G29" i="6"/>
  <c r="Q28" i="6"/>
  <c r="G28" i="6"/>
  <c r="Q27" i="6"/>
  <c r="G27" i="6"/>
  <c r="Q26" i="6"/>
  <c r="G26" i="6"/>
  <c r="Q25" i="6"/>
  <c r="G25" i="6"/>
  <c r="Q24" i="6"/>
  <c r="G24" i="6"/>
  <c r="Q23" i="6"/>
  <c r="G23" i="6"/>
  <c r="Q22" i="6"/>
  <c r="G22" i="6"/>
  <c r="Q21" i="6"/>
  <c r="G21" i="6"/>
  <c r="Q20" i="6"/>
  <c r="G20" i="6"/>
  <c r="Q19" i="6"/>
  <c r="G19" i="6"/>
  <c r="Q18" i="6"/>
  <c r="G18" i="6"/>
  <c r="Q17" i="6"/>
  <c r="G17" i="6"/>
  <c r="Q16" i="6"/>
  <c r="G16" i="6"/>
  <c r="Q15" i="6"/>
  <c r="G15" i="6"/>
  <c r="Q14" i="6"/>
  <c r="G14" i="6"/>
  <c r="Q13" i="6"/>
  <c r="G13" i="6"/>
  <c r="Q12" i="6"/>
  <c r="G12" i="6"/>
  <c r="Q11" i="6"/>
  <c r="N11" i="6"/>
  <c r="M11" i="6"/>
  <c r="G11" i="6"/>
  <c r="Q10" i="6"/>
  <c r="N10" i="6"/>
  <c r="M10" i="6"/>
  <c r="G10" i="6"/>
  <c r="Q9" i="6"/>
  <c r="N9" i="6"/>
  <c r="M9" i="6"/>
  <c r="G9" i="6"/>
  <c r="Q8" i="6"/>
  <c r="N8" i="6"/>
  <c r="M8" i="6"/>
  <c r="G8" i="6"/>
  <c r="Q7" i="6"/>
  <c r="G7" i="6"/>
  <c r="Q6" i="6"/>
  <c r="G6" i="6"/>
  <c r="Q5" i="6"/>
  <c r="G5" i="6"/>
  <c r="Q4" i="6"/>
  <c r="G4" i="6"/>
  <c r="Q3" i="6"/>
  <c r="Q2" i="6"/>
  <c r="N4" i="4"/>
  <c r="U3" i="4"/>
  <c r="N4" i="6" l="1"/>
  <c r="H955" i="6" s="1"/>
  <c r="H907" i="6"/>
  <c r="H899" i="6"/>
  <c r="H843" i="6"/>
  <c r="H835" i="6"/>
  <c r="H952" i="6"/>
  <c r="H889" i="6"/>
  <c r="H735" i="6"/>
  <c r="H719" i="6"/>
  <c r="H945" i="6"/>
  <c r="H943" i="6"/>
  <c r="H890" i="6"/>
  <c r="H873" i="6"/>
  <c r="H928" i="6"/>
  <c r="H920" i="6"/>
  <c r="H869" i="6"/>
  <c r="H856" i="6"/>
  <c r="H818" i="6"/>
  <c r="H801" i="6"/>
  <c r="H737" i="6"/>
  <c r="H956" i="6"/>
  <c r="H880" i="6"/>
  <c r="H876" i="6"/>
  <c r="H816" i="6"/>
  <c r="H812" i="6"/>
  <c r="H761" i="6"/>
  <c r="H911" i="6"/>
  <c r="H698" i="6"/>
  <c r="H690" i="6"/>
  <c r="H896" i="6"/>
  <c r="H847" i="6"/>
  <c r="H717" i="6"/>
  <c r="H712" i="6"/>
  <c r="H651" i="6"/>
  <c r="H860" i="6"/>
  <c r="H721" i="6"/>
  <c r="H877" i="6"/>
  <c r="H692" i="6"/>
  <c r="H644" i="6"/>
  <c r="H695" i="6"/>
  <c r="H687" i="6"/>
  <c r="H572" i="6"/>
  <c r="H564" i="6"/>
  <c r="H508" i="6"/>
  <c r="H500" i="6"/>
  <c r="H444" i="6"/>
  <c r="H458" i="6"/>
  <c r="H557" i="6"/>
  <c r="H549" i="6"/>
  <c r="H493" i="6"/>
  <c r="H485" i="6"/>
  <c r="H587" i="6"/>
  <c r="H579" i="6"/>
  <c r="H467" i="6"/>
  <c r="H459" i="6"/>
  <c r="H558" i="6"/>
  <c r="H550" i="6"/>
  <c r="H494" i="6"/>
  <c r="H486" i="6"/>
  <c r="H288" i="6"/>
  <c r="H280" i="6"/>
  <c r="H302" i="6"/>
  <c r="H294" i="6"/>
  <c r="H308" i="6"/>
  <c r="H300" i="6"/>
  <c r="H410" i="6"/>
  <c r="H402" i="6"/>
  <c r="H322" i="6"/>
  <c r="H306" i="6"/>
  <c r="H240" i="6"/>
  <c r="H232" i="6"/>
  <c r="H243" i="6"/>
  <c r="H235" i="6"/>
  <c r="H258" i="6"/>
  <c r="H250" i="6"/>
  <c r="H194" i="6"/>
  <c r="H162" i="6"/>
  <c r="H19" i="6"/>
  <c r="H23" i="6"/>
  <c r="H32" i="6"/>
  <c r="H36" i="6"/>
  <c r="H64" i="6"/>
  <c r="H68" i="6"/>
  <c r="H96" i="6"/>
  <c r="H100" i="6"/>
  <c r="H120" i="6"/>
  <c r="H10" i="6"/>
  <c r="H16" i="6"/>
  <c r="H25" i="6"/>
  <c r="H33" i="6"/>
  <c r="H37" i="6"/>
  <c r="H57" i="6"/>
  <c r="H65" i="6"/>
  <c r="H69" i="6"/>
  <c r="H93" i="6"/>
  <c r="H97" i="6"/>
  <c r="H101" i="6"/>
  <c r="H105" i="6"/>
  <c r="H109" i="6"/>
  <c r="H113" i="6"/>
  <c r="H121" i="6"/>
  <c r="H9" i="6"/>
  <c r="H11" i="6"/>
  <c r="H14" i="6"/>
  <c r="H18" i="6"/>
  <c r="H22" i="6"/>
  <c r="H26" i="6"/>
  <c r="H30" i="6"/>
  <c r="H34" i="6"/>
  <c r="H38" i="6"/>
  <c r="H42" i="6"/>
  <c r="H46" i="6"/>
  <c r="H50" i="6"/>
  <c r="H54" i="6"/>
  <c r="H58" i="6"/>
  <c r="H62" i="6"/>
  <c r="H66" i="6"/>
  <c r="H70" i="6"/>
  <c r="H74" i="6"/>
  <c r="H78" i="6"/>
  <c r="H82" i="6"/>
  <c r="H86" i="6"/>
  <c r="H90" i="6"/>
  <c r="H94" i="6"/>
  <c r="H98" i="6"/>
  <c r="H102" i="6"/>
  <c r="H106" i="6"/>
  <c r="H110" i="6"/>
  <c r="H114" i="6"/>
  <c r="H118" i="6"/>
  <c r="H122" i="6"/>
  <c r="H126" i="6"/>
  <c r="H6" i="6"/>
  <c r="H15" i="6"/>
  <c r="H27" i="6"/>
  <c r="H35" i="6"/>
  <c r="H39" i="6"/>
  <c r="H43" i="6"/>
  <c r="H47" i="6"/>
  <c r="H51" i="6"/>
  <c r="H55" i="6"/>
  <c r="H59" i="6"/>
  <c r="H63" i="6"/>
  <c r="H67" i="6"/>
  <c r="H71" i="6"/>
  <c r="H75" i="6"/>
  <c r="H79" i="6"/>
  <c r="H83" i="6"/>
  <c r="H87" i="6"/>
  <c r="H91" i="6"/>
  <c r="H95" i="6"/>
  <c r="H99" i="6"/>
  <c r="H103" i="6"/>
  <c r="H107" i="6"/>
  <c r="H111" i="6"/>
  <c r="H115" i="6"/>
  <c r="H119" i="6"/>
  <c r="H127" i="6"/>
  <c r="U2" i="6"/>
  <c r="R15" i="6" s="1"/>
  <c r="R207" i="6"/>
  <c r="H128" i="6"/>
  <c r="H136" i="6"/>
  <c r="H140" i="6"/>
  <c r="H144" i="6"/>
  <c r="H148" i="6"/>
  <c r="H152" i="6"/>
  <c r="H156" i="6"/>
  <c r="H160" i="6"/>
  <c r="H164" i="6"/>
  <c r="H168" i="6"/>
  <c r="H172" i="6"/>
  <c r="H176" i="6"/>
  <c r="H180" i="6"/>
  <c r="H184" i="6"/>
  <c r="H188" i="6"/>
  <c r="H196" i="6"/>
  <c r="H204" i="6"/>
  <c r="H212" i="6"/>
  <c r="H220" i="6"/>
  <c r="H228" i="6"/>
  <c r="H236" i="6"/>
  <c r="H244" i="6"/>
  <c r="H252" i="6"/>
  <c r="H260" i="6"/>
  <c r="H268" i="6"/>
  <c r="H129" i="6"/>
  <c r="H133" i="6"/>
  <c r="H137" i="6"/>
  <c r="H141" i="6"/>
  <c r="H145" i="6"/>
  <c r="H149" i="6"/>
  <c r="H153" i="6"/>
  <c r="H157" i="6"/>
  <c r="H161" i="6"/>
  <c r="H165" i="6"/>
  <c r="H169" i="6"/>
  <c r="H173" i="6"/>
  <c r="H177" i="6"/>
  <c r="H181" i="6"/>
  <c r="H185" i="6"/>
  <c r="H189" i="6"/>
  <c r="H193" i="6"/>
  <c r="H197" i="6"/>
  <c r="H201" i="6"/>
  <c r="H205" i="6"/>
  <c r="H209" i="6"/>
  <c r="H213" i="6"/>
  <c r="H217" i="6"/>
  <c r="H221" i="6"/>
  <c r="H225" i="6"/>
  <c r="H229" i="6"/>
  <c r="H233" i="6"/>
  <c r="H237" i="6"/>
  <c r="H241" i="6"/>
  <c r="H245" i="6"/>
  <c r="H249" i="6"/>
  <c r="H253" i="6"/>
  <c r="H257" i="6"/>
  <c r="H261" i="6"/>
  <c r="H265" i="6"/>
  <c r="H269" i="6"/>
  <c r="H273" i="6"/>
  <c r="H130" i="6"/>
  <c r="H134" i="6"/>
  <c r="H138" i="6"/>
  <c r="H142" i="6"/>
  <c r="H146" i="6"/>
  <c r="H150" i="6"/>
  <c r="H154" i="6"/>
  <c r="H158" i="6"/>
  <c r="H166" i="6"/>
  <c r="H170" i="6"/>
  <c r="H174" i="6"/>
  <c r="H178" i="6"/>
  <c r="H182" i="6"/>
  <c r="H186" i="6"/>
  <c r="H190" i="6"/>
  <c r="H198" i="6"/>
  <c r="H206" i="6"/>
  <c r="H214" i="6"/>
  <c r="H222" i="6"/>
  <c r="H230" i="6"/>
  <c r="H238" i="6"/>
  <c r="H246" i="6"/>
  <c r="H254" i="6"/>
  <c r="H262" i="6"/>
  <c r="H270" i="6"/>
  <c r="R170" i="6"/>
  <c r="H131" i="6"/>
  <c r="H135" i="6"/>
  <c r="H139" i="6"/>
  <c r="H143" i="6"/>
  <c r="H147" i="6"/>
  <c r="H151" i="6"/>
  <c r="H155" i="6"/>
  <c r="H159" i="6"/>
  <c r="H163" i="6"/>
  <c r="H167" i="6"/>
  <c r="H171" i="6"/>
  <c r="H175" i="6"/>
  <c r="H179" i="6"/>
  <c r="H183" i="6"/>
  <c r="H187" i="6"/>
  <c r="H191" i="6"/>
  <c r="H195" i="6"/>
  <c r="H199" i="6"/>
  <c r="H203" i="6"/>
  <c r="H207" i="6"/>
  <c r="H211" i="6"/>
  <c r="H215" i="6"/>
  <c r="H223" i="6"/>
  <c r="H231" i="6"/>
  <c r="H239" i="6"/>
  <c r="H247" i="6"/>
  <c r="H255" i="6"/>
  <c r="H259" i="6"/>
  <c r="H263" i="6"/>
  <c r="H267" i="6"/>
  <c r="H271" i="6"/>
  <c r="R423" i="6"/>
  <c r="H304" i="6"/>
  <c r="H312" i="6"/>
  <c r="H316" i="6"/>
  <c r="H320" i="6"/>
  <c r="H324" i="6"/>
  <c r="H328" i="6"/>
  <c r="H332" i="6"/>
  <c r="H336" i="6"/>
  <c r="H340" i="6"/>
  <c r="H344" i="6"/>
  <c r="H348" i="6"/>
  <c r="H352" i="6"/>
  <c r="H356" i="6"/>
  <c r="H360" i="6"/>
  <c r="H364" i="6"/>
  <c r="H368" i="6"/>
  <c r="H372" i="6"/>
  <c r="H376" i="6"/>
  <c r="H380" i="6"/>
  <c r="H384" i="6"/>
  <c r="H388" i="6"/>
  <c r="H392" i="6"/>
  <c r="H396" i="6"/>
  <c r="H400" i="6"/>
  <c r="H404" i="6"/>
  <c r="H408" i="6"/>
  <c r="H412" i="6"/>
  <c r="H416" i="6"/>
  <c r="H420" i="6"/>
  <c r="H424" i="6"/>
  <c r="H428" i="6"/>
  <c r="H436" i="6"/>
  <c r="R416" i="6"/>
  <c r="H277" i="6"/>
  <c r="H281" i="6"/>
  <c r="H285" i="6"/>
  <c r="H289" i="6"/>
  <c r="H293" i="6"/>
  <c r="H297" i="6"/>
  <c r="H301" i="6"/>
  <c r="H305" i="6"/>
  <c r="H309" i="6"/>
  <c r="H313" i="6"/>
  <c r="H317" i="6"/>
  <c r="H321" i="6"/>
  <c r="H325" i="6"/>
  <c r="H329" i="6"/>
  <c r="H333" i="6"/>
  <c r="H341" i="6"/>
  <c r="H349" i="6"/>
  <c r="H357" i="6"/>
  <c r="H365" i="6"/>
  <c r="H369" i="6"/>
  <c r="H373" i="6"/>
  <c r="H377" i="6"/>
  <c r="H381" i="6"/>
  <c r="H385" i="6"/>
  <c r="H389" i="6"/>
  <c r="H393" i="6"/>
  <c r="H397" i="6"/>
  <c r="H401" i="6"/>
  <c r="H405" i="6"/>
  <c r="H409" i="6"/>
  <c r="H413" i="6"/>
  <c r="H417" i="6"/>
  <c r="H421" i="6"/>
  <c r="H425" i="6"/>
  <c r="H429" i="6"/>
  <c r="H433" i="6"/>
  <c r="R373" i="6"/>
  <c r="R385" i="6"/>
  <c r="H275" i="6"/>
  <c r="H282" i="6"/>
  <c r="H286" i="6"/>
  <c r="H290" i="6"/>
  <c r="H314" i="6"/>
  <c r="H326" i="6"/>
  <c r="H330" i="6"/>
  <c r="H334" i="6"/>
  <c r="H338" i="6"/>
  <c r="H342" i="6"/>
  <c r="H346" i="6"/>
  <c r="H350" i="6"/>
  <c r="H358" i="6"/>
  <c r="H366" i="6"/>
  <c r="H374" i="6"/>
  <c r="H406" i="6"/>
  <c r="H414" i="6"/>
  <c r="H422" i="6"/>
  <c r="H430" i="6"/>
  <c r="H434" i="6"/>
  <c r="R278" i="6"/>
  <c r="R302" i="6"/>
  <c r="R422" i="6"/>
  <c r="H279" i="6"/>
  <c r="H283" i="6"/>
  <c r="H287" i="6"/>
  <c r="H291" i="6"/>
  <c r="H295" i="6"/>
  <c r="H299" i="6"/>
  <c r="H303" i="6"/>
  <c r="H307" i="6"/>
  <c r="H311" i="6"/>
  <c r="H315" i="6"/>
  <c r="H319" i="6"/>
  <c r="H323" i="6"/>
  <c r="H327" i="6"/>
  <c r="H331" i="6"/>
  <c r="H335" i="6"/>
  <c r="H339" i="6"/>
  <c r="H343" i="6"/>
  <c r="H351" i="6"/>
  <c r="H355" i="6"/>
  <c r="H363" i="6"/>
  <c r="H367" i="6"/>
  <c r="H371" i="6"/>
  <c r="H375" i="6"/>
  <c r="H379" i="6"/>
  <c r="H383" i="6"/>
  <c r="H387" i="6"/>
  <c r="H391" i="6"/>
  <c r="H395" i="6"/>
  <c r="H399" i="6"/>
  <c r="H403" i="6"/>
  <c r="H407" i="6"/>
  <c r="H411" i="6"/>
  <c r="H415" i="6"/>
  <c r="H419" i="6"/>
  <c r="H423" i="6"/>
  <c r="H427" i="6"/>
  <c r="H431" i="6"/>
  <c r="H435" i="6"/>
  <c r="H439" i="6"/>
  <c r="H443" i="6"/>
  <c r="R483" i="6"/>
  <c r="H440" i="6"/>
  <c r="H448" i="6"/>
  <c r="H456" i="6"/>
  <c r="H464" i="6"/>
  <c r="H472" i="6"/>
  <c r="H480" i="6"/>
  <c r="H488" i="6"/>
  <c r="H496" i="6"/>
  <c r="H504" i="6"/>
  <c r="H512" i="6"/>
  <c r="H520" i="6"/>
  <c r="H528" i="6"/>
  <c r="H536" i="6"/>
  <c r="H544" i="6"/>
  <c r="H552" i="6"/>
  <c r="H560" i="6"/>
  <c r="H568" i="6"/>
  <c r="H576" i="6"/>
  <c r="H584" i="6"/>
  <c r="H592" i="6"/>
  <c r="R442" i="6"/>
  <c r="R516" i="6"/>
  <c r="R520" i="6"/>
  <c r="R568" i="6"/>
  <c r="R576" i="6"/>
  <c r="H449" i="6"/>
  <c r="H457" i="6"/>
  <c r="H465" i="6"/>
  <c r="H473" i="6"/>
  <c r="H481" i="6"/>
  <c r="H489" i="6"/>
  <c r="H497" i="6"/>
  <c r="H505" i="6"/>
  <c r="H513" i="6"/>
  <c r="H521" i="6"/>
  <c r="H529" i="6"/>
  <c r="H537" i="6"/>
  <c r="H545" i="6"/>
  <c r="H553" i="6"/>
  <c r="H561" i="6"/>
  <c r="H569" i="6"/>
  <c r="H577" i="6"/>
  <c r="H585" i="6"/>
  <c r="H593" i="6"/>
  <c r="R465" i="6"/>
  <c r="R473" i="6"/>
  <c r="R529" i="6"/>
  <c r="R537" i="6"/>
  <c r="R593" i="6"/>
  <c r="R433" i="6"/>
  <c r="H441" i="6"/>
  <c r="H466" i="6"/>
  <c r="H474" i="6"/>
  <c r="H482" i="6"/>
  <c r="H490" i="6"/>
  <c r="H498" i="6"/>
  <c r="H506" i="6"/>
  <c r="H514" i="6"/>
  <c r="H522" i="6"/>
  <c r="H530" i="6"/>
  <c r="H538" i="6"/>
  <c r="H546" i="6"/>
  <c r="H554" i="6"/>
  <c r="H562" i="6"/>
  <c r="H570" i="6"/>
  <c r="H578" i="6"/>
  <c r="H586" i="6"/>
  <c r="H594" i="6"/>
  <c r="H432" i="6"/>
  <c r="R474" i="6"/>
  <c r="R482" i="6"/>
  <c r="R538" i="6"/>
  <c r="R546" i="6"/>
  <c r="R441" i="6"/>
  <c r="H447" i="6"/>
  <c r="H455" i="6"/>
  <c r="H463" i="6"/>
  <c r="H471" i="6"/>
  <c r="H479" i="6"/>
  <c r="H487" i="6"/>
  <c r="H495" i="6"/>
  <c r="H499" i="6"/>
  <c r="H503" i="6"/>
  <c r="H507" i="6"/>
  <c r="H511" i="6"/>
  <c r="H515" i="6"/>
  <c r="H519" i="6"/>
  <c r="H523" i="6"/>
  <c r="H527" i="6"/>
  <c r="H531" i="6"/>
  <c r="H535" i="6"/>
  <c r="H539" i="6"/>
  <c r="H543" i="6"/>
  <c r="H547" i="6"/>
  <c r="H551" i="6"/>
  <c r="H559" i="6"/>
  <c r="H567" i="6"/>
  <c r="H575" i="6"/>
  <c r="H583" i="6"/>
  <c r="H591" i="6"/>
  <c r="H600" i="6"/>
  <c r="R623" i="6"/>
  <c r="R627" i="6"/>
  <c r="R655" i="6"/>
  <c r="R659" i="6"/>
  <c r="R703" i="6"/>
  <c r="R711" i="6"/>
  <c r="H604" i="6"/>
  <c r="H608" i="6"/>
  <c r="H612" i="6"/>
  <c r="H616" i="6"/>
  <c r="H620" i="6"/>
  <c r="H624" i="6"/>
  <c r="H628" i="6"/>
  <c r="H632" i="6"/>
  <c r="H640" i="6"/>
  <c r="H648" i="6"/>
  <c r="H652" i="6"/>
  <c r="H656" i="6"/>
  <c r="H660" i="6"/>
  <c r="H664" i="6"/>
  <c r="H668" i="6"/>
  <c r="H672" i="6"/>
  <c r="H676" i="6"/>
  <c r="H684" i="6"/>
  <c r="H720" i="6"/>
  <c r="H728" i="6"/>
  <c r="H736" i="6"/>
  <c r="H748" i="6"/>
  <c r="H776" i="6"/>
  <c r="H788" i="6"/>
  <c r="H800" i="6"/>
  <c r="R600" i="6"/>
  <c r="R608" i="6"/>
  <c r="R612" i="6"/>
  <c r="R616" i="6"/>
  <c r="R620" i="6"/>
  <c r="R624" i="6"/>
  <c r="R628" i="6"/>
  <c r="R632" i="6"/>
  <c r="R636" i="6"/>
  <c r="R640" i="6"/>
  <c r="R684" i="6"/>
  <c r="R692" i="6"/>
  <c r="R700" i="6"/>
  <c r="R708" i="6"/>
  <c r="R716" i="6"/>
  <c r="R744" i="6"/>
  <c r="H601" i="6"/>
  <c r="H609" i="6"/>
  <c r="H613" i="6"/>
  <c r="H617" i="6"/>
  <c r="H621" i="6"/>
  <c r="H625" i="6"/>
  <c r="H629" i="6"/>
  <c r="H633" i="6"/>
  <c r="H637" i="6"/>
  <c r="H641" i="6"/>
  <c r="H645" i="6"/>
  <c r="H649" i="6"/>
  <c r="H653" i="6"/>
  <c r="H657" i="6"/>
  <c r="H661" i="6"/>
  <c r="H665" i="6"/>
  <c r="H669" i="6"/>
  <c r="H673" i="6"/>
  <c r="H677" i="6"/>
  <c r="H681" i="6"/>
  <c r="H685" i="6"/>
  <c r="H689" i="6"/>
  <c r="H693" i="6"/>
  <c r="H697" i="6"/>
  <c r="H701" i="6"/>
  <c r="H705" i="6"/>
  <c r="H709" i="6"/>
  <c r="H713" i="6"/>
  <c r="H741" i="6"/>
  <c r="H769" i="6"/>
  <c r="H813" i="6"/>
  <c r="H599" i="6"/>
  <c r="R601" i="6"/>
  <c r="R605" i="6"/>
  <c r="R609" i="6"/>
  <c r="R613" i="6"/>
  <c r="R617" i="6"/>
  <c r="R621" i="6"/>
  <c r="R625" i="6"/>
  <c r="R629" i="6"/>
  <c r="R633" i="6"/>
  <c r="R641" i="6"/>
  <c r="R649" i="6"/>
  <c r="R657" i="6"/>
  <c r="R661" i="6"/>
  <c r="R665" i="6"/>
  <c r="R669" i="6"/>
  <c r="R673" i="6"/>
  <c r="R721" i="6"/>
  <c r="R753" i="6"/>
  <c r="R777" i="6"/>
  <c r="H602" i="6"/>
  <c r="H606" i="6"/>
  <c r="H610" i="6"/>
  <c r="H614" i="6"/>
  <c r="H618" i="6"/>
  <c r="H622" i="6"/>
  <c r="H626" i="6"/>
  <c r="H630" i="6"/>
  <c r="H634" i="6"/>
  <c r="H638" i="6"/>
  <c r="H642" i="6"/>
  <c r="H646" i="6"/>
  <c r="H650" i="6"/>
  <c r="H654" i="6"/>
  <c r="H658" i="6"/>
  <c r="H662" i="6"/>
  <c r="H666" i="6"/>
  <c r="H670" i="6"/>
  <c r="H674" i="6"/>
  <c r="H678" i="6"/>
  <c r="H686" i="6"/>
  <c r="H694" i="6"/>
  <c r="H702" i="6"/>
  <c r="H710" i="6"/>
  <c r="H762" i="6"/>
  <c r="H802" i="6"/>
  <c r="R602" i="6"/>
  <c r="R610" i="6"/>
  <c r="R614" i="6"/>
  <c r="R618" i="6"/>
  <c r="R622" i="6"/>
  <c r="R626" i="6"/>
  <c r="R630" i="6"/>
  <c r="R634" i="6"/>
  <c r="R638" i="6"/>
  <c r="R642" i="6"/>
  <c r="R646" i="6"/>
  <c r="R650" i="6"/>
  <c r="R654" i="6"/>
  <c r="R658" i="6"/>
  <c r="R662" i="6"/>
  <c r="R666" i="6"/>
  <c r="R670" i="6"/>
  <c r="R674" i="6"/>
  <c r="R678" i="6"/>
  <c r="R682" i="6"/>
  <c r="R686" i="6"/>
  <c r="R690" i="6"/>
  <c r="R694" i="6"/>
  <c r="R698" i="6"/>
  <c r="R702" i="6"/>
  <c r="R706" i="6"/>
  <c r="R710" i="6"/>
  <c r="R714" i="6"/>
  <c r="R718" i="6"/>
  <c r="R726" i="6"/>
  <c r="R734" i="6"/>
  <c r="R758" i="6"/>
  <c r="R770" i="6"/>
  <c r="R818" i="6"/>
  <c r="H603" i="6"/>
  <c r="H607" i="6"/>
  <c r="H611" i="6"/>
  <c r="H615" i="6"/>
  <c r="H619" i="6"/>
  <c r="H623" i="6"/>
  <c r="H627" i="6"/>
  <c r="H631" i="6"/>
  <c r="H635" i="6"/>
  <c r="H639" i="6"/>
  <c r="H643" i="6"/>
  <c r="H647" i="6"/>
  <c r="H655" i="6"/>
  <c r="H659" i="6"/>
  <c r="H667" i="6"/>
  <c r="H675" i="6"/>
  <c r="H683" i="6"/>
  <c r="H691" i="6"/>
  <c r="H699" i="6"/>
  <c r="H707" i="6"/>
  <c r="H715" i="6"/>
  <c r="H767" i="6"/>
  <c r="R727" i="6"/>
  <c r="H732" i="6"/>
  <c r="R760" i="6"/>
  <c r="H774" i="6"/>
  <c r="H777" i="6"/>
  <c r="R779" i="6"/>
  <c r="H785" i="6"/>
  <c r="R827" i="6"/>
  <c r="H842" i="6"/>
  <c r="R862" i="6"/>
  <c r="H866" i="6"/>
  <c r="R869" i="6"/>
  <c r="H887" i="6"/>
  <c r="R890" i="6"/>
  <c r="H894" i="6"/>
  <c r="H730" i="6"/>
  <c r="R747" i="6"/>
  <c r="H750" i="6"/>
  <c r="R755" i="6"/>
  <c r="R766" i="6"/>
  <c r="H796" i="6"/>
  <c r="R798" i="6"/>
  <c r="H804" i="6"/>
  <c r="H807" i="6"/>
  <c r="H821" i="6"/>
  <c r="R824" i="6"/>
  <c r="R842" i="6"/>
  <c r="R845" i="6"/>
  <c r="H849" i="6"/>
  <c r="H874" i="6"/>
  <c r="R894" i="6"/>
  <c r="H898" i="6"/>
  <c r="R901" i="6"/>
  <c r="H948" i="6"/>
  <c r="R725" i="6"/>
  <c r="H745" i="6"/>
  <c r="R761" i="6"/>
  <c r="H764" i="6"/>
  <c r="R774" i="6"/>
  <c r="H783" i="6"/>
  <c r="R793" i="6"/>
  <c r="H810" i="6"/>
  <c r="H839" i="6"/>
  <c r="H853" i="6"/>
  <c r="R856" i="6"/>
  <c r="R877" i="6"/>
  <c r="H881" i="6"/>
  <c r="H906" i="6"/>
  <c r="R920" i="6"/>
  <c r="R952" i="6"/>
  <c r="R960" i="6"/>
  <c r="R723" i="6"/>
  <c r="H726" i="6"/>
  <c r="R745" i="6"/>
  <c r="H751" i="6"/>
  <c r="H759" i="6"/>
  <c r="R769" i="6"/>
  <c r="H778" i="6"/>
  <c r="H805" i="6"/>
  <c r="R807" i="6"/>
  <c r="R810" i="6"/>
  <c r="R839" i="6"/>
  <c r="R846" i="6"/>
  <c r="H850" i="6"/>
  <c r="R853" i="6"/>
  <c r="H885" i="6"/>
  <c r="R888" i="6"/>
  <c r="R909" i="6"/>
  <c r="H913" i="6"/>
  <c r="H917" i="6"/>
  <c r="H921" i="6"/>
  <c r="H929" i="6"/>
  <c r="H937" i="6"/>
  <c r="H961" i="6"/>
  <c r="R719" i="6"/>
  <c r="H724" i="6"/>
  <c r="R728" i="6"/>
  <c r="R735" i="6"/>
  <c r="H746" i="6"/>
  <c r="H754" i="6"/>
  <c r="R775" i="6"/>
  <c r="H784" i="6"/>
  <c r="H789" i="6"/>
  <c r="R813" i="6"/>
  <c r="H836" i="6"/>
  <c r="R843" i="6"/>
  <c r="R871" i="6"/>
  <c r="H882" i="6"/>
  <c r="R885" i="6"/>
  <c r="R917" i="6"/>
  <c r="R933" i="6"/>
  <c r="R949" i="6"/>
  <c r="R957" i="6"/>
  <c r="H722" i="6"/>
  <c r="R751" i="6"/>
  <c r="R754" i="6"/>
  <c r="H757" i="6"/>
  <c r="R786" i="6"/>
  <c r="R791" i="6"/>
  <c r="H868" i="6"/>
  <c r="R875" i="6"/>
  <c r="R903" i="6"/>
  <c r="H914" i="6"/>
  <c r="R715" i="6"/>
  <c r="R717" i="6"/>
  <c r="R733" i="6"/>
  <c r="R738" i="6"/>
  <c r="H752" i="6"/>
  <c r="R762" i="6"/>
  <c r="R797" i="6"/>
  <c r="R811" i="6"/>
  <c r="R814" i="6"/>
  <c r="H820" i="6"/>
  <c r="H823" i="6"/>
  <c r="R826" i="6"/>
  <c r="H830" i="6"/>
  <c r="H837" i="6"/>
  <c r="H865" i="6"/>
  <c r="R872" i="6"/>
  <c r="H900" i="6"/>
  <c r="R907" i="6"/>
  <c r="R922" i="6"/>
  <c r="R930" i="6"/>
  <c r="H718" i="6"/>
  <c r="H727" i="6"/>
  <c r="R731" i="6"/>
  <c r="H734" i="6"/>
  <c r="R765" i="6"/>
  <c r="R792" i="6"/>
  <c r="H798" i="6"/>
  <c r="R830" i="6"/>
  <c r="H834" i="6"/>
  <c r="R837" i="6"/>
  <c r="H855" i="6"/>
  <c r="R858" i="6"/>
  <c r="H862" i="6"/>
  <c r="H897" i="6"/>
  <c r="R904" i="6"/>
  <c r="H919" i="6"/>
  <c r="H927" i="6"/>
  <c r="H935" i="6"/>
  <c r="H742" i="6"/>
  <c r="R783" i="6"/>
  <c r="H814" i="6"/>
  <c r="R823" i="6"/>
  <c r="H846" i="6"/>
  <c r="R855" i="6"/>
  <c r="H878" i="6"/>
  <c r="R887" i="6"/>
  <c r="H910" i="6"/>
  <c r="R919" i="6"/>
  <c r="R927" i="6"/>
  <c r="H950" i="6"/>
  <c r="R958" i="6"/>
  <c r="R759" i="6"/>
  <c r="H782" i="6"/>
  <c r="H942" i="6"/>
  <c r="R950" i="6"/>
  <c r="H758" i="6"/>
  <c r="R799" i="6"/>
  <c r="H822" i="6"/>
  <c r="R831" i="6"/>
  <c r="H854" i="6"/>
  <c r="R863" i="6"/>
  <c r="H886" i="6"/>
  <c r="R895" i="6"/>
  <c r="H918" i="6"/>
  <c r="H934" i="6"/>
  <c r="R942" i="6"/>
  <c r="H926" i="6"/>
  <c r="R934" i="6"/>
  <c r="H957" i="6"/>
  <c r="R926" i="6"/>
  <c r="H949" i="6"/>
  <c r="R959" i="6"/>
  <c r="H941" i="6"/>
  <c r="R951" i="6"/>
  <c r="R767" i="6"/>
  <c r="H790" i="6"/>
  <c r="H806" i="6"/>
  <c r="R815" i="6"/>
  <c r="H838" i="6"/>
  <c r="R847" i="6"/>
  <c r="H870" i="6"/>
  <c r="R879" i="6"/>
  <c r="H902" i="6"/>
  <c r="R911" i="6"/>
  <c r="H933" i="6"/>
  <c r="R943" i="6"/>
  <c r="R962" i="6"/>
  <c r="R743" i="6"/>
  <c r="H766" i="6"/>
  <c r="H925" i="6"/>
  <c r="R935" i="6"/>
  <c r="H958" i="6"/>
  <c r="N8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2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N11" i="4"/>
  <c r="M11" i="4"/>
  <c r="G11" i="4"/>
  <c r="N10" i="4"/>
  <c r="M10" i="4"/>
  <c r="G10" i="4"/>
  <c r="N9" i="4"/>
  <c r="M9" i="4"/>
  <c r="G9" i="4"/>
  <c r="M8" i="4"/>
  <c r="G8" i="4"/>
  <c r="G7" i="4"/>
  <c r="G6" i="4"/>
  <c r="G5" i="4"/>
  <c r="G4" i="4"/>
  <c r="G3" i="4"/>
  <c r="H61" i="6" l="1"/>
  <c r="H29" i="6"/>
  <c r="H124" i="6"/>
  <c r="H92" i="6"/>
  <c r="H60" i="6"/>
  <c r="H28" i="6"/>
  <c r="H4" i="6"/>
  <c r="H202" i="6"/>
  <c r="H266" i="6"/>
  <c r="H251" i="6"/>
  <c r="H248" i="6"/>
  <c r="H354" i="6"/>
  <c r="H418" i="6"/>
  <c r="H437" i="6"/>
  <c r="H310" i="6"/>
  <c r="H296" i="6"/>
  <c r="H502" i="6"/>
  <c r="H566" i="6"/>
  <c r="H475" i="6"/>
  <c r="H595" i="6"/>
  <c r="H501" i="6"/>
  <c r="H565" i="6"/>
  <c r="H452" i="6"/>
  <c r="H516" i="6"/>
  <c r="H580" i="6"/>
  <c r="H703" i="6"/>
  <c r="H700" i="6"/>
  <c r="H772" i="6"/>
  <c r="H864" i="6"/>
  <c r="H731" i="6"/>
  <c r="H605" i="6"/>
  <c r="H706" i="6"/>
  <c r="H768" i="6"/>
  <c r="H829" i="6"/>
  <c r="H893" i="6"/>
  <c r="H744" i="6"/>
  <c r="H833" i="6"/>
  <c r="H871" i="6"/>
  <c r="H930" i="6"/>
  <c r="H905" i="6"/>
  <c r="H962" i="6"/>
  <c r="H740" i="6"/>
  <c r="H954" i="6"/>
  <c r="H851" i="6"/>
  <c r="H915" i="6"/>
  <c r="R695" i="6"/>
  <c r="R651" i="6"/>
  <c r="R619" i="6"/>
  <c r="R594" i="6"/>
  <c r="R530" i="6"/>
  <c r="R466" i="6"/>
  <c r="R585" i="6"/>
  <c r="R521" i="6"/>
  <c r="R457" i="6"/>
  <c r="R560" i="6"/>
  <c r="R504" i="6"/>
  <c r="R414" i="6"/>
  <c r="R341" i="6"/>
  <c r="R404" i="6"/>
  <c r="H88" i="6"/>
  <c r="H56" i="6"/>
  <c r="H24" i="6"/>
  <c r="H123" i="6"/>
  <c r="H210" i="6"/>
  <c r="H274" i="6"/>
  <c r="H192" i="6"/>
  <c r="H256" i="6"/>
  <c r="H362" i="6"/>
  <c r="H426" i="6"/>
  <c r="H337" i="6"/>
  <c r="H318" i="6"/>
  <c r="H446" i="6"/>
  <c r="H510" i="6"/>
  <c r="H574" i="6"/>
  <c r="H483" i="6"/>
  <c r="H445" i="6"/>
  <c r="H509" i="6"/>
  <c r="H573" i="6"/>
  <c r="H460" i="6"/>
  <c r="H524" i="6"/>
  <c r="H588" i="6"/>
  <c r="H711" i="6"/>
  <c r="H708" i="6"/>
  <c r="H828" i="6"/>
  <c r="H892" i="6"/>
  <c r="H733" i="6"/>
  <c r="H729" i="6"/>
  <c r="H714" i="6"/>
  <c r="H773" i="6"/>
  <c r="H831" i="6"/>
  <c r="H895" i="6"/>
  <c r="H749" i="6"/>
  <c r="H936" i="6"/>
  <c r="H884" i="6"/>
  <c r="H940" i="6"/>
  <c r="H922" i="6"/>
  <c r="H771" i="6"/>
  <c r="H747" i="6"/>
  <c r="H960" i="6"/>
  <c r="H859" i="6"/>
  <c r="H923" i="6"/>
  <c r="R604" i="6"/>
  <c r="R687" i="6"/>
  <c r="R647" i="6"/>
  <c r="R615" i="6"/>
  <c r="R586" i="6"/>
  <c r="R522" i="6"/>
  <c r="R458" i="6"/>
  <c r="R577" i="6"/>
  <c r="R513" i="6"/>
  <c r="R449" i="6"/>
  <c r="R552" i="6"/>
  <c r="R488" i="6"/>
  <c r="R390" i="6"/>
  <c r="R333" i="6"/>
  <c r="R372" i="6"/>
  <c r="H89" i="6"/>
  <c r="H53" i="6"/>
  <c r="H21" i="6"/>
  <c r="H116" i="6"/>
  <c r="H84" i="6"/>
  <c r="H52" i="6"/>
  <c r="H20" i="6"/>
  <c r="H85" i="6"/>
  <c r="H218" i="6"/>
  <c r="H276" i="6"/>
  <c r="H200" i="6"/>
  <c r="H264" i="6"/>
  <c r="H370" i="6"/>
  <c r="H442" i="6"/>
  <c r="H345" i="6"/>
  <c r="H382" i="6"/>
  <c r="H454" i="6"/>
  <c r="H518" i="6"/>
  <c r="H582" i="6"/>
  <c r="H491" i="6"/>
  <c r="H453" i="6"/>
  <c r="H517" i="6"/>
  <c r="H581" i="6"/>
  <c r="H468" i="6"/>
  <c r="H532" i="6"/>
  <c r="H596" i="6"/>
  <c r="H716" i="6"/>
  <c r="H723" i="6"/>
  <c r="H909" i="6"/>
  <c r="H680" i="6"/>
  <c r="H738" i="6"/>
  <c r="H760" i="6"/>
  <c r="H755" i="6"/>
  <c r="H780" i="6"/>
  <c r="H844" i="6"/>
  <c r="H908" i="6"/>
  <c r="H756" i="6"/>
  <c r="H938" i="6"/>
  <c r="H888" i="6"/>
  <c r="H959" i="6"/>
  <c r="H932" i="6"/>
  <c r="H808" i="6"/>
  <c r="H792" i="6"/>
  <c r="H803" i="6"/>
  <c r="H867" i="6"/>
  <c r="H931" i="6"/>
  <c r="R679" i="6"/>
  <c r="R643" i="6"/>
  <c r="R611" i="6"/>
  <c r="R578" i="6"/>
  <c r="R514" i="6"/>
  <c r="R450" i="6"/>
  <c r="R569" i="6"/>
  <c r="R505" i="6"/>
  <c r="R540" i="6"/>
  <c r="R480" i="6"/>
  <c r="R382" i="6"/>
  <c r="R305" i="6"/>
  <c r="R364" i="6"/>
  <c r="H81" i="6"/>
  <c r="H49" i="6"/>
  <c r="H17" i="6"/>
  <c r="H112" i="6"/>
  <c r="H80" i="6"/>
  <c r="H48" i="6"/>
  <c r="H12" i="6"/>
  <c r="H117" i="6"/>
  <c r="H226" i="6"/>
  <c r="H132" i="6"/>
  <c r="H208" i="6"/>
  <c r="H272" i="6"/>
  <c r="H378" i="6"/>
  <c r="H359" i="6"/>
  <c r="H353" i="6"/>
  <c r="H390" i="6"/>
  <c r="H462" i="6"/>
  <c r="H526" i="6"/>
  <c r="H590" i="6"/>
  <c r="H555" i="6"/>
  <c r="H461" i="6"/>
  <c r="H525" i="6"/>
  <c r="H589" i="6"/>
  <c r="H476" i="6"/>
  <c r="H540" i="6"/>
  <c r="H663" i="6"/>
  <c r="H815" i="6"/>
  <c r="H725" i="6"/>
  <c r="H786" i="6"/>
  <c r="H688" i="6"/>
  <c r="H743" i="6"/>
  <c r="H779" i="6"/>
  <c r="H795" i="6"/>
  <c r="H787" i="6"/>
  <c r="H848" i="6"/>
  <c r="H912" i="6"/>
  <c r="H763" i="6"/>
  <c r="H739" i="6"/>
  <c r="H901" i="6"/>
  <c r="H826" i="6"/>
  <c r="H951" i="6"/>
  <c r="H840" i="6"/>
  <c r="H797" i="6"/>
  <c r="H811" i="6"/>
  <c r="H875" i="6"/>
  <c r="H939" i="6"/>
  <c r="R671" i="6"/>
  <c r="R639" i="6"/>
  <c r="R603" i="6"/>
  <c r="R570" i="6"/>
  <c r="R506" i="6"/>
  <c r="R561" i="6"/>
  <c r="R497" i="6"/>
  <c r="R532" i="6"/>
  <c r="R472" i="6"/>
  <c r="R563" i="6"/>
  <c r="R350" i="6"/>
  <c r="R324" i="6"/>
  <c r="H77" i="6"/>
  <c r="H45" i="6"/>
  <c r="H13" i="6"/>
  <c r="H108" i="6"/>
  <c r="H76" i="6"/>
  <c r="H44" i="6"/>
  <c r="H8" i="6"/>
  <c r="I865" i="6" s="1"/>
  <c r="H125" i="6"/>
  <c r="H234" i="6"/>
  <c r="H219" i="6"/>
  <c r="H216" i="6"/>
  <c r="H438" i="6"/>
  <c r="H386" i="6"/>
  <c r="H284" i="6"/>
  <c r="H361" i="6"/>
  <c r="H398" i="6"/>
  <c r="H470" i="6"/>
  <c r="H534" i="6"/>
  <c r="H598" i="6"/>
  <c r="H563" i="6"/>
  <c r="H469" i="6"/>
  <c r="H533" i="6"/>
  <c r="H597" i="6"/>
  <c r="H484" i="6"/>
  <c r="H548" i="6"/>
  <c r="H671" i="6"/>
  <c r="H845" i="6"/>
  <c r="H753" i="6"/>
  <c r="H791" i="6"/>
  <c r="H696" i="6"/>
  <c r="H765" i="6"/>
  <c r="H879" i="6"/>
  <c r="H809" i="6"/>
  <c r="H794" i="6"/>
  <c r="H861" i="6"/>
  <c r="H944" i="6"/>
  <c r="H770" i="6"/>
  <c r="H824" i="6"/>
  <c r="H903" i="6"/>
  <c r="H841" i="6"/>
  <c r="H953" i="6"/>
  <c r="H872" i="6"/>
  <c r="H825" i="6"/>
  <c r="H819" i="6"/>
  <c r="H883" i="6"/>
  <c r="H947" i="6"/>
  <c r="R763" i="6"/>
  <c r="R667" i="6"/>
  <c r="R635" i="6"/>
  <c r="R562" i="6"/>
  <c r="R498" i="6"/>
  <c r="R553" i="6"/>
  <c r="R489" i="6"/>
  <c r="R528" i="6"/>
  <c r="R464" i="6"/>
  <c r="R547" i="6"/>
  <c r="R334" i="6"/>
  <c r="R417" i="6"/>
  <c r="R312" i="6"/>
  <c r="H73" i="6"/>
  <c r="H41" i="6"/>
  <c r="H5" i="6"/>
  <c r="H104" i="6"/>
  <c r="H72" i="6"/>
  <c r="H40" i="6"/>
  <c r="H31" i="6"/>
  <c r="H7" i="6"/>
  <c r="H242" i="6"/>
  <c r="H227" i="6"/>
  <c r="H224" i="6"/>
  <c r="H298" i="6"/>
  <c r="H394" i="6"/>
  <c r="H292" i="6"/>
  <c r="H278" i="6"/>
  <c r="H347" i="6"/>
  <c r="H478" i="6"/>
  <c r="H542" i="6"/>
  <c r="H451" i="6"/>
  <c r="H571" i="6"/>
  <c r="H477" i="6"/>
  <c r="H541" i="6"/>
  <c r="H450" i="6"/>
  <c r="H492" i="6"/>
  <c r="H556" i="6"/>
  <c r="H679" i="6"/>
  <c r="H636" i="6"/>
  <c r="H793" i="6"/>
  <c r="H832" i="6"/>
  <c r="H704" i="6"/>
  <c r="H781" i="6"/>
  <c r="H682" i="6"/>
  <c r="H817" i="6"/>
  <c r="H799" i="6"/>
  <c r="H863" i="6"/>
  <c r="H946" i="6"/>
  <c r="H775" i="6"/>
  <c r="H852" i="6"/>
  <c r="H916" i="6"/>
  <c r="H858" i="6"/>
  <c r="H924" i="6"/>
  <c r="H904" i="6"/>
  <c r="H857" i="6"/>
  <c r="H827" i="6"/>
  <c r="H891" i="6"/>
  <c r="R739" i="6"/>
  <c r="R663" i="6"/>
  <c r="R631" i="6"/>
  <c r="R554" i="6"/>
  <c r="R490" i="6"/>
  <c r="R545" i="6"/>
  <c r="R481" i="6"/>
  <c r="R584" i="6"/>
  <c r="R524" i="6"/>
  <c r="R456" i="6"/>
  <c r="R499" i="6"/>
  <c r="R310" i="6"/>
  <c r="R409" i="6"/>
  <c r="R280" i="6"/>
  <c r="R555" i="6"/>
  <c r="R491" i="6"/>
  <c r="R418" i="6"/>
  <c r="R386" i="6"/>
  <c r="R342" i="6"/>
  <c r="R306" i="6"/>
  <c r="R413" i="6"/>
  <c r="R381" i="6"/>
  <c r="R337" i="6"/>
  <c r="R277" i="6"/>
  <c r="R412" i="6"/>
  <c r="R368" i="6"/>
  <c r="R316" i="6"/>
  <c r="R276" i="6"/>
  <c r="R134" i="6"/>
  <c r="R159" i="6"/>
  <c r="R434" i="6"/>
  <c r="R539" i="6"/>
  <c r="R475" i="6"/>
  <c r="R410" i="6"/>
  <c r="R378" i="6"/>
  <c r="R330" i="6"/>
  <c r="R298" i="6"/>
  <c r="R405" i="6"/>
  <c r="R365" i="6"/>
  <c r="R329" i="6"/>
  <c r="R400" i="6"/>
  <c r="R352" i="6"/>
  <c r="R308" i="6"/>
  <c r="R407" i="6"/>
  <c r="R229" i="6"/>
  <c r="R272" i="6"/>
  <c r="R595" i="6"/>
  <c r="R531" i="6"/>
  <c r="R467" i="6"/>
  <c r="R406" i="6"/>
  <c r="R374" i="6"/>
  <c r="R326" i="6"/>
  <c r="R294" i="6"/>
  <c r="R401" i="6"/>
  <c r="R357" i="6"/>
  <c r="R325" i="6"/>
  <c r="R396" i="6"/>
  <c r="R344" i="6"/>
  <c r="R300" i="6"/>
  <c r="R367" i="6"/>
  <c r="R177" i="6"/>
  <c r="R224" i="6"/>
  <c r="R544" i="6"/>
  <c r="R512" i="6"/>
  <c r="R448" i="6"/>
  <c r="R587" i="6"/>
  <c r="R523" i="6"/>
  <c r="R275" i="6"/>
  <c r="R402" i="6"/>
  <c r="R370" i="6"/>
  <c r="R322" i="6"/>
  <c r="R290" i="6"/>
  <c r="R429" i="6"/>
  <c r="R397" i="6"/>
  <c r="R353" i="6"/>
  <c r="R321" i="6"/>
  <c r="R388" i="6"/>
  <c r="R340" i="6"/>
  <c r="R296" i="6"/>
  <c r="R359" i="6"/>
  <c r="R266" i="6"/>
  <c r="R137" i="6"/>
  <c r="R188" i="6"/>
  <c r="R579" i="6"/>
  <c r="R515" i="6"/>
  <c r="R430" i="6"/>
  <c r="R398" i="6"/>
  <c r="R366" i="6"/>
  <c r="R318" i="6"/>
  <c r="R286" i="6"/>
  <c r="R425" i="6"/>
  <c r="R393" i="6"/>
  <c r="R349" i="6"/>
  <c r="R317" i="6"/>
  <c r="R440" i="6"/>
  <c r="R384" i="6"/>
  <c r="R332" i="6"/>
  <c r="R292" i="6"/>
  <c r="R234" i="6"/>
  <c r="R156" i="6"/>
  <c r="R592" i="6"/>
  <c r="R536" i="6"/>
  <c r="R496" i="6"/>
  <c r="R571" i="6"/>
  <c r="R507" i="6"/>
  <c r="R426" i="6"/>
  <c r="R394" i="6"/>
  <c r="R358" i="6"/>
  <c r="R314" i="6"/>
  <c r="R282" i="6"/>
  <c r="R421" i="6"/>
  <c r="R389" i="6"/>
  <c r="R345" i="6"/>
  <c r="R313" i="6"/>
  <c r="R424" i="6"/>
  <c r="R380" i="6"/>
  <c r="R328" i="6"/>
  <c r="R284" i="6"/>
  <c r="R202" i="6"/>
  <c r="R335" i="6"/>
  <c r="R250" i="6"/>
  <c r="R218" i="6"/>
  <c r="R186" i="6"/>
  <c r="R150" i="6"/>
  <c r="R261" i="6"/>
  <c r="R197" i="6"/>
  <c r="R157" i="6"/>
  <c r="R256" i="6"/>
  <c r="R204" i="6"/>
  <c r="R172" i="6"/>
  <c r="R140" i="6"/>
  <c r="R247" i="6"/>
  <c r="R179" i="6"/>
  <c r="R143" i="6"/>
  <c r="R122" i="6"/>
  <c r="R86" i="6"/>
  <c r="R50" i="6"/>
  <c r="R18" i="6"/>
  <c r="R101" i="6"/>
  <c r="R65" i="6"/>
  <c r="R33" i="6"/>
  <c r="R5" i="6"/>
  <c r="R20" i="6"/>
  <c r="R108" i="6"/>
  <c r="R76" i="6"/>
  <c r="R40" i="6"/>
  <c r="R127" i="6"/>
  <c r="R95" i="6"/>
  <c r="R63" i="6"/>
  <c r="R27" i="6"/>
  <c r="R415" i="6"/>
  <c r="R327" i="6"/>
  <c r="R246" i="6"/>
  <c r="R214" i="6"/>
  <c r="R182" i="6"/>
  <c r="R146" i="6"/>
  <c r="R253" i="6"/>
  <c r="R189" i="6"/>
  <c r="R153" i="6"/>
  <c r="R248" i="6"/>
  <c r="R200" i="6"/>
  <c r="R168" i="6"/>
  <c r="R136" i="6"/>
  <c r="R239" i="6"/>
  <c r="R175" i="6"/>
  <c r="R139" i="6"/>
  <c r="R114" i="6"/>
  <c r="R82" i="6"/>
  <c r="R46" i="6"/>
  <c r="R14" i="6"/>
  <c r="R97" i="6"/>
  <c r="R61" i="6"/>
  <c r="R29" i="6"/>
  <c r="R12" i="6"/>
  <c r="R104" i="6"/>
  <c r="R72" i="6"/>
  <c r="R32" i="6"/>
  <c r="R123" i="6"/>
  <c r="R91" i="6"/>
  <c r="R55" i="6"/>
  <c r="R23" i="6"/>
  <c r="R283" i="6"/>
  <c r="R274" i="6"/>
  <c r="R242" i="6"/>
  <c r="R210" i="6"/>
  <c r="R178" i="6"/>
  <c r="R142" i="6"/>
  <c r="R245" i="6"/>
  <c r="R185" i="6"/>
  <c r="R149" i="6"/>
  <c r="R240" i="6"/>
  <c r="R196" i="6"/>
  <c r="R164" i="6"/>
  <c r="R132" i="6"/>
  <c r="R223" i="6"/>
  <c r="R171" i="6"/>
  <c r="R135" i="6"/>
  <c r="R110" i="6"/>
  <c r="R74" i="6"/>
  <c r="R42" i="6"/>
  <c r="R6" i="6"/>
  <c r="R125" i="6"/>
  <c r="R93" i="6"/>
  <c r="R57" i="6"/>
  <c r="R25" i="6"/>
  <c r="R4" i="6"/>
  <c r="R100" i="6"/>
  <c r="R68" i="6"/>
  <c r="R16" i="6"/>
  <c r="R119" i="6"/>
  <c r="R87" i="6"/>
  <c r="R51" i="6"/>
  <c r="R19" i="6"/>
  <c r="R428" i="6"/>
  <c r="R392" i="6"/>
  <c r="R356" i="6"/>
  <c r="R320" i="6"/>
  <c r="R288" i="6"/>
  <c r="R375" i="6"/>
  <c r="R270" i="6"/>
  <c r="R238" i="6"/>
  <c r="R206" i="6"/>
  <c r="R174" i="6"/>
  <c r="R138" i="6"/>
  <c r="R237" i="6"/>
  <c r="R181" i="6"/>
  <c r="R141" i="6"/>
  <c r="R232" i="6"/>
  <c r="R192" i="6"/>
  <c r="R160" i="6"/>
  <c r="R128" i="6"/>
  <c r="R215" i="6"/>
  <c r="R167" i="6"/>
  <c r="R131" i="6"/>
  <c r="R106" i="6"/>
  <c r="R70" i="6"/>
  <c r="R38" i="6"/>
  <c r="R121" i="6"/>
  <c r="R89" i="6"/>
  <c r="R53" i="6"/>
  <c r="R21" i="6"/>
  <c r="R96" i="6"/>
  <c r="R64" i="6"/>
  <c r="R115" i="6"/>
  <c r="R83" i="6"/>
  <c r="R47" i="6"/>
  <c r="R963" i="6"/>
  <c r="R956" i="6"/>
  <c r="R948" i="6"/>
  <c r="R940" i="6"/>
  <c r="R932" i="6"/>
  <c r="R924" i="6"/>
  <c r="R916" i="6"/>
  <c r="R908" i="6"/>
  <c r="R900" i="6"/>
  <c r="R892" i="6"/>
  <c r="R884" i="6"/>
  <c r="R876" i="6"/>
  <c r="R868" i="6"/>
  <c r="R860" i="6"/>
  <c r="R852" i="6"/>
  <c r="R844" i="6"/>
  <c r="R836" i="6"/>
  <c r="R828" i="6"/>
  <c r="R820" i="6"/>
  <c r="R812" i="6"/>
  <c r="R804" i="6"/>
  <c r="R961" i="6"/>
  <c r="R947" i="6"/>
  <c r="R937" i="6"/>
  <c r="R913" i="6"/>
  <c r="R896" i="6"/>
  <c r="R881" i="6"/>
  <c r="R864" i="6"/>
  <c r="R849" i="6"/>
  <c r="R832" i="6"/>
  <c r="R817" i="6"/>
  <c r="R800" i="6"/>
  <c r="R748" i="6"/>
  <c r="R741" i="6"/>
  <c r="R736" i="6"/>
  <c r="R720" i="6"/>
  <c r="R955" i="6"/>
  <c r="R945" i="6"/>
  <c r="R772" i="6"/>
  <c r="R953" i="6"/>
  <c r="R905" i="6"/>
  <c r="R873" i="6"/>
  <c r="R841" i="6"/>
  <c r="R938" i="6"/>
  <c r="R928" i="6"/>
  <c r="R918" i="6"/>
  <c r="R914" i="6"/>
  <c r="R946" i="6"/>
  <c r="R936" i="6"/>
  <c r="R912" i="6"/>
  <c r="R897" i="6"/>
  <c r="R893" i="6"/>
  <c r="R880" i="6"/>
  <c r="R865" i="6"/>
  <c r="R861" i="6"/>
  <c r="R848" i="6"/>
  <c r="R833" i="6"/>
  <c r="R829" i="6"/>
  <c r="R954" i="6"/>
  <c r="R944" i="6"/>
  <c r="R925" i="6"/>
  <c r="R923" i="6"/>
  <c r="R910" i="6"/>
  <c r="R906" i="6"/>
  <c r="R891" i="6"/>
  <c r="R878" i="6"/>
  <c r="R874" i="6"/>
  <c r="R859" i="6"/>
  <c r="R740" i="6"/>
  <c r="R931" i="6"/>
  <c r="R921" i="6"/>
  <c r="R889" i="6"/>
  <c r="R857" i="6"/>
  <c r="R840" i="6"/>
  <c r="R825" i="6"/>
  <c r="R821" i="6"/>
  <c r="R808" i="6"/>
  <c r="R790" i="6"/>
  <c r="R785" i="6"/>
  <c r="R778" i="6"/>
  <c r="R771" i="6"/>
  <c r="R764" i="6"/>
  <c r="R757" i="6"/>
  <c r="R752" i="6"/>
  <c r="R941" i="6"/>
  <c r="R939" i="6"/>
  <c r="R929" i="6"/>
  <c r="R915" i="6"/>
  <c r="R902" i="6"/>
  <c r="R898" i="6"/>
  <c r="R883" i="6"/>
  <c r="R870" i="6"/>
  <c r="R866" i="6"/>
  <c r="R851" i="6"/>
  <c r="R838" i="6"/>
  <c r="R834" i="6"/>
  <c r="R819" i="6"/>
  <c r="R806" i="6"/>
  <c r="R802" i="6"/>
  <c r="R795" i="6"/>
  <c r="R788" i="6"/>
  <c r="R781" i="6"/>
  <c r="R776" i="6"/>
  <c r="R750" i="6"/>
  <c r="R886" i="6"/>
  <c r="R789" i="6"/>
  <c r="R784" i="6"/>
  <c r="R773" i="6"/>
  <c r="R746" i="6"/>
  <c r="R724" i="6"/>
  <c r="R722" i="6"/>
  <c r="R707" i="6"/>
  <c r="R699" i="6"/>
  <c r="R691" i="6"/>
  <c r="R683" i="6"/>
  <c r="R675" i="6"/>
  <c r="R882" i="6"/>
  <c r="R854" i="6"/>
  <c r="R805" i="6"/>
  <c r="R606" i="6"/>
  <c r="R899" i="6"/>
  <c r="R850" i="6"/>
  <c r="R822" i="6"/>
  <c r="R816" i="6"/>
  <c r="R794" i="6"/>
  <c r="R713" i="6"/>
  <c r="R705" i="6"/>
  <c r="R697" i="6"/>
  <c r="R689" i="6"/>
  <c r="R681" i="6"/>
  <c r="R867" i="6"/>
  <c r="R796" i="6"/>
  <c r="R756" i="6"/>
  <c r="R676" i="6"/>
  <c r="R668" i="6"/>
  <c r="R660" i="6"/>
  <c r="R652" i="6"/>
  <c r="R644" i="6"/>
  <c r="R835" i="6"/>
  <c r="R780" i="6"/>
  <c r="R742" i="6"/>
  <c r="R737" i="6"/>
  <c r="R732" i="6"/>
  <c r="R730" i="6"/>
  <c r="R607" i="6"/>
  <c r="R801" i="6"/>
  <c r="R809" i="6"/>
  <c r="R782" i="6"/>
  <c r="R709" i="6"/>
  <c r="R701" i="6"/>
  <c r="R693" i="6"/>
  <c r="R685" i="6"/>
  <c r="R677" i="6"/>
  <c r="R653" i="6"/>
  <c r="R645" i="6"/>
  <c r="R637" i="6"/>
  <c r="R803" i="6"/>
  <c r="R787" i="6"/>
  <c r="R768" i="6"/>
  <c r="R749" i="6"/>
  <c r="R729" i="6"/>
  <c r="R712" i="6"/>
  <c r="R704" i="6"/>
  <c r="R696" i="6"/>
  <c r="R688" i="6"/>
  <c r="R680" i="6"/>
  <c r="R672" i="6"/>
  <c r="R664" i="6"/>
  <c r="R656" i="6"/>
  <c r="R648" i="6"/>
  <c r="R599" i="6"/>
  <c r="R597" i="6"/>
  <c r="R589" i="6"/>
  <c r="R581" i="6"/>
  <c r="R573" i="6"/>
  <c r="R565" i="6"/>
  <c r="R557" i="6"/>
  <c r="R549" i="6"/>
  <c r="R541" i="6"/>
  <c r="R533" i="6"/>
  <c r="R525" i="6"/>
  <c r="R517" i="6"/>
  <c r="R509" i="6"/>
  <c r="R501" i="6"/>
  <c r="R493" i="6"/>
  <c r="R485" i="6"/>
  <c r="R477" i="6"/>
  <c r="R469" i="6"/>
  <c r="R461" i="6"/>
  <c r="R453" i="6"/>
  <c r="R445" i="6"/>
  <c r="R459" i="6"/>
  <c r="R451" i="6"/>
  <c r="R598" i="6"/>
  <c r="R590" i="6"/>
  <c r="R582" i="6"/>
  <c r="R574" i="6"/>
  <c r="R566" i="6"/>
  <c r="R558" i="6"/>
  <c r="R550" i="6"/>
  <c r="R542" i="6"/>
  <c r="R534" i="6"/>
  <c r="R526" i="6"/>
  <c r="R518" i="6"/>
  <c r="R510" i="6"/>
  <c r="R502" i="6"/>
  <c r="R494" i="6"/>
  <c r="R486" i="6"/>
  <c r="R478" i="6"/>
  <c r="R470" i="6"/>
  <c r="R462" i="6"/>
  <c r="R454" i="6"/>
  <c r="R446" i="6"/>
  <c r="R596" i="6"/>
  <c r="R588" i="6"/>
  <c r="R580" i="6"/>
  <c r="R572" i="6"/>
  <c r="R564" i="6"/>
  <c r="R556" i="6"/>
  <c r="R548" i="6"/>
  <c r="R508" i="6"/>
  <c r="R500" i="6"/>
  <c r="R492" i="6"/>
  <c r="R484" i="6"/>
  <c r="R476" i="6"/>
  <c r="R468" i="6"/>
  <c r="R460" i="6"/>
  <c r="R452" i="6"/>
  <c r="R591" i="6"/>
  <c r="R583" i="6"/>
  <c r="R575" i="6"/>
  <c r="R567" i="6"/>
  <c r="R559" i="6"/>
  <c r="R551" i="6"/>
  <c r="R543" i="6"/>
  <c r="R535" i="6"/>
  <c r="R527" i="6"/>
  <c r="R519" i="6"/>
  <c r="R511" i="6"/>
  <c r="R503" i="6"/>
  <c r="R495" i="6"/>
  <c r="R487" i="6"/>
  <c r="R479" i="6"/>
  <c r="R471" i="6"/>
  <c r="R463" i="6"/>
  <c r="R455" i="6"/>
  <c r="R447" i="6"/>
  <c r="R377" i="6"/>
  <c r="R369" i="6"/>
  <c r="R361" i="6"/>
  <c r="R297" i="6"/>
  <c r="R289" i="6"/>
  <c r="R281" i="6"/>
  <c r="R443" i="6"/>
  <c r="R437" i="6"/>
  <c r="R420" i="6"/>
  <c r="R348" i="6"/>
  <c r="R431" i="6"/>
  <c r="R399" i="6"/>
  <c r="R391" i="6"/>
  <c r="R383" i="6"/>
  <c r="R319" i="6"/>
  <c r="R311" i="6"/>
  <c r="R303" i="6"/>
  <c r="R295" i="6"/>
  <c r="R287" i="6"/>
  <c r="R279" i="6"/>
  <c r="R362" i="6"/>
  <c r="R354" i="6"/>
  <c r="R346" i="6"/>
  <c r="R338" i="6"/>
  <c r="R438" i="6"/>
  <c r="R309" i="6"/>
  <c r="R301" i="6"/>
  <c r="R293" i="6"/>
  <c r="R285" i="6"/>
  <c r="R360" i="6"/>
  <c r="R444" i="6"/>
  <c r="R436" i="6"/>
  <c r="R432" i="6"/>
  <c r="R427" i="6"/>
  <c r="R419" i="6"/>
  <c r="R411" i="6"/>
  <c r="R403" i="6"/>
  <c r="R395" i="6"/>
  <c r="R387" i="6"/>
  <c r="R379" i="6"/>
  <c r="R371" i="6"/>
  <c r="R363" i="6"/>
  <c r="R355" i="6"/>
  <c r="R347" i="6"/>
  <c r="R339" i="6"/>
  <c r="R331" i="6"/>
  <c r="R323" i="6"/>
  <c r="R315" i="6"/>
  <c r="R307" i="6"/>
  <c r="R299" i="6"/>
  <c r="R291" i="6"/>
  <c r="R439" i="6"/>
  <c r="R273" i="6"/>
  <c r="R265" i="6"/>
  <c r="R257" i="6"/>
  <c r="R249" i="6"/>
  <c r="R241" i="6"/>
  <c r="R233" i="6"/>
  <c r="R225" i="6"/>
  <c r="R217" i="6"/>
  <c r="R209" i="6"/>
  <c r="R201" i="6"/>
  <c r="R193" i="6"/>
  <c r="R169" i="6"/>
  <c r="R145" i="6"/>
  <c r="R252" i="6"/>
  <c r="R244" i="6"/>
  <c r="R236" i="6"/>
  <c r="R228" i="6"/>
  <c r="R220" i="6"/>
  <c r="R231" i="6"/>
  <c r="R199" i="6"/>
  <c r="R162" i="6"/>
  <c r="R267" i="6"/>
  <c r="R259" i="6"/>
  <c r="R251" i="6"/>
  <c r="R243" i="6"/>
  <c r="R235" i="6"/>
  <c r="R227" i="6"/>
  <c r="R219" i="6"/>
  <c r="R211" i="6"/>
  <c r="R203" i="6"/>
  <c r="R195" i="6"/>
  <c r="R163" i="6"/>
  <c r="R85" i="6"/>
  <c r="R3" i="6"/>
  <c r="R59" i="6"/>
  <c r="R126" i="6"/>
  <c r="R118" i="6"/>
  <c r="R78" i="6"/>
  <c r="R124" i="6"/>
  <c r="R116" i="6"/>
  <c r="R102" i="6"/>
  <c r="R66" i="6"/>
  <c r="R34" i="6"/>
  <c r="R117" i="6"/>
  <c r="R81" i="6"/>
  <c r="R49" i="6"/>
  <c r="R17" i="6"/>
  <c r="R44" i="6"/>
  <c r="R92" i="6"/>
  <c r="R60" i="6"/>
  <c r="R111" i="6"/>
  <c r="R79" i="6"/>
  <c r="R43" i="6"/>
  <c r="R11" i="6"/>
  <c r="R262" i="6"/>
  <c r="R230" i="6"/>
  <c r="R198" i="6"/>
  <c r="R166" i="6"/>
  <c r="R130" i="6"/>
  <c r="R221" i="6"/>
  <c r="R173" i="6"/>
  <c r="R133" i="6"/>
  <c r="R268" i="6"/>
  <c r="R216" i="6"/>
  <c r="R184" i="6"/>
  <c r="R152" i="6"/>
  <c r="R271" i="6"/>
  <c r="R191" i="6"/>
  <c r="R155" i="6"/>
  <c r="I958" i="6"/>
  <c r="I868" i="6"/>
  <c r="I920" i="6"/>
  <c r="I810" i="6"/>
  <c r="I667" i="6"/>
  <c r="I620" i="6"/>
  <c r="I583" i="6"/>
  <c r="I544" i="6"/>
  <c r="I507" i="6"/>
  <c r="I510" i="6"/>
  <c r="I481" i="6"/>
  <c r="I323" i="6"/>
  <c r="I318" i="6"/>
  <c r="I289" i="6"/>
  <c r="I308" i="6"/>
  <c r="I359" i="6"/>
  <c r="I410" i="6"/>
  <c r="I322" i="6"/>
  <c r="I405" i="6"/>
  <c r="I333" i="6"/>
  <c r="I424" i="6"/>
  <c r="I352" i="6"/>
  <c r="I288" i="6"/>
  <c r="I219" i="6"/>
  <c r="I155" i="6"/>
  <c r="I246" i="6"/>
  <c r="I182" i="6"/>
  <c r="I265" i="6"/>
  <c r="I201" i="6"/>
  <c r="I137" i="6"/>
  <c r="I220" i="6"/>
  <c r="I156" i="6"/>
  <c r="I239" i="6"/>
  <c r="I175" i="6"/>
  <c r="I258" i="6"/>
  <c r="I194" i="6"/>
  <c r="I130" i="6"/>
  <c r="I213" i="6"/>
  <c r="I149" i="6"/>
  <c r="I232" i="6"/>
  <c r="I168" i="6"/>
  <c r="I108" i="6"/>
  <c r="I44" i="6"/>
  <c r="I8" i="6"/>
  <c r="I5" i="6"/>
  <c r="I79" i="6"/>
  <c r="I15" i="6"/>
  <c r="I66" i="6"/>
  <c r="I6" i="6"/>
  <c r="I7" i="6"/>
  <c r="I69" i="6"/>
  <c r="I4" i="6"/>
  <c r="I64" i="6"/>
  <c r="I123" i="6"/>
  <c r="I59" i="6"/>
  <c r="I110" i="6"/>
  <c r="I46" i="6"/>
  <c r="I97" i="6"/>
  <c r="I33" i="6"/>
  <c r="R98" i="6"/>
  <c r="R62" i="6"/>
  <c r="R30" i="6"/>
  <c r="R113" i="6"/>
  <c r="R77" i="6"/>
  <c r="R45" i="6"/>
  <c r="R13" i="6"/>
  <c r="R36" i="6"/>
  <c r="R2" i="6"/>
  <c r="R88" i="6"/>
  <c r="R56" i="6"/>
  <c r="R107" i="6"/>
  <c r="R75" i="6"/>
  <c r="R39" i="6"/>
  <c r="R9" i="6"/>
  <c r="R351" i="6"/>
  <c r="R258" i="6"/>
  <c r="R226" i="6"/>
  <c r="R194" i="6"/>
  <c r="R158" i="6"/>
  <c r="R213" i="6"/>
  <c r="R165" i="6"/>
  <c r="R129" i="6"/>
  <c r="R264" i="6"/>
  <c r="R212" i="6"/>
  <c r="R180" i="6"/>
  <c r="R148" i="6"/>
  <c r="R263" i="6"/>
  <c r="R187" i="6"/>
  <c r="R151" i="6"/>
  <c r="R94" i="6"/>
  <c r="R58" i="6"/>
  <c r="R26" i="6"/>
  <c r="R109" i="6"/>
  <c r="R73" i="6"/>
  <c r="R41" i="6"/>
  <c r="R10" i="6"/>
  <c r="R28" i="6"/>
  <c r="R120" i="6"/>
  <c r="R84" i="6"/>
  <c r="R52" i="6"/>
  <c r="R103" i="6"/>
  <c r="R71" i="6"/>
  <c r="R35" i="6"/>
  <c r="R7" i="6"/>
  <c r="R408" i="6"/>
  <c r="R376" i="6"/>
  <c r="R336" i="6"/>
  <c r="R304" i="6"/>
  <c r="R435" i="6"/>
  <c r="R343" i="6"/>
  <c r="R254" i="6"/>
  <c r="R222" i="6"/>
  <c r="R190" i="6"/>
  <c r="R154" i="6"/>
  <c r="R269" i="6"/>
  <c r="R205" i="6"/>
  <c r="R161" i="6"/>
  <c r="R260" i="6"/>
  <c r="R208" i="6"/>
  <c r="R176" i="6"/>
  <c r="R144" i="6"/>
  <c r="R255" i="6"/>
  <c r="R183" i="6"/>
  <c r="R147" i="6"/>
  <c r="R90" i="6"/>
  <c r="R54" i="6"/>
  <c r="R22" i="6"/>
  <c r="R105" i="6"/>
  <c r="R69" i="6"/>
  <c r="R37" i="6"/>
  <c r="R8" i="6"/>
  <c r="R24" i="6"/>
  <c r="R112" i="6"/>
  <c r="R80" i="6"/>
  <c r="R48" i="6"/>
  <c r="R99" i="6"/>
  <c r="R67" i="6"/>
  <c r="R31" i="6"/>
  <c r="U2" i="4"/>
  <c r="R28" i="4" s="1"/>
  <c r="I41" i="6" l="1"/>
  <c r="I13" i="6"/>
  <c r="I74" i="6"/>
  <c r="I52" i="6"/>
  <c r="I221" i="6"/>
  <c r="I138" i="6"/>
  <c r="I266" i="6"/>
  <c r="I183" i="6"/>
  <c r="I247" i="6"/>
  <c r="I164" i="6"/>
  <c r="I228" i="6"/>
  <c r="I145" i="6"/>
  <c r="I209" i="6"/>
  <c r="I273" i="6"/>
  <c r="I190" i="6"/>
  <c r="I254" i="6"/>
  <c r="I163" i="6"/>
  <c r="I227" i="6"/>
  <c r="I360" i="6"/>
  <c r="I434" i="6"/>
  <c r="I341" i="6"/>
  <c r="I421" i="6"/>
  <c r="I330" i="6"/>
  <c r="I426" i="6"/>
  <c r="I367" i="6"/>
  <c r="I324" i="6"/>
  <c r="I329" i="6"/>
  <c r="I326" i="6"/>
  <c r="I339" i="6"/>
  <c r="I521" i="6"/>
  <c r="I518" i="6"/>
  <c r="I523" i="6"/>
  <c r="I461" i="6"/>
  <c r="I484" i="6"/>
  <c r="I684" i="6"/>
  <c r="I746" i="6"/>
  <c r="I925" i="6"/>
  <c r="I957" i="6"/>
  <c r="I927" i="6"/>
  <c r="I105" i="6"/>
  <c r="I72" i="6"/>
  <c r="I23" i="6"/>
  <c r="I176" i="6"/>
  <c r="I202" i="6"/>
  <c r="I296" i="6"/>
  <c r="I49" i="6"/>
  <c r="I113" i="6"/>
  <c r="I62" i="6"/>
  <c r="I126" i="6"/>
  <c r="I75" i="6"/>
  <c r="I16" i="6"/>
  <c r="I80" i="6"/>
  <c r="I21" i="6"/>
  <c r="I85" i="6"/>
  <c r="I18" i="6"/>
  <c r="I82" i="6"/>
  <c r="I31" i="6"/>
  <c r="I95" i="6"/>
  <c r="I10" i="6"/>
  <c r="I60" i="6"/>
  <c r="I124" i="6"/>
  <c r="I184" i="6"/>
  <c r="I248" i="6"/>
  <c r="I165" i="6"/>
  <c r="I229" i="6"/>
  <c r="I146" i="6"/>
  <c r="I210" i="6"/>
  <c r="I274" i="6"/>
  <c r="I191" i="6"/>
  <c r="I255" i="6"/>
  <c r="I172" i="6"/>
  <c r="I236" i="6"/>
  <c r="I153" i="6"/>
  <c r="I217" i="6"/>
  <c r="I134" i="6"/>
  <c r="I198" i="6"/>
  <c r="I262" i="6"/>
  <c r="I171" i="6"/>
  <c r="I235" i="6"/>
  <c r="I304" i="6"/>
  <c r="I368" i="6"/>
  <c r="I277" i="6"/>
  <c r="I357" i="6"/>
  <c r="I429" i="6"/>
  <c r="I338" i="6"/>
  <c r="I287" i="6"/>
  <c r="I375" i="6"/>
  <c r="I332" i="6"/>
  <c r="I345" i="6"/>
  <c r="I366" i="6"/>
  <c r="I347" i="6"/>
  <c r="I537" i="6"/>
  <c r="I558" i="6"/>
  <c r="I531" i="6"/>
  <c r="I525" i="6"/>
  <c r="I548" i="6"/>
  <c r="I609" i="6"/>
  <c r="I616" i="6"/>
  <c r="I799" i="6"/>
  <c r="I879" i="6"/>
  <c r="I737" i="6"/>
  <c r="I67" i="6"/>
  <c r="I87" i="6"/>
  <c r="I57" i="6"/>
  <c r="I121" i="6"/>
  <c r="I70" i="6"/>
  <c r="I19" i="6"/>
  <c r="I83" i="6"/>
  <c r="I24" i="6"/>
  <c r="I88" i="6"/>
  <c r="I29" i="6"/>
  <c r="I93" i="6"/>
  <c r="I26" i="6"/>
  <c r="I90" i="6"/>
  <c r="I39" i="6"/>
  <c r="I103" i="6"/>
  <c r="I11" i="6"/>
  <c r="I68" i="6"/>
  <c r="I128" i="6"/>
  <c r="I192" i="6"/>
  <c r="I256" i="6"/>
  <c r="I173" i="6"/>
  <c r="I237" i="6"/>
  <c r="I154" i="6"/>
  <c r="I218" i="6"/>
  <c r="I135" i="6"/>
  <c r="I199" i="6"/>
  <c r="I263" i="6"/>
  <c r="I180" i="6"/>
  <c r="I244" i="6"/>
  <c r="I161" i="6"/>
  <c r="I225" i="6"/>
  <c r="I142" i="6"/>
  <c r="I206" i="6"/>
  <c r="I270" i="6"/>
  <c r="I179" i="6"/>
  <c r="I243" i="6"/>
  <c r="I312" i="6"/>
  <c r="I376" i="6"/>
  <c r="I293" i="6"/>
  <c r="I365" i="6"/>
  <c r="I438" i="6"/>
  <c r="I346" i="6"/>
  <c r="I295" i="6"/>
  <c r="I391" i="6"/>
  <c r="I372" i="6"/>
  <c r="I353" i="6"/>
  <c r="I382" i="6"/>
  <c r="I387" i="6"/>
  <c r="I545" i="6"/>
  <c r="I574" i="6"/>
  <c r="I571" i="6"/>
  <c r="I589" i="6"/>
  <c r="I610" i="6"/>
  <c r="I673" i="6"/>
  <c r="I680" i="6"/>
  <c r="I863" i="6"/>
  <c r="I949" i="6"/>
  <c r="I801" i="6"/>
  <c r="I54" i="6"/>
  <c r="I116" i="6"/>
  <c r="I65" i="6"/>
  <c r="I14" i="6"/>
  <c r="I78" i="6"/>
  <c r="I27" i="6"/>
  <c r="I91" i="6"/>
  <c r="I32" i="6"/>
  <c r="I96" i="6"/>
  <c r="I37" i="6"/>
  <c r="I101" i="6"/>
  <c r="I34" i="6"/>
  <c r="I98" i="6"/>
  <c r="I47" i="6"/>
  <c r="I111" i="6"/>
  <c r="I12" i="6"/>
  <c r="I76" i="6"/>
  <c r="I136" i="6"/>
  <c r="I200" i="6"/>
  <c r="I264" i="6"/>
  <c r="I181" i="6"/>
  <c r="I245" i="6"/>
  <c r="I162" i="6"/>
  <c r="I226" i="6"/>
  <c r="I143" i="6"/>
  <c r="I207" i="6"/>
  <c r="I271" i="6"/>
  <c r="I188" i="6"/>
  <c r="I252" i="6"/>
  <c r="I169" i="6"/>
  <c r="I233" i="6"/>
  <c r="I150" i="6"/>
  <c r="I214" i="6"/>
  <c r="I275" i="6"/>
  <c r="I187" i="6"/>
  <c r="I251" i="6"/>
  <c r="I320" i="6"/>
  <c r="I392" i="6"/>
  <c r="I301" i="6"/>
  <c r="I373" i="6"/>
  <c r="I282" i="6"/>
  <c r="I362" i="6"/>
  <c r="I303" i="6"/>
  <c r="I415" i="6"/>
  <c r="I388" i="6"/>
  <c r="I393" i="6"/>
  <c r="I390" i="6"/>
  <c r="I403" i="6"/>
  <c r="I585" i="6"/>
  <c r="I582" i="6"/>
  <c r="I587" i="6"/>
  <c r="I490" i="6"/>
  <c r="I674" i="6"/>
  <c r="I813" i="6"/>
  <c r="I858" i="6"/>
  <c r="I956" i="6"/>
  <c r="I776" i="6"/>
  <c r="I950" i="6"/>
  <c r="I886" i="6"/>
  <c r="I822" i="6"/>
  <c r="I921" i="6"/>
  <c r="I857" i="6"/>
  <c r="I793" i="6"/>
  <c r="I960" i="6"/>
  <c r="I919" i="6"/>
  <c r="I855" i="6"/>
  <c r="I790" i="6"/>
  <c r="I722" i="6"/>
  <c r="I851" i="6"/>
  <c r="I750" i="6"/>
  <c r="I947" i="6"/>
  <c r="I877" i="6"/>
  <c r="I955" i="6"/>
  <c r="I916" i="6"/>
  <c r="I852" i="6"/>
  <c r="I882" i="6"/>
  <c r="I770" i="6"/>
  <c r="I946" i="6"/>
  <c r="I861" i="6"/>
  <c r="I794" i="6"/>
  <c r="I923" i="6"/>
  <c r="I797" i="6"/>
  <c r="I727" i="6"/>
  <c r="I720" i="6"/>
  <c r="I653" i="6"/>
  <c r="I800" i="6"/>
  <c r="I672" i="6"/>
  <c r="I608" i="6"/>
  <c r="I724" i="6"/>
  <c r="I659" i="6"/>
  <c r="I875" i="6"/>
  <c r="I710" i="6"/>
  <c r="I646" i="6"/>
  <c r="I772" i="6"/>
  <c r="I665" i="6"/>
  <c r="I601" i="6"/>
  <c r="I676" i="6"/>
  <c r="I612" i="6"/>
  <c r="I695" i="6"/>
  <c r="I631" i="6"/>
  <c r="I734" i="6"/>
  <c r="I666" i="6"/>
  <c r="I602" i="6"/>
  <c r="I540" i="6"/>
  <c r="I476" i="6"/>
  <c r="I575" i="6"/>
  <c r="I511" i="6"/>
  <c r="I447" i="6"/>
  <c r="I546" i="6"/>
  <c r="I482" i="6"/>
  <c r="I581" i="6"/>
  <c r="I517" i="6"/>
  <c r="I453" i="6"/>
  <c r="I536" i="6"/>
  <c r="I472" i="6"/>
  <c r="I563" i="6"/>
  <c r="I499" i="6"/>
  <c r="I435" i="6"/>
  <c r="I550" i="6"/>
  <c r="I486" i="6"/>
  <c r="I577" i="6"/>
  <c r="I513" i="6"/>
  <c r="I449" i="6"/>
  <c r="I379" i="6"/>
  <c r="I315" i="6"/>
  <c r="I422" i="6"/>
  <c r="I358" i="6"/>
  <c r="I294" i="6"/>
  <c r="I385" i="6"/>
  <c r="I321" i="6"/>
  <c r="I428" i="6"/>
  <c r="I364" i="6"/>
  <c r="I300" i="6"/>
  <c r="I407" i="6"/>
  <c r="I343" i="6"/>
  <c r="I279" i="6"/>
  <c r="I378" i="6"/>
  <c r="I314" i="6"/>
  <c r="I413" i="6"/>
  <c r="I349" i="6"/>
  <c r="I285" i="6"/>
  <c r="I384" i="6"/>
  <c r="I942" i="6"/>
  <c r="I878" i="6"/>
  <c r="I814" i="6"/>
  <c r="I913" i="6"/>
  <c r="I849" i="6"/>
  <c r="I785" i="6"/>
  <c r="I952" i="6"/>
  <c r="I917" i="6"/>
  <c r="I853" i="6"/>
  <c r="I783" i="6"/>
  <c r="I941" i="6"/>
  <c r="I834" i="6"/>
  <c r="I743" i="6"/>
  <c r="I943" i="6"/>
  <c r="I864" i="6"/>
  <c r="I951" i="6"/>
  <c r="I903" i="6"/>
  <c r="I839" i="6"/>
  <c r="I867" i="6"/>
  <c r="I763" i="6"/>
  <c r="I912" i="6"/>
  <c r="I848" i="6"/>
  <c r="I787" i="6"/>
  <c r="I906" i="6"/>
  <c r="I792" i="6"/>
  <c r="I719" i="6"/>
  <c r="I709" i="6"/>
  <c r="I645" i="6"/>
  <c r="I765" i="6"/>
  <c r="I664" i="6"/>
  <c r="I907" i="6"/>
  <c r="I715" i="6"/>
  <c r="I651" i="6"/>
  <c r="I805" i="6"/>
  <c r="I702" i="6"/>
  <c r="I638" i="6"/>
  <c r="I728" i="6"/>
  <c r="I657" i="6"/>
  <c r="I807" i="6"/>
  <c r="I668" i="6"/>
  <c r="I604" i="6"/>
  <c r="I687" i="6"/>
  <c r="I623" i="6"/>
  <c r="I718" i="6"/>
  <c r="I658" i="6"/>
  <c r="I596" i="6"/>
  <c r="I532" i="6"/>
  <c r="I468" i="6"/>
  <c r="I567" i="6"/>
  <c r="I503" i="6"/>
  <c r="I599" i="6"/>
  <c r="I538" i="6"/>
  <c r="I474" i="6"/>
  <c r="I573" i="6"/>
  <c r="I509" i="6"/>
  <c r="I592" i="6"/>
  <c r="I528" i="6"/>
  <c r="I464" i="6"/>
  <c r="I555" i="6"/>
  <c r="I491" i="6"/>
  <c r="I600" i="6"/>
  <c r="I542" i="6"/>
  <c r="I478" i="6"/>
  <c r="I569" i="6"/>
  <c r="I505" i="6"/>
  <c r="I432" i="6"/>
  <c r="I371" i="6"/>
  <c r="I307" i="6"/>
  <c r="I414" i="6"/>
  <c r="I350" i="6"/>
  <c r="I286" i="6"/>
  <c r="I377" i="6"/>
  <c r="I313" i="6"/>
  <c r="I420" i="6"/>
  <c r="I356" i="6"/>
  <c r="I292" i="6"/>
  <c r="I399" i="6"/>
  <c r="I335" i="6"/>
  <c r="I440" i="6"/>
  <c r="I370" i="6"/>
  <c r="I934" i="6"/>
  <c r="I870" i="6"/>
  <c r="I806" i="6"/>
  <c r="I905" i="6"/>
  <c r="I841" i="6"/>
  <c r="I777" i="6"/>
  <c r="I944" i="6"/>
  <c r="I904" i="6"/>
  <c r="I840" i="6"/>
  <c r="I778" i="6"/>
  <c r="I939" i="6"/>
  <c r="I819" i="6"/>
  <c r="I738" i="6"/>
  <c r="I924" i="6"/>
  <c r="I860" i="6"/>
  <c r="I932" i="6"/>
  <c r="I901" i="6"/>
  <c r="I837" i="6"/>
  <c r="I850" i="6"/>
  <c r="I756" i="6"/>
  <c r="I908" i="6"/>
  <c r="I844" i="6"/>
  <c r="I780" i="6"/>
  <c r="I891" i="6"/>
  <c r="I766" i="6"/>
  <c r="I890" i="6"/>
  <c r="I701" i="6"/>
  <c r="I637" i="6"/>
  <c r="I731" i="6"/>
  <c r="I656" i="6"/>
  <c r="I826" i="6"/>
  <c r="I707" i="6"/>
  <c r="I643" i="6"/>
  <c r="I791" i="6"/>
  <c r="I694" i="6"/>
  <c r="I630" i="6"/>
  <c r="I713" i="6"/>
  <c r="I649" i="6"/>
  <c r="I796" i="6"/>
  <c r="I660" i="6"/>
  <c r="I815" i="6"/>
  <c r="I679" i="6"/>
  <c r="I615" i="6"/>
  <c r="I714" i="6"/>
  <c r="I650" i="6"/>
  <c r="I588" i="6"/>
  <c r="I524" i="6"/>
  <c r="I460" i="6"/>
  <c r="I559" i="6"/>
  <c r="I495" i="6"/>
  <c r="I594" i="6"/>
  <c r="I530" i="6"/>
  <c r="I466" i="6"/>
  <c r="I565" i="6"/>
  <c r="I501" i="6"/>
  <c r="I584" i="6"/>
  <c r="I520" i="6"/>
  <c r="I456" i="6"/>
  <c r="I547" i="6"/>
  <c r="I483" i="6"/>
  <c r="I598" i="6"/>
  <c r="I534" i="6"/>
  <c r="I470" i="6"/>
  <c r="I561" i="6"/>
  <c r="I497" i="6"/>
  <c r="I427" i="6"/>
  <c r="I363" i="6"/>
  <c r="I299" i="6"/>
  <c r="I406" i="6"/>
  <c r="I342" i="6"/>
  <c r="I278" i="6"/>
  <c r="I369" i="6"/>
  <c r="I305" i="6"/>
  <c r="I412" i="6"/>
  <c r="I348" i="6"/>
  <c r="I284" i="6"/>
  <c r="I926" i="6"/>
  <c r="I862" i="6"/>
  <c r="I961" i="6"/>
  <c r="I897" i="6"/>
  <c r="I833" i="6"/>
  <c r="I769" i="6"/>
  <c r="I936" i="6"/>
  <c r="I900" i="6"/>
  <c r="I836" i="6"/>
  <c r="I771" i="6"/>
  <c r="I935" i="6"/>
  <c r="I802" i="6"/>
  <c r="I733" i="6"/>
  <c r="I911" i="6"/>
  <c r="I847" i="6"/>
  <c r="I922" i="6"/>
  <c r="I888" i="6"/>
  <c r="I824" i="6"/>
  <c r="I835" i="6"/>
  <c r="I749" i="6"/>
  <c r="I895" i="6"/>
  <c r="I831" i="6"/>
  <c r="I773" i="6"/>
  <c r="I874" i="6"/>
  <c r="I759" i="6"/>
  <c r="I820" i="6"/>
  <c r="I693" i="6"/>
  <c r="I629" i="6"/>
  <c r="I712" i="6"/>
  <c r="I648" i="6"/>
  <c r="I811" i="6"/>
  <c r="I699" i="6"/>
  <c r="I635" i="6"/>
  <c r="I786" i="6"/>
  <c r="I686" i="6"/>
  <c r="I622" i="6"/>
  <c r="I705" i="6"/>
  <c r="I641" i="6"/>
  <c r="I723" i="6"/>
  <c r="I652" i="6"/>
  <c r="I774" i="6"/>
  <c r="I671" i="6"/>
  <c r="I607" i="6"/>
  <c r="I706" i="6"/>
  <c r="I642" i="6"/>
  <c r="I580" i="6"/>
  <c r="I516" i="6"/>
  <c r="I452" i="6"/>
  <c r="I551" i="6"/>
  <c r="I487" i="6"/>
  <c r="I586" i="6"/>
  <c r="I522" i="6"/>
  <c r="I458" i="6"/>
  <c r="I557" i="6"/>
  <c r="I493" i="6"/>
  <c r="I576" i="6"/>
  <c r="I512" i="6"/>
  <c r="I448" i="6"/>
  <c r="I539" i="6"/>
  <c r="I475" i="6"/>
  <c r="I590" i="6"/>
  <c r="I526" i="6"/>
  <c r="I462" i="6"/>
  <c r="I553" i="6"/>
  <c r="I489" i="6"/>
  <c r="I419" i="6"/>
  <c r="I355" i="6"/>
  <c r="I291" i="6"/>
  <c r="I398" i="6"/>
  <c r="I334" i="6"/>
  <c r="I425" i="6"/>
  <c r="I361" i="6"/>
  <c r="I297" i="6"/>
  <c r="I404" i="6"/>
  <c r="I340" i="6"/>
  <c r="I276" i="6"/>
  <c r="I383" i="6"/>
  <c r="I319" i="6"/>
  <c r="I418" i="6"/>
  <c r="I354" i="6"/>
  <c r="I918" i="6"/>
  <c r="I854" i="6"/>
  <c r="I953" i="6"/>
  <c r="I889" i="6"/>
  <c r="I825" i="6"/>
  <c r="I761" i="6"/>
  <c r="I928" i="6"/>
  <c r="I887" i="6"/>
  <c r="I823" i="6"/>
  <c r="I764" i="6"/>
  <c r="I915" i="6"/>
  <c r="I795" i="6"/>
  <c r="I725" i="6"/>
  <c r="I909" i="6"/>
  <c r="I845" i="6"/>
  <c r="I959" i="6"/>
  <c r="I884" i="6"/>
  <c r="I948" i="6"/>
  <c r="I818" i="6"/>
  <c r="I744" i="6"/>
  <c r="I893" i="6"/>
  <c r="I829" i="6"/>
  <c r="I768" i="6"/>
  <c r="I859" i="6"/>
  <c r="I754" i="6"/>
  <c r="I779" i="6"/>
  <c r="I685" i="6"/>
  <c r="I621" i="6"/>
  <c r="I704" i="6"/>
  <c r="I640" i="6"/>
  <c r="I789" i="6"/>
  <c r="I691" i="6"/>
  <c r="I627" i="6"/>
  <c r="I767" i="6"/>
  <c r="I678" i="6"/>
  <c r="I614" i="6"/>
  <c r="I697" i="6"/>
  <c r="I633" i="6"/>
  <c r="I708" i="6"/>
  <c r="I644" i="6"/>
  <c r="I732" i="6"/>
  <c r="I663" i="6"/>
  <c r="I798" i="6"/>
  <c r="I698" i="6"/>
  <c r="I634" i="6"/>
  <c r="I572" i="6"/>
  <c r="I508" i="6"/>
  <c r="I444" i="6"/>
  <c r="I543" i="6"/>
  <c r="I479" i="6"/>
  <c r="I578" i="6"/>
  <c r="I514" i="6"/>
  <c r="I450" i="6"/>
  <c r="I549" i="6"/>
  <c r="I485" i="6"/>
  <c r="I568" i="6"/>
  <c r="I910" i="6"/>
  <c r="I846" i="6"/>
  <c r="I945" i="6"/>
  <c r="I881" i="6"/>
  <c r="I817" i="6"/>
  <c r="I753" i="6"/>
  <c r="I933" i="6"/>
  <c r="I885" i="6"/>
  <c r="I821" i="6"/>
  <c r="I757" i="6"/>
  <c r="I898" i="6"/>
  <c r="I788" i="6"/>
  <c r="I717" i="6"/>
  <c r="I896" i="6"/>
  <c r="I832" i="6"/>
  <c r="I940" i="6"/>
  <c r="I871" i="6"/>
  <c r="I938" i="6"/>
  <c r="I803" i="6"/>
  <c r="I729" i="6"/>
  <c r="I880" i="6"/>
  <c r="I816" i="6"/>
  <c r="I742" i="6"/>
  <c r="I842" i="6"/>
  <c r="I747" i="6"/>
  <c r="I760" i="6"/>
  <c r="I677" i="6"/>
  <c r="I613" i="6"/>
  <c r="I696" i="6"/>
  <c r="I632" i="6"/>
  <c r="I784" i="6"/>
  <c r="I683" i="6"/>
  <c r="I619" i="6"/>
  <c r="I751" i="6"/>
  <c r="I670" i="6"/>
  <c r="I606" i="6"/>
  <c r="I689" i="6"/>
  <c r="I625" i="6"/>
  <c r="I700" i="6"/>
  <c r="I636" i="6"/>
  <c r="I716" i="6"/>
  <c r="I655" i="6"/>
  <c r="I758" i="6"/>
  <c r="I690" i="6"/>
  <c r="I626" i="6"/>
  <c r="I564" i="6"/>
  <c r="I500" i="6"/>
  <c r="I436" i="6"/>
  <c r="I535" i="6"/>
  <c r="I471" i="6"/>
  <c r="I570" i="6"/>
  <c r="I506" i="6"/>
  <c r="I442" i="6"/>
  <c r="I541" i="6"/>
  <c r="I477" i="6"/>
  <c r="I560" i="6"/>
  <c r="I496" i="6"/>
  <c r="I902" i="6"/>
  <c r="I838" i="6"/>
  <c r="I937" i="6"/>
  <c r="I873" i="6"/>
  <c r="I809" i="6"/>
  <c r="I745" i="6"/>
  <c r="I931" i="6"/>
  <c r="I872" i="6"/>
  <c r="I808" i="6"/>
  <c r="I752" i="6"/>
  <c r="I883" i="6"/>
  <c r="I781" i="6"/>
  <c r="I962" i="6"/>
  <c r="I892" i="6"/>
  <c r="I828" i="6"/>
  <c r="I930" i="6"/>
  <c r="I869" i="6"/>
  <c r="I914" i="6"/>
  <c r="I782" i="6"/>
  <c r="I721" i="6"/>
  <c r="I876" i="6"/>
  <c r="I812" i="6"/>
  <c r="I954" i="6"/>
  <c r="I827" i="6"/>
  <c r="I740" i="6"/>
  <c r="I741" i="6"/>
  <c r="I669" i="6"/>
  <c r="I605" i="6"/>
  <c r="I688" i="6"/>
  <c r="I624" i="6"/>
  <c r="I762" i="6"/>
  <c r="I675" i="6"/>
  <c r="I611" i="6"/>
  <c r="I748" i="6"/>
  <c r="I662" i="6"/>
  <c r="I843" i="6"/>
  <c r="I681" i="6"/>
  <c r="I617" i="6"/>
  <c r="I692" i="6"/>
  <c r="I628" i="6"/>
  <c r="I711" i="6"/>
  <c r="I647" i="6"/>
  <c r="I755" i="6"/>
  <c r="I682" i="6"/>
  <c r="I618" i="6"/>
  <c r="I556" i="6"/>
  <c r="I492" i="6"/>
  <c r="I591" i="6"/>
  <c r="I527" i="6"/>
  <c r="I463" i="6"/>
  <c r="I562" i="6"/>
  <c r="I498" i="6"/>
  <c r="I597" i="6"/>
  <c r="I533" i="6"/>
  <c r="I469" i="6"/>
  <c r="I552" i="6"/>
  <c r="I488" i="6"/>
  <c r="I579" i="6"/>
  <c r="I515" i="6"/>
  <c r="I451" i="6"/>
  <c r="I566" i="6"/>
  <c r="I502" i="6"/>
  <c r="I593" i="6"/>
  <c r="I529" i="6"/>
  <c r="I465" i="6"/>
  <c r="I395" i="6"/>
  <c r="I331" i="6"/>
  <c r="I439" i="6"/>
  <c r="I374" i="6"/>
  <c r="I310" i="6"/>
  <c r="I401" i="6"/>
  <c r="I337" i="6"/>
  <c r="I437" i="6"/>
  <c r="I380" i="6"/>
  <c r="I316" i="6"/>
  <c r="I157" i="6"/>
  <c r="I73" i="6"/>
  <c r="I86" i="6"/>
  <c r="I35" i="6"/>
  <c r="I40" i="6"/>
  <c r="I104" i="6"/>
  <c r="I45" i="6"/>
  <c r="I109" i="6"/>
  <c r="I42" i="6"/>
  <c r="I106" i="6"/>
  <c r="I55" i="6"/>
  <c r="I119" i="6"/>
  <c r="I20" i="6"/>
  <c r="I84" i="6"/>
  <c r="I144" i="6"/>
  <c r="I208" i="6"/>
  <c r="I272" i="6"/>
  <c r="I189" i="6"/>
  <c r="I253" i="6"/>
  <c r="I170" i="6"/>
  <c r="I234" i="6"/>
  <c r="I151" i="6"/>
  <c r="I215" i="6"/>
  <c r="I132" i="6"/>
  <c r="I196" i="6"/>
  <c r="I260" i="6"/>
  <c r="I177" i="6"/>
  <c r="I241" i="6"/>
  <c r="I158" i="6"/>
  <c r="I222" i="6"/>
  <c r="I131" i="6"/>
  <c r="I195" i="6"/>
  <c r="I259" i="6"/>
  <c r="I328" i="6"/>
  <c r="I400" i="6"/>
  <c r="I309" i="6"/>
  <c r="I381" i="6"/>
  <c r="I290" i="6"/>
  <c r="I386" i="6"/>
  <c r="I311" i="6"/>
  <c r="I423" i="6"/>
  <c r="I396" i="6"/>
  <c r="I409" i="6"/>
  <c r="I430" i="6"/>
  <c r="I411" i="6"/>
  <c r="I446" i="6"/>
  <c r="I443" i="6"/>
  <c r="I595" i="6"/>
  <c r="I554" i="6"/>
  <c r="I739" i="6"/>
  <c r="I654" i="6"/>
  <c r="I661" i="6"/>
  <c r="I775" i="6"/>
  <c r="I866" i="6"/>
  <c r="I929" i="6"/>
  <c r="I77" i="6"/>
  <c r="I240" i="6"/>
  <c r="N5" i="6"/>
  <c r="I22" i="6"/>
  <c r="I99" i="6"/>
  <c r="I17" i="6"/>
  <c r="I81" i="6"/>
  <c r="I30" i="6"/>
  <c r="I94" i="6"/>
  <c r="I43" i="6"/>
  <c r="I107" i="6"/>
  <c r="O9" i="6" s="1"/>
  <c r="I48" i="6"/>
  <c r="I112" i="6"/>
  <c r="I53" i="6"/>
  <c r="I117" i="6"/>
  <c r="I50" i="6"/>
  <c r="I114" i="6"/>
  <c r="I63" i="6"/>
  <c r="I127" i="6"/>
  <c r="I28" i="6"/>
  <c r="I92" i="6"/>
  <c r="I152" i="6"/>
  <c r="I216" i="6"/>
  <c r="I133" i="6"/>
  <c r="I197" i="6"/>
  <c r="I261" i="6"/>
  <c r="I178" i="6"/>
  <c r="I242" i="6"/>
  <c r="O11" i="6" s="1"/>
  <c r="I159" i="6"/>
  <c r="I223" i="6"/>
  <c r="I140" i="6"/>
  <c r="I204" i="6"/>
  <c r="I268" i="6"/>
  <c r="I185" i="6"/>
  <c r="I249" i="6"/>
  <c r="I166" i="6"/>
  <c r="I230" i="6"/>
  <c r="I139" i="6"/>
  <c r="I203" i="6"/>
  <c r="I267" i="6"/>
  <c r="I336" i="6"/>
  <c r="I408" i="6"/>
  <c r="I317" i="6"/>
  <c r="I389" i="6"/>
  <c r="I298" i="6"/>
  <c r="I394" i="6"/>
  <c r="I327" i="6"/>
  <c r="I431" i="6"/>
  <c r="I433" i="6"/>
  <c r="I417" i="6"/>
  <c r="I441" i="6"/>
  <c r="I457" i="6"/>
  <c r="I454" i="6"/>
  <c r="I459" i="6"/>
  <c r="I480" i="6"/>
  <c r="I455" i="6"/>
  <c r="I639" i="6"/>
  <c r="I726" i="6"/>
  <c r="I736" i="6"/>
  <c r="I899" i="6"/>
  <c r="I730" i="6"/>
  <c r="I830" i="6"/>
  <c r="I118" i="6"/>
  <c r="I9" i="6"/>
  <c r="I25" i="6"/>
  <c r="I89" i="6"/>
  <c r="I38" i="6"/>
  <c r="I102" i="6"/>
  <c r="I51" i="6"/>
  <c r="I115" i="6"/>
  <c r="I56" i="6"/>
  <c r="I120" i="6"/>
  <c r="I61" i="6"/>
  <c r="I125" i="6"/>
  <c r="I58" i="6"/>
  <c r="I122" i="6"/>
  <c r="I71" i="6"/>
  <c r="I36" i="6"/>
  <c r="I100" i="6"/>
  <c r="I160" i="6"/>
  <c r="I224" i="6"/>
  <c r="I141" i="6"/>
  <c r="I205" i="6"/>
  <c r="I269" i="6"/>
  <c r="I186" i="6"/>
  <c r="I250" i="6"/>
  <c r="I167" i="6"/>
  <c r="I231" i="6"/>
  <c r="I148" i="6"/>
  <c r="I212" i="6"/>
  <c r="I129" i="6"/>
  <c r="I193" i="6"/>
  <c r="I257" i="6"/>
  <c r="I174" i="6"/>
  <c r="I238" i="6"/>
  <c r="I147" i="6"/>
  <c r="I211" i="6"/>
  <c r="I280" i="6"/>
  <c r="I344" i="6"/>
  <c r="I416" i="6"/>
  <c r="I325" i="6"/>
  <c r="I397" i="6"/>
  <c r="I306" i="6"/>
  <c r="I402" i="6"/>
  <c r="I351" i="6"/>
  <c r="I445" i="6"/>
  <c r="I281" i="6"/>
  <c r="I302" i="6"/>
  <c r="I283" i="6"/>
  <c r="I473" i="6"/>
  <c r="I494" i="6"/>
  <c r="I467" i="6"/>
  <c r="I504" i="6"/>
  <c r="I519" i="6"/>
  <c r="I703" i="6"/>
  <c r="I603" i="6"/>
  <c r="I735" i="6"/>
  <c r="I856" i="6"/>
  <c r="I804" i="6"/>
  <c r="I894" i="6"/>
  <c r="U3" i="6"/>
  <c r="O8" i="6"/>
  <c r="R927" i="4"/>
  <c r="R323" i="4"/>
  <c r="R517" i="4"/>
  <c r="R675" i="4"/>
  <c r="R722" i="4"/>
  <c r="R413" i="4"/>
  <c r="R319" i="4"/>
  <c r="R325" i="4"/>
  <c r="R107" i="4"/>
  <c r="R727" i="4"/>
  <c r="R715" i="4"/>
  <c r="R611" i="4"/>
  <c r="R555" i="4"/>
  <c r="R550" i="4"/>
  <c r="R197" i="4"/>
  <c r="R842" i="4"/>
  <c r="R864" i="4"/>
  <c r="R650" i="4"/>
  <c r="R495" i="4"/>
  <c r="R454" i="4"/>
  <c r="R849" i="4"/>
  <c r="R230" i="4"/>
  <c r="R609" i="4"/>
  <c r="R243" i="4"/>
  <c r="R775" i="4"/>
  <c r="R443" i="4"/>
  <c r="R370" i="4"/>
  <c r="R613" i="4"/>
  <c r="R771" i="4"/>
  <c r="R387" i="4"/>
  <c r="R705" i="4"/>
  <c r="R157" i="4"/>
  <c r="R576" i="4"/>
  <c r="R240" i="4"/>
  <c r="R667" i="4"/>
  <c r="R315" i="4"/>
  <c r="R362" i="4"/>
  <c r="R949" i="4"/>
  <c r="R247" i="4"/>
  <c r="R95" i="4"/>
  <c r="R603" i="4"/>
  <c r="R766" i="4"/>
  <c r="R577" i="4"/>
  <c r="R465" i="4"/>
  <c r="R211" i="4"/>
  <c r="R148" i="4"/>
  <c r="R427" i="4"/>
  <c r="R450" i="4"/>
  <c r="R409" i="4"/>
  <c r="R903" i="4"/>
  <c r="R500" i="4"/>
  <c r="R711" i="4"/>
  <c r="R367" i="4"/>
  <c r="R446" i="4"/>
  <c r="R821" i="4"/>
  <c r="R496" i="4"/>
  <c r="R759" i="4"/>
  <c r="R707" i="4"/>
  <c r="R651" i="4"/>
  <c r="R595" i="4"/>
  <c r="R535" i="4"/>
  <c r="R479" i="4"/>
  <c r="R419" i="4"/>
  <c r="R355" i="4"/>
  <c r="R291" i="4"/>
  <c r="R762" i="4"/>
  <c r="R698" i="4"/>
  <c r="R614" i="4"/>
  <c r="R510" i="4"/>
  <c r="R422" i="4"/>
  <c r="R330" i="4"/>
  <c r="R665" i="4"/>
  <c r="R573" i="4"/>
  <c r="R477" i="4"/>
  <c r="R389" i="4"/>
  <c r="R305" i="4"/>
  <c r="R917" i="4"/>
  <c r="R789" i="4"/>
  <c r="R337" i="4"/>
  <c r="R97" i="4"/>
  <c r="R760" i="4"/>
  <c r="R811" i="4"/>
  <c r="R179" i="4"/>
  <c r="R922" i="4"/>
  <c r="R778" i="4"/>
  <c r="R162" i="4"/>
  <c r="R876" i="4"/>
  <c r="R416" i="4"/>
  <c r="R55" i="4"/>
  <c r="R371" i="4"/>
  <c r="R542" i="4"/>
  <c r="R501" i="4"/>
  <c r="R837" i="4"/>
  <c r="R226" i="4"/>
  <c r="R663" i="4"/>
  <c r="R299" i="4"/>
  <c r="R534" i="4"/>
  <c r="R405" i="4"/>
  <c r="R808" i="4"/>
  <c r="R37" i="4"/>
  <c r="R747" i="4"/>
  <c r="R699" i="4"/>
  <c r="R647" i="4"/>
  <c r="R591" i="4"/>
  <c r="R531" i="4"/>
  <c r="R467" i="4"/>
  <c r="R411" i="4"/>
  <c r="R351" i="4"/>
  <c r="R287" i="4"/>
  <c r="R758" i="4"/>
  <c r="R678" i="4"/>
  <c r="R590" i="4"/>
  <c r="R506" i="4"/>
  <c r="R418" i="4"/>
  <c r="R326" i="4"/>
  <c r="R645" i="4"/>
  <c r="R565" i="4"/>
  <c r="R473" i="4"/>
  <c r="R385" i="4"/>
  <c r="R285" i="4"/>
  <c r="R913" i="4"/>
  <c r="R785" i="4"/>
  <c r="R329" i="4"/>
  <c r="R93" i="4"/>
  <c r="R756" i="4"/>
  <c r="R807" i="4"/>
  <c r="R175" i="4"/>
  <c r="R918" i="4"/>
  <c r="R474" i="4"/>
  <c r="R102" i="4"/>
  <c r="R868" i="4"/>
  <c r="R404" i="4"/>
  <c r="R39" i="4"/>
  <c r="R551" i="4"/>
  <c r="R626" i="4"/>
  <c r="R321" i="4"/>
  <c r="R840" i="4"/>
  <c r="R794" i="4"/>
  <c r="R763" i="4"/>
  <c r="R423" i="4"/>
  <c r="R334" i="4"/>
  <c r="R945" i="4"/>
  <c r="R871" i="4"/>
  <c r="R166" i="4"/>
  <c r="R743" i="4"/>
  <c r="R695" i="4"/>
  <c r="R643" i="4"/>
  <c r="R579" i="4"/>
  <c r="R523" i="4"/>
  <c r="R463" i="4"/>
  <c r="R407" i="4"/>
  <c r="R347" i="4"/>
  <c r="R267" i="4"/>
  <c r="R742" i="4"/>
  <c r="R674" i="4"/>
  <c r="R586" i="4"/>
  <c r="R498" i="4"/>
  <c r="R398" i="4"/>
  <c r="R761" i="4"/>
  <c r="R641" i="4"/>
  <c r="R561" i="4"/>
  <c r="R453" i="4"/>
  <c r="R361" i="4"/>
  <c r="R261" i="4"/>
  <c r="R901" i="4"/>
  <c r="R773" i="4"/>
  <c r="R273" i="4"/>
  <c r="R81" i="4"/>
  <c r="R744" i="4"/>
  <c r="R795" i="4"/>
  <c r="R163" i="4"/>
  <c r="R906" i="4"/>
  <c r="R466" i="4"/>
  <c r="R98" i="4"/>
  <c r="R672" i="4"/>
  <c r="R336" i="4"/>
  <c r="R491" i="4"/>
  <c r="R710" i="4"/>
  <c r="R697" i="4"/>
  <c r="R557" i="4"/>
  <c r="R160" i="4"/>
  <c r="R483" i="4"/>
  <c r="R702" i="4"/>
  <c r="R669" i="4"/>
  <c r="R309" i="4"/>
  <c r="R129" i="4"/>
  <c r="R790" i="4"/>
  <c r="R739" i="4"/>
  <c r="R683" i="4"/>
  <c r="R627" i="4"/>
  <c r="R571" i="4"/>
  <c r="R519" i="4"/>
  <c r="R459" i="4"/>
  <c r="R395" i="4"/>
  <c r="R339" i="4"/>
  <c r="R263" i="4"/>
  <c r="R738" i="4"/>
  <c r="R670" i="4"/>
  <c r="R574" i="4"/>
  <c r="R486" i="4"/>
  <c r="R394" i="4"/>
  <c r="R753" i="4"/>
  <c r="R629" i="4"/>
  <c r="R533" i="4"/>
  <c r="R445" i="4"/>
  <c r="R353" i="4"/>
  <c r="R221" i="4"/>
  <c r="R885" i="4"/>
  <c r="R725" i="4"/>
  <c r="R193" i="4"/>
  <c r="R936" i="4"/>
  <c r="R728" i="4"/>
  <c r="R779" i="4"/>
  <c r="R147" i="4"/>
  <c r="R858" i="4"/>
  <c r="R290" i="4"/>
  <c r="R38" i="4"/>
  <c r="R660" i="4"/>
  <c r="R320" i="4"/>
  <c r="R88" i="4"/>
  <c r="R607" i="4"/>
  <c r="R239" i="4"/>
  <c r="R581" i="4"/>
  <c r="R145" i="4"/>
  <c r="R53" i="4"/>
  <c r="R539" i="4"/>
  <c r="R618" i="4"/>
  <c r="R497" i="4"/>
  <c r="R954" i="4"/>
  <c r="R731" i="4"/>
  <c r="R679" i="4"/>
  <c r="R623" i="4"/>
  <c r="R563" i="4"/>
  <c r="R499" i="4"/>
  <c r="R451" i="4"/>
  <c r="R391" i="4"/>
  <c r="R335" i="4"/>
  <c r="R259" i="4"/>
  <c r="R726" i="4"/>
  <c r="R654" i="4"/>
  <c r="R570" i="4"/>
  <c r="R482" i="4"/>
  <c r="R382" i="4"/>
  <c r="R713" i="4"/>
  <c r="R617" i="4"/>
  <c r="R525" i="4"/>
  <c r="R441" i="4"/>
  <c r="R349" i="4"/>
  <c r="R217" i="4"/>
  <c r="R853" i="4"/>
  <c r="R621" i="4"/>
  <c r="R161" i="4"/>
  <c r="R872" i="4"/>
  <c r="R935" i="4"/>
  <c r="R383" i="4"/>
  <c r="R111" i="4"/>
  <c r="R854" i="4"/>
  <c r="R286" i="4"/>
  <c r="R34" i="4"/>
  <c r="R592" i="4"/>
  <c r="R244" i="4"/>
  <c r="R84" i="4"/>
  <c r="R410" i="4"/>
  <c r="R302" i="4"/>
  <c r="R214" i="4"/>
  <c r="R150" i="4"/>
  <c r="R86" i="4"/>
  <c r="R22" i="4"/>
  <c r="R25" i="4"/>
  <c r="R836" i="4"/>
  <c r="R656" i="4"/>
  <c r="R564" i="4"/>
  <c r="R480" i="4"/>
  <c r="R400" i="4"/>
  <c r="R308" i="4"/>
  <c r="R224" i="4"/>
  <c r="R144" i="4"/>
  <c r="R27" i="4"/>
  <c r="R68" i="4"/>
  <c r="R767" i="4"/>
  <c r="R735" i="4"/>
  <c r="R703" i="4"/>
  <c r="R671" i="4"/>
  <c r="R635" i="4"/>
  <c r="R599" i="4"/>
  <c r="R559" i="4"/>
  <c r="R527" i="4"/>
  <c r="R487" i="4"/>
  <c r="R455" i="4"/>
  <c r="R415" i="4"/>
  <c r="R379" i="4"/>
  <c r="R343" i="4"/>
  <c r="R295" i="4"/>
  <c r="R251" i="4"/>
  <c r="R754" i="4"/>
  <c r="R706" i="4"/>
  <c r="R662" i="4"/>
  <c r="R610" i="4"/>
  <c r="R546" i="4"/>
  <c r="R490" i="4"/>
  <c r="R442" i="4"/>
  <c r="R378" i="4"/>
  <c r="R769" i="4"/>
  <c r="R689" i="4"/>
  <c r="R625" i="4"/>
  <c r="R569" i="4"/>
  <c r="R513" i="4"/>
  <c r="R449" i="4"/>
  <c r="R397" i="4"/>
  <c r="R345" i="4"/>
  <c r="R269" i="4"/>
  <c r="R953" i="4"/>
  <c r="R889" i="4"/>
  <c r="R825" i="4"/>
  <c r="R741" i="4"/>
  <c r="R493" i="4"/>
  <c r="R201" i="4"/>
  <c r="R133" i="4"/>
  <c r="R944" i="4"/>
  <c r="R816" i="4"/>
  <c r="R732" i="4"/>
  <c r="R879" i="4"/>
  <c r="R783" i="4"/>
  <c r="R215" i="4"/>
  <c r="R151" i="4"/>
  <c r="R958" i="4"/>
  <c r="R894" i="4"/>
  <c r="R830" i="4"/>
  <c r="R658" i="4"/>
  <c r="R366" i="4"/>
  <c r="R266" i="4"/>
  <c r="R202" i="4"/>
  <c r="R138" i="4"/>
  <c r="R74" i="4"/>
  <c r="R6" i="4"/>
  <c r="R21" i="4"/>
  <c r="R812" i="4"/>
  <c r="R640" i="4"/>
  <c r="R560" i="4"/>
  <c r="R468" i="4"/>
  <c r="R384" i="4"/>
  <c r="R304" i="4"/>
  <c r="R212" i="4"/>
  <c r="R128" i="4"/>
  <c r="R23" i="4"/>
  <c r="R56" i="4"/>
  <c r="R890" i="4"/>
  <c r="R826" i="4"/>
  <c r="R630" i="4"/>
  <c r="R346" i="4"/>
  <c r="R262" i="4"/>
  <c r="R198" i="4"/>
  <c r="R134" i="4"/>
  <c r="R70" i="4"/>
  <c r="R2" i="4"/>
  <c r="R8" i="4"/>
  <c r="R804" i="4"/>
  <c r="R628" i="4"/>
  <c r="R544" i="4"/>
  <c r="R464" i="4"/>
  <c r="R372" i="4"/>
  <c r="R288" i="4"/>
  <c r="R208" i="4"/>
  <c r="R119" i="4"/>
  <c r="R9" i="4"/>
  <c r="R52" i="4"/>
  <c r="R948" i="4"/>
  <c r="R704" i="4"/>
  <c r="R624" i="4"/>
  <c r="R532" i="4"/>
  <c r="R448" i="4"/>
  <c r="R368" i="4"/>
  <c r="R276" i="4"/>
  <c r="R192" i="4"/>
  <c r="R87" i="4"/>
  <c r="R36" i="4"/>
  <c r="R257" i="4"/>
  <c r="R881" i="4"/>
  <c r="R717" i="4"/>
  <c r="R189" i="4"/>
  <c r="R125" i="4"/>
  <c r="R800" i="4"/>
  <c r="R724" i="4"/>
  <c r="R207" i="4"/>
  <c r="R130" i="4"/>
  <c r="R723" i="4"/>
  <c r="R659" i="4"/>
  <c r="R587" i="4"/>
  <c r="R547" i="4"/>
  <c r="R515" i="4"/>
  <c r="R435" i="4"/>
  <c r="R403" i="4"/>
  <c r="R363" i="4"/>
  <c r="R331" i="4"/>
  <c r="R283" i="4"/>
  <c r="R227" i="4"/>
  <c r="R734" i="4"/>
  <c r="R694" i="4"/>
  <c r="R638" i="4"/>
  <c r="R582" i="4"/>
  <c r="R526" i="4"/>
  <c r="R462" i="4"/>
  <c r="R414" i="4"/>
  <c r="R358" i="4"/>
  <c r="R729" i="4"/>
  <c r="R661" i="4"/>
  <c r="R605" i="4"/>
  <c r="R541" i="4"/>
  <c r="R489" i="4"/>
  <c r="R437" i="4"/>
  <c r="R373" i="4"/>
  <c r="R317" i="4"/>
  <c r="R245" i="4"/>
  <c r="R933" i="4"/>
  <c r="R869" i="4"/>
  <c r="R805" i="4"/>
  <c r="R685" i="4"/>
  <c r="R401" i="4"/>
  <c r="R177" i="4"/>
  <c r="R113" i="4"/>
  <c r="R904" i="4"/>
  <c r="R776" i="4"/>
  <c r="R712" i="4"/>
  <c r="R839" i="4"/>
  <c r="R511" i="4"/>
  <c r="R195" i="4"/>
  <c r="R131" i="4"/>
  <c r="R938" i="4"/>
  <c r="R874" i="4"/>
  <c r="R810" i="4"/>
  <c r="R538" i="4"/>
  <c r="R310" i="4"/>
  <c r="R246" i="4"/>
  <c r="R182" i="4"/>
  <c r="R118" i="4"/>
  <c r="R54" i="4"/>
  <c r="R69" i="4"/>
  <c r="R932" i="4"/>
  <c r="R692" i="4"/>
  <c r="R608" i="4"/>
  <c r="R528" i="4"/>
  <c r="R436" i="4"/>
  <c r="R352" i="4"/>
  <c r="R272" i="4"/>
  <c r="R180" i="4"/>
  <c r="R71" i="4"/>
  <c r="R116" i="4"/>
  <c r="R24" i="4"/>
  <c r="R817" i="4"/>
  <c r="R457" i="4"/>
  <c r="R928" i="4"/>
  <c r="R863" i="4"/>
  <c r="R639" i="4"/>
  <c r="R143" i="4"/>
  <c r="R950" i="4"/>
  <c r="R886" i="4"/>
  <c r="R822" i="4"/>
  <c r="R622" i="4"/>
  <c r="R322" i="4"/>
  <c r="R258" i="4"/>
  <c r="R194" i="4"/>
  <c r="R66" i="4"/>
  <c r="R755" i="4"/>
  <c r="R691" i="4"/>
  <c r="R619" i="4"/>
  <c r="R475" i="4"/>
  <c r="R751" i="4"/>
  <c r="R719" i="4"/>
  <c r="R687" i="4"/>
  <c r="R655" i="4"/>
  <c r="R615" i="4"/>
  <c r="R583" i="4"/>
  <c r="R543" i="4"/>
  <c r="R507" i="4"/>
  <c r="R471" i="4"/>
  <c r="R431" i="4"/>
  <c r="R399" i="4"/>
  <c r="R359" i="4"/>
  <c r="R327" i="4"/>
  <c r="R279" i="4"/>
  <c r="R770" i="4"/>
  <c r="R730" i="4"/>
  <c r="R690" i="4"/>
  <c r="R634" i="4"/>
  <c r="R578" i="4"/>
  <c r="R522" i="4"/>
  <c r="R458" i="4"/>
  <c r="R406" i="4"/>
  <c r="R354" i="4"/>
  <c r="R721" i="4"/>
  <c r="R653" i="4"/>
  <c r="R601" i="4"/>
  <c r="R537" i="4"/>
  <c r="R481" i="4"/>
  <c r="R433" i="4"/>
  <c r="R369" i="4"/>
  <c r="R313" i="4"/>
  <c r="R225" i="4"/>
  <c r="R921" i="4"/>
  <c r="R857" i="4"/>
  <c r="R793" i="4"/>
  <c r="R649" i="4"/>
  <c r="R357" i="4"/>
  <c r="R165" i="4"/>
  <c r="R101" i="4"/>
  <c r="R880" i="4"/>
  <c r="R764" i="4"/>
  <c r="R943" i="4"/>
  <c r="R815" i="4"/>
  <c r="R439" i="4"/>
  <c r="R183" i="4"/>
  <c r="R115" i="4"/>
  <c r="R926" i="4"/>
  <c r="R862" i="4"/>
  <c r="R798" i="4"/>
  <c r="R494" i="4"/>
  <c r="R294" i="4"/>
  <c r="R234" i="4"/>
  <c r="R170" i="4"/>
  <c r="R106" i="4"/>
  <c r="R42" i="4"/>
  <c r="R57" i="4"/>
  <c r="R900" i="4"/>
  <c r="R688" i="4"/>
  <c r="R596" i="4"/>
  <c r="R512" i="4"/>
  <c r="R432" i="4"/>
  <c r="R340" i="4"/>
  <c r="R256" i="4"/>
  <c r="R176" i="4"/>
  <c r="R59" i="4"/>
  <c r="R100" i="4"/>
  <c r="R20" i="4"/>
  <c r="R281" i="4"/>
  <c r="R241" i="4"/>
  <c r="R961" i="4"/>
  <c r="R929" i="4"/>
  <c r="R897" i="4"/>
  <c r="R865" i="4"/>
  <c r="R833" i="4"/>
  <c r="R801" i="4"/>
  <c r="R757" i="4"/>
  <c r="R677" i="4"/>
  <c r="R549" i="4"/>
  <c r="R393" i="4"/>
  <c r="R237" i="4"/>
  <c r="R173" i="4"/>
  <c r="R141" i="4"/>
  <c r="R109" i="4"/>
  <c r="R960" i="4"/>
  <c r="R896" i="4"/>
  <c r="R832" i="4"/>
  <c r="R772" i="4"/>
  <c r="R740" i="4"/>
  <c r="R959" i="4"/>
  <c r="R895" i="4"/>
  <c r="R831" i="4"/>
  <c r="R791" i="4"/>
  <c r="R503" i="4"/>
  <c r="R223" i="4"/>
  <c r="R191" i="4"/>
  <c r="R159" i="4"/>
  <c r="R127" i="4"/>
  <c r="R91" i="4"/>
  <c r="R934" i="4"/>
  <c r="R902" i="4"/>
  <c r="R870" i="4"/>
  <c r="R838" i="4"/>
  <c r="R806" i="4"/>
  <c r="R774" i="4"/>
  <c r="R530" i="4"/>
  <c r="R402" i="4"/>
  <c r="R306" i="4"/>
  <c r="R274" i="4"/>
  <c r="R242" i="4"/>
  <c r="R210" i="4"/>
  <c r="R178" i="4"/>
  <c r="R146" i="4"/>
  <c r="R114" i="4"/>
  <c r="R82" i="4"/>
  <c r="R50" i="4"/>
  <c r="R18" i="4"/>
  <c r="R65" i="4"/>
  <c r="R33" i="4"/>
  <c r="R5" i="4"/>
  <c r="R892" i="4"/>
  <c r="R828" i="4"/>
  <c r="R700" i="4"/>
  <c r="R668" i="4"/>
  <c r="R636" i="4"/>
  <c r="R604" i="4"/>
  <c r="R572" i="4"/>
  <c r="R540" i="4"/>
  <c r="R508" i="4"/>
  <c r="R476" i="4"/>
  <c r="R444" i="4"/>
  <c r="R412" i="4"/>
  <c r="R380" i="4"/>
  <c r="R348" i="4"/>
  <c r="R316" i="4"/>
  <c r="R284" i="4"/>
  <c r="R252" i="4"/>
  <c r="R220" i="4"/>
  <c r="R188" i="4"/>
  <c r="R156" i="4"/>
  <c r="R124" i="4"/>
  <c r="R67" i="4"/>
  <c r="R35" i="4"/>
  <c r="R7" i="4"/>
  <c r="R96" i="4"/>
  <c r="R64" i="4"/>
  <c r="R32" i="4"/>
  <c r="R277" i="4"/>
  <c r="R233" i="4"/>
  <c r="R957" i="4"/>
  <c r="R925" i="4"/>
  <c r="R893" i="4"/>
  <c r="R861" i="4"/>
  <c r="R829" i="4"/>
  <c r="R797" i="4"/>
  <c r="R749" i="4"/>
  <c r="R657" i="4"/>
  <c r="R529" i="4"/>
  <c r="R365" i="4"/>
  <c r="R209" i="4"/>
  <c r="R169" i="4"/>
  <c r="R137" i="4"/>
  <c r="R105" i="4"/>
  <c r="R952" i="4"/>
  <c r="R888" i="4"/>
  <c r="R824" i="4"/>
  <c r="R768" i="4"/>
  <c r="R736" i="4"/>
  <c r="R951" i="4"/>
  <c r="R887" i="4"/>
  <c r="R823" i="4"/>
  <c r="R787" i="4"/>
  <c r="R447" i="4"/>
  <c r="R219" i="4"/>
  <c r="R187" i="4"/>
  <c r="R155" i="4"/>
  <c r="R123" i="4"/>
  <c r="R962" i="4"/>
  <c r="R930" i="4"/>
  <c r="R898" i="4"/>
  <c r="R866" i="4"/>
  <c r="R834" i="4"/>
  <c r="R802" i="4"/>
  <c r="R666" i="4"/>
  <c r="R502" i="4"/>
  <c r="R374" i="4"/>
  <c r="R298" i="4"/>
  <c r="R270" i="4"/>
  <c r="R238" i="4"/>
  <c r="R206" i="4"/>
  <c r="R174" i="4"/>
  <c r="R142" i="4"/>
  <c r="R110" i="4"/>
  <c r="R78" i="4"/>
  <c r="R46" i="4"/>
  <c r="R14" i="4"/>
  <c r="R61" i="4"/>
  <c r="R29" i="4"/>
  <c r="R956" i="4"/>
  <c r="R884" i="4"/>
  <c r="R820" i="4"/>
  <c r="R696" i="4"/>
  <c r="R664" i="4"/>
  <c r="R632" i="4"/>
  <c r="R600" i="4"/>
  <c r="R568" i="4"/>
  <c r="R536" i="4"/>
  <c r="R504" i="4"/>
  <c r="R472" i="4"/>
  <c r="R440" i="4"/>
  <c r="R408" i="4"/>
  <c r="R376" i="4"/>
  <c r="R344" i="4"/>
  <c r="R312" i="4"/>
  <c r="R280" i="4"/>
  <c r="R248" i="4"/>
  <c r="R216" i="4"/>
  <c r="R184" i="4"/>
  <c r="R152" i="4"/>
  <c r="R120" i="4"/>
  <c r="R63" i="4"/>
  <c r="R31" i="4"/>
  <c r="R3" i="4"/>
  <c r="R92" i="4"/>
  <c r="R60" i="4"/>
  <c r="R819" i="4"/>
  <c r="R827" i="4"/>
  <c r="R338" i="4"/>
  <c r="R631" i="4"/>
  <c r="R851" i="4"/>
  <c r="R883" i="4"/>
  <c r="R915" i="4"/>
  <c r="R947" i="4"/>
  <c r="R375" i="4"/>
  <c r="R701" i="4"/>
  <c r="R859" i="4"/>
  <c r="R891" i="4"/>
  <c r="R923" i="4"/>
  <c r="R955" i="4"/>
  <c r="R733" i="4"/>
  <c r="R485" i="4"/>
  <c r="R765" i="4"/>
  <c r="R835" i="4"/>
  <c r="R867" i="4"/>
  <c r="R899" i="4"/>
  <c r="R931" i="4"/>
  <c r="R963" i="4"/>
  <c r="R229" i="4"/>
  <c r="R521" i="4"/>
  <c r="R594" i="4"/>
  <c r="R940" i="4"/>
  <c r="R265" i="4"/>
  <c r="R558" i="4"/>
  <c r="R788" i="4"/>
  <c r="R843" i="4"/>
  <c r="R875" i="4"/>
  <c r="R907" i="4"/>
  <c r="R939" i="4"/>
  <c r="R49" i="4"/>
  <c r="R17" i="4"/>
  <c r="R924" i="4"/>
  <c r="R860" i="4"/>
  <c r="R796" i="4"/>
  <c r="R684" i="4"/>
  <c r="R652" i="4"/>
  <c r="R620" i="4"/>
  <c r="R588" i="4"/>
  <c r="R556" i="4"/>
  <c r="R524" i="4"/>
  <c r="R492" i="4"/>
  <c r="R460" i="4"/>
  <c r="R428" i="4"/>
  <c r="R396" i="4"/>
  <c r="R364" i="4"/>
  <c r="R332" i="4"/>
  <c r="R300" i="4"/>
  <c r="R268" i="4"/>
  <c r="R236" i="4"/>
  <c r="R204" i="4"/>
  <c r="R172" i="4"/>
  <c r="R140" i="4"/>
  <c r="R83" i="4"/>
  <c r="R51" i="4"/>
  <c r="R19" i="4"/>
  <c r="R112" i="4"/>
  <c r="R80" i="4"/>
  <c r="R48" i="4"/>
  <c r="R16" i="4"/>
  <c r="R307" i="4"/>
  <c r="R275" i="4"/>
  <c r="R235" i="4"/>
  <c r="R750" i="4"/>
  <c r="R718" i="4"/>
  <c r="R686" i="4"/>
  <c r="R646" i="4"/>
  <c r="R606" i="4"/>
  <c r="R562" i="4"/>
  <c r="R518" i="4"/>
  <c r="R478" i="4"/>
  <c r="R434" i="4"/>
  <c r="R390" i="4"/>
  <c r="R350" i="4"/>
  <c r="R745" i="4"/>
  <c r="R681" i="4"/>
  <c r="R637" i="4"/>
  <c r="R597" i="4"/>
  <c r="R553" i="4"/>
  <c r="R509" i="4"/>
  <c r="R469" i="4"/>
  <c r="R425" i="4"/>
  <c r="R381" i="4"/>
  <c r="R341" i="4"/>
  <c r="R297" i="4"/>
  <c r="R253" i="4"/>
  <c r="R213" i="4"/>
  <c r="R941" i="4"/>
  <c r="R909" i="4"/>
  <c r="R877" i="4"/>
  <c r="R845" i="4"/>
  <c r="R813" i="4"/>
  <c r="R781" i="4"/>
  <c r="R709" i="4"/>
  <c r="R593" i="4"/>
  <c r="R429" i="4"/>
  <c r="R301" i="4"/>
  <c r="R185" i="4"/>
  <c r="R153" i="4"/>
  <c r="R121" i="4"/>
  <c r="R89" i="4"/>
  <c r="R920" i="4"/>
  <c r="R856" i="4"/>
  <c r="R792" i="4"/>
  <c r="R752" i="4"/>
  <c r="R720" i="4"/>
  <c r="R919" i="4"/>
  <c r="R855" i="4"/>
  <c r="R803" i="4"/>
  <c r="R575" i="4"/>
  <c r="R311" i="4"/>
  <c r="R203" i="4"/>
  <c r="R171" i="4"/>
  <c r="R139" i="4"/>
  <c r="R103" i="4"/>
  <c r="R946" i="4"/>
  <c r="R914" i="4"/>
  <c r="R882" i="4"/>
  <c r="R850" i="4"/>
  <c r="R818" i="4"/>
  <c r="R786" i="4"/>
  <c r="R602" i="4"/>
  <c r="R438" i="4"/>
  <c r="R318" i="4"/>
  <c r="R282" i="4"/>
  <c r="R254" i="4"/>
  <c r="R222" i="4"/>
  <c r="R190" i="4"/>
  <c r="R158" i="4"/>
  <c r="R126" i="4"/>
  <c r="R94" i="4"/>
  <c r="R62" i="4"/>
  <c r="R30" i="4"/>
  <c r="R77" i="4"/>
  <c r="R45" i="4"/>
  <c r="R13" i="4"/>
  <c r="R916" i="4"/>
  <c r="R852" i="4"/>
  <c r="R780" i="4"/>
  <c r="R680" i="4"/>
  <c r="R648" i="4"/>
  <c r="R616" i="4"/>
  <c r="R584" i="4"/>
  <c r="R552" i="4"/>
  <c r="R520" i="4"/>
  <c r="R488" i="4"/>
  <c r="R456" i="4"/>
  <c r="R424" i="4"/>
  <c r="R392" i="4"/>
  <c r="R360" i="4"/>
  <c r="R328" i="4"/>
  <c r="R296" i="4"/>
  <c r="R264" i="4"/>
  <c r="R232" i="4"/>
  <c r="R200" i="4"/>
  <c r="R168" i="4"/>
  <c r="R136" i="4"/>
  <c r="R79" i="4"/>
  <c r="R47" i="4"/>
  <c r="R15" i="4"/>
  <c r="R108" i="4"/>
  <c r="R76" i="4"/>
  <c r="R44" i="4"/>
  <c r="R12" i="4"/>
  <c r="R303" i="4"/>
  <c r="R271" i="4"/>
  <c r="R231" i="4"/>
  <c r="R746" i="4"/>
  <c r="R714" i="4"/>
  <c r="R682" i="4"/>
  <c r="R642" i="4"/>
  <c r="R598" i="4"/>
  <c r="R554" i="4"/>
  <c r="R514" i="4"/>
  <c r="R470" i="4"/>
  <c r="R426" i="4"/>
  <c r="R386" i="4"/>
  <c r="R342" i="4"/>
  <c r="R737" i="4"/>
  <c r="R673" i="4"/>
  <c r="R633" i="4"/>
  <c r="R589" i="4"/>
  <c r="R545" i="4"/>
  <c r="R505" i="4"/>
  <c r="R461" i="4"/>
  <c r="R417" i="4"/>
  <c r="R377" i="4"/>
  <c r="R333" i="4"/>
  <c r="R289" i="4"/>
  <c r="R249" i="4"/>
  <c r="R205" i="4"/>
  <c r="R937" i="4"/>
  <c r="R905" i="4"/>
  <c r="R873" i="4"/>
  <c r="R841" i="4"/>
  <c r="R809" i="4"/>
  <c r="R777" i="4"/>
  <c r="R693" i="4"/>
  <c r="R585" i="4"/>
  <c r="R421" i="4"/>
  <c r="R293" i="4"/>
  <c r="R181" i="4"/>
  <c r="R149" i="4"/>
  <c r="R117" i="4"/>
  <c r="R85" i="4"/>
  <c r="R912" i="4"/>
  <c r="R848" i="4"/>
  <c r="R784" i="4"/>
  <c r="R748" i="4"/>
  <c r="R716" i="4"/>
  <c r="R911" i="4"/>
  <c r="R847" i="4"/>
  <c r="R799" i="4"/>
  <c r="R567" i="4"/>
  <c r="R255" i="4"/>
  <c r="R199" i="4"/>
  <c r="R167" i="4"/>
  <c r="R135" i="4"/>
  <c r="R99" i="4"/>
  <c r="R942" i="4"/>
  <c r="R910" i="4"/>
  <c r="R878" i="4"/>
  <c r="R846" i="4"/>
  <c r="R814" i="4"/>
  <c r="R782" i="4"/>
  <c r="R566" i="4"/>
  <c r="R430" i="4"/>
  <c r="R314" i="4"/>
  <c r="R278" i="4"/>
  <c r="R250" i="4"/>
  <c r="R218" i="4"/>
  <c r="R186" i="4"/>
  <c r="R154" i="4"/>
  <c r="R122" i="4"/>
  <c r="R90" i="4"/>
  <c r="R58" i="4"/>
  <c r="R26" i="4"/>
  <c r="R73" i="4"/>
  <c r="R41" i="4"/>
  <c r="R10" i="4"/>
  <c r="R908" i="4"/>
  <c r="R844" i="4"/>
  <c r="R708" i="4"/>
  <c r="R676" i="4"/>
  <c r="R644" i="4"/>
  <c r="R612" i="4"/>
  <c r="R580" i="4"/>
  <c r="R548" i="4"/>
  <c r="R516" i="4"/>
  <c r="R484" i="4"/>
  <c r="R452" i="4"/>
  <c r="R420" i="4"/>
  <c r="R388" i="4"/>
  <c r="R356" i="4"/>
  <c r="R324" i="4"/>
  <c r="R292" i="4"/>
  <c r="R260" i="4"/>
  <c r="R228" i="4"/>
  <c r="R196" i="4"/>
  <c r="R164" i="4"/>
  <c r="R132" i="4"/>
  <c r="R75" i="4"/>
  <c r="R43" i="4"/>
  <c r="R11" i="4"/>
  <c r="R104" i="4"/>
  <c r="R72" i="4"/>
  <c r="R40" i="4"/>
  <c r="R4" i="4"/>
  <c r="O10" i="6" l="1"/>
  <c r="H4" i="4"/>
  <c r="H492" i="4"/>
  <c r="H678" i="4"/>
  <c r="H420" i="4"/>
  <c r="H701" i="4"/>
  <c r="H773" i="4"/>
  <c r="H10" i="4"/>
  <c r="H41" i="4"/>
  <c r="H118" i="4"/>
  <c r="H779" i="4"/>
  <c r="H221" i="4"/>
  <c r="H127" i="4"/>
  <c r="H447" i="4"/>
  <c r="H328" i="4"/>
  <c r="H384" i="4"/>
  <c r="H289" i="4"/>
  <c r="H475" i="4"/>
  <c r="H108" i="4"/>
  <c r="H141" i="4"/>
  <c r="H230" i="4"/>
  <c r="H630" i="4"/>
  <c r="H211" i="4"/>
  <c r="H438" i="4"/>
  <c r="H637" i="4"/>
  <c r="H424" i="4"/>
  <c r="H263" i="4"/>
  <c r="H484" i="4"/>
  <c r="H632" i="4"/>
  <c r="H216" i="4"/>
  <c r="H62" i="4"/>
  <c r="H919" i="4"/>
  <c r="H660" i="4"/>
  <c r="H71" i="4"/>
  <c r="H483" i="4"/>
  <c r="H364" i="4"/>
  <c r="H272" i="4"/>
  <c r="H458" i="4"/>
  <c r="H363" i="4"/>
  <c r="H52" i="4"/>
  <c r="H85" i="4"/>
  <c r="H162" i="4"/>
  <c r="H757" i="4"/>
  <c r="H229" i="4"/>
  <c r="H326" i="4"/>
  <c r="H376" i="4"/>
  <c r="H693" i="4"/>
  <c r="H662" i="4"/>
  <c r="H517" i="4"/>
  <c r="H244" i="4"/>
  <c r="H640" i="4"/>
  <c r="H467" i="4"/>
  <c r="H821" i="4"/>
  <c r="H844" i="4"/>
  <c r="H830" i="4"/>
  <c r="H868" i="4"/>
  <c r="H730" i="4"/>
  <c r="H294" i="4"/>
  <c r="H76" i="4"/>
  <c r="H293" i="4"/>
  <c r="H30" i="4"/>
  <c r="H290" i="4"/>
  <c r="H20" i="4"/>
  <c r="H505" i="4"/>
  <c r="H787" i="4"/>
  <c r="H785" i="4"/>
  <c r="H890" i="4"/>
  <c r="H40" i="4"/>
  <c r="H73" i="4"/>
  <c r="H150" i="4"/>
  <c r="H763" i="4"/>
  <c r="H193" i="4"/>
  <c r="H159" i="4"/>
  <c r="H741" i="4"/>
  <c r="H489" i="4"/>
  <c r="H448" i="4"/>
  <c r="H353" i="4"/>
  <c r="H654" i="4"/>
  <c r="H140" i="4"/>
  <c r="H173" i="4"/>
  <c r="H953" i="4"/>
  <c r="H665" i="4"/>
  <c r="H215" i="4"/>
  <c r="H300" i="4"/>
  <c r="H393" i="4"/>
  <c r="H488" i="4"/>
  <c r="H327" i="4"/>
  <c r="H590" i="4"/>
  <c r="H722" i="4"/>
  <c r="H17" i="4"/>
  <c r="H94" i="4"/>
  <c r="H791" i="4"/>
  <c r="H234" i="4"/>
  <c r="H103" i="4"/>
  <c r="H319" i="4"/>
  <c r="H264" i="4"/>
  <c r="H336" i="4"/>
  <c r="H522" i="4"/>
  <c r="H427" i="4"/>
  <c r="H84" i="4"/>
  <c r="H117" i="4"/>
  <c r="H194" i="4"/>
  <c r="H680" i="4"/>
  <c r="H75" i="4"/>
  <c r="H498" i="4"/>
  <c r="H349" i="4"/>
  <c r="H584" i="4"/>
  <c r="H11" i="4"/>
  <c r="H352" i="4"/>
  <c r="H115" i="4"/>
  <c r="H23" i="4"/>
  <c r="H738" i="4"/>
  <c r="H615" i="4"/>
  <c r="H602" i="4"/>
  <c r="H253" i="4"/>
  <c r="H866" i="4"/>
  <c r="H845" i="4"/>
  <c r="H95" i="4"/>
  <c r="H186" i="4"/>
  <c r="H568" i="4"/>
  <c r="H636" i="4"/>
  <c r="H6" i="4"/>
  <c r="H832" i="4"/>
  <c r="H105" i="4"/>
  <c r="H275" i="4"/>
  <c r="H374" i="4"/>
  <c r="H357" i="4"/>
  <c r="H417" i="4"/>
  <c r="H565" i="4"/>
  <c r="H172" i="4"/>
  <c r="H26" i="4"/>
  <c r="H937" i="4"/>
  <c r="H646" i="4"/>
  <c r="H35" i="4"/>
  <c r="H479" i="4"/>
  <c r="H607" i="4"/>
  <c r="H606" i="4"/>
  <c r="H391" i="4"/>
  <c r="H286" i="4"/>
  <c r="H16" i="4"/>
  <c r="H49" i="4"/>
  <c r="H126" i="4"/>
  <c r="H775" i="4"/>
  <c r="H205" i="4"/>
  <c r="H135" i="4"/>
  <c r="H476" i="4"/>
  <c r="H361" i="4"/>
  <c r="H400" i="4"/>
  <c r="H305" i="4"/>
  <c r="H491" i="4"/>
  <c r="H116" i="4"/>
  <c r="H149" i="4"/>
  <c r="H246" i="4"/>
  <c r="H626" i="4"/>
  <c r="H107" i="4"/>
  <c r="H291" i="4"/>
  <c r="H477" i="4"/>
  <c r="H152" i="4"/>
  <c r="H15" i="4"/>
  <c r="H346" i="4"/>
  <c r="H370" i="4"/>
  <c r="H402" i="4"/>
  <c r="H609" i="4"/>
  <c r="H178" i="4"/>
  <c r="H526" i="4"/>
  <c r="H691" i="4"/>
  <c r="H780" i="4"/>
  <c r="H835" i="4"/>
  <c r="H86" i="4"/>
  <c r="H320" i="4"/>
  <c r="H175" i="4"/>
  <c r="H39" i="4"/>
  <c r="H699" i="4"/>
  <c r="H72" i="4"/>
  <c r="H512" i="4"/>
  <c r="H104" i="4"/>
  <c r="H137" i="4"/>
  <c r="H226" i="4"/>
  <c r="H634" i="4"/>
  <c r="H218" i="4"/>
  <c r="H431" i="4"/>
  <c r="H399" i="4"/>
  <c r="H421" i="4"/>
  <c r="H260" i="4"/>
  <c r="H481" i="4"/>
  <c r="H629" i="4"/>
  <c r="H204" i="4"/>
  <c r="H58" i="4"/>
  <c r="H921" i="4"/>
  <c r="H676" i="4"/>
  <c r="H67" i="4"/>
  <c r="H406" i="4"/>
  <c r="H342" i="4"/>
  <c r="H269" i="4"/>
  <c r="H455" i="4"/>
  <c r="H350" i="4"/>
  <c r="H48" i="4"/>
  <c r="H81" i="4"/>
  <c r="H158" i="4"/>
  <c r="H759" i="4"/>
  <c r="H189" i="4"/>
  <c r="H167" i="4"/>
  <c r="H277" i="4"/>
  <c r="H518" i="4"/>
  <c r="H464" i="4"/>
  <c r="H369" i="4"/>
  <c r="H677" i="4"/>
  <c r="H148" i="4"/>
  <c r="H213" i="4"/>
  <c r="H949" i="4"/>
  <c r="H697" i="4"/>
  <c r="H139" i="4"/>
  <c r="H451" i="4"/>
  <c r="H559" i="4"/>
  <c r="H25" i="4"/>
  <c r="H111" i="4"/>
  <c r="H700" i="4"/>
  <c r="H296" i="4"/>
  <c r="H499" i="4"/>
  <c r="H740" i="4"/>
  <c r="H452" i="4"/>
  <c r="H100" i="4"/>
  <c r="H588" i="4"/>
  <c r="H728" i="4"/>
  <c r="H652" i="4"/>
  <c r="H905" i="4"/>
  <c r="H411" i="4"/>
  <c r="H360" i="4"/>
  <c r="H935" i="4"/>
  <c r="H299" i="4"/>
  <c r="H130" i="4"/>
  <c r="H430" i="4"/>
  <c r="H906" i="4"/>
  <c r="H182" i="4"/>
  <c r="H136" i="4"/>
  <c r="H169" i="4"/>
  <c r="H955" i="4"/>
  <c r="H672" i="4"/>
  <c r="H222" i="4"/>
  <c r="H297" i="4"/>
  <c r="H371" i="4"/>
  <c r="H485" i="4"/>
  <c r="H314" i="4"/>
  <c r="H575" i="4"/>
  <c r="H718" i="4"/>
  <c r="H13" i="4"/>
  <c r="H90" i="4"/>
  <c r="H793" i="4"/>
  <c r="H243" i="4"/>
  <c r="H99" i="4"/>
  <c r="H312" i="4"/>
  <c r="H514" i="4"/>
  <c r="H333" i="4"/>
  <c r="H519" i="4"/>
  <c r="H414" i="4"/>
  <c r="H80" i="4"/>
  <c r="H113" i="4"/>
  <c r="H190" i="4"/>
  <c r="H671" i="4"/>
  <c r="H8" i="4"/>
  <c r="H307" i="4"/>
  <c r="H418" i="4"/>
  <c r="H373" i="4"/>
  <c r="H555" i="4"/>
  <c r="H433" i="4"/>
  <c r="H581" i="4"/>
  <c r="H180" i="4"/>
  <c r="H34" i="4"/>
  <c r="H933" i="4"/>
  <c r="H227" i="4"/>
  <c r="H171" i="4"/>
  <c r="H281" i="4"/>
  <c r="H578" i="4"/>
  <c r="H217" i="4"/>
  <c r="H358" i="4"/>
  <c r="H786" i="4"/>
  <c r="H365" i="4"/>
  <c r="H542" i="4"/>
  <c r="H893" i="4"/>
  <c r="H592" i="4"/>
  <c r="H664" i="4"/>
  <c r="H165" i="4"/>
  <c r="H727" i="4"/>
  <c r="H876" i="4"/>
  <c r="H235" i="4"/>
  <c r="H109" i="4"/>
  <c r="H396" i="4"/>
  <c r="H176" i="4"/>
  <c r="H486" i="4"/>
  <c r="H53" i="4"/>
  <c r="H663" i="4"/>
  <c r="H278" i="4"/>
  <c r="H943" i="4"/>
  <c r="H534" i="4"/>
  <c r="H687" i="4"/>
  <c r="H168" i="4"/>
  <c r="H22" i="4"/>
  <c r="H939" i="4"/>
  <c r="H681" i="4"/>
  <c r="H31" i="4"/>
  <c r="H457" i="4"/>
  <c r="H603" i="4"/>
  <c r="H591" i="4"/>
  <c r="H378" i="4"/>
  <c r="H283" i="4"/>
  <c r="H12" i="4"/>
  <c r="H45" i="4"/>
  <c r="H122" i="4"/>
  <c r="H777" i="4"/>
  <c r="H212" i="4"/>
  <c r="H131" i="4"/>
  <c r="H454" i="4"/>
  <c r="H339" i="4"/>
  <c r="H397" i="4"/>
  <c r="H292" i="4"/>
  <c r="H478" i="4"/>
  <c r="H112" i="4"/>
  <c r="H145" i="4"/>
  <c r="H242" i="4"/>
  <c r="H628" i="4"/>
  <c r="H245" i="4"/>
  <c r="H460" i="4"/>
  <c r="H280" i="4"/>
  <c r="H437" i="4"/>
  <c r="H266" i="4"/>
  <c r="H497" i="4"/>
  <c r="H642" i="4"/>
  <c r="H220" i="4"/>
  <c r="H66" i="4"/>
  <c r="H917" i="4"/>
  <c r="H203" i="4"/>
  <c r="H325" i="4"/>
  <c r="H386" i="4"/>
  <c r="H372" i="4"/>
  <c r="H102" i="4"/>
  <c r="H348" i="4"/>
  <c r="H29" i="4"/>
  <c r="H160" i="4"/>
  <c r="H362" i="4"/>
  <c r="H883" i="4"/>
  <c r="H735" i="4"/>
  <c r="H598" i="4"/>
  <c r="H684" i="4"/>
  <c r="H435" i="4"/>
  <c r="H724" i="4"/>
  <c r="H5" i="4"/>
  <c r="H506" i="4"/>
  <c r="H525" i="4"/>
  <c r="H394" i="4"/>
  <c r="H776" i="4"/>
  <c r="H177" i="4"/>
  <c r="H200" i="4"/>
  <c r="H54" i="4"/>
  <c r="H923" i="4"/>
  <c r="H251" i="4"/>
  <c r="H63" i="4"/>
  <c r="H355" i="4"/>
  <c r="H335" i="4"/>
  <c r="H257" i="4"/>
  <c r="H442" i="4"/>
  <c r="H347" i="4"/>
  <c r="H44" i="4"/>
  <c r="H77" i="4"/>
  <c r="H154" i="4"/>
  <c r="H761" i="4"/>
  <c r="H191" i="4"/>
  <c r="H163" i="4"/>
  <c r="H805" i="4"/>
  <c r="H511" i="4"/>
  <c r="H461" i="4"/>
  <c r="H356" i="4"/>
  <c r="H658" i="4"/>
  <c r="H144" i="4"/>
  <c r="H209" i="4"/>
  <c r="H951" i="4"/>
  <c r="H656" i="4"/>
  <c r="H206" i="4"/>
  <c r="H329" i="4"/>
  <c r="H415" i="4"/>
  <c r="H501" i="4"/>
  <c r="H330" i="4"/>
  <c r="H635" i="4"/>
  <c r="H737" i="4"/>
  <c r="H21" i="4"/>
  <c r="H98" i="4"/>
  <c r="H789" i="4"/>
  <c r="H187" i="4"/>
  <c r="H482" i="4"/>
  <c r="H271" i="4"/>
  <c r="H436" i="4"/>
  <c r="H947" i="4"/>
  <c r="H444" i="4"/>
  <c r="H106" i="4"/>
  <c r="H14" i="4"/>
  <c r="H267" i="4"/>
  <c r="H624" i="4"/>
  <c r="H892" i="4"/>
  <c r="H766" i="4"/>
  <c r="H544" i="4"/>
  <c r="H569" i="4"/>
  <c r="H734" i="4"/>
  <c r="H383" i="4"/>
  <c r="H413" i="4"/>
  <c r="H308" i="4"/>
  <c r="H494" i="4"/>
  <c r="H184" i="4"/>
  <c r="H38" i="4"/>
  <c r="H931" i="4"/>
  <c r="H704" i="4"/>
  <c r="H47" i="4"/>
  <c r="H546" i="4"/>
  <c r="H428" i="4"/>
  <c r="H674" i="4"/>
  <c r="H410" i="4"/>
  <c r="H315" i="4"/>
  <c r="H28" i="4"/>
  <c r="H61" i="4"/>
  <c r="H138" i="4"/>
  <c r="H769" i="4"/>
  <c r="H199" i="4"/>
  <c r="H147" i="4"/>
  <c r="H539" i="4"/>
  <c r="H412" i="4"/>
  <c r="H429" i="4"/>
  <c r="H192" i="4"/>
  <c r="H46" i="4"/>
  <c r="H927" i="4"/>
  <c r="H255" i="4"/>
  <c r="H55" i="4"/>
  <c r="H562" i="4"/>
  <c r="H274" i="4"/>
  <c r="H690" i="4"/>
  <c r="H426" i="4"/>
  <c r="H331" i="4"/>
  <c r="H36" i="4"/>
  <c r="H445" i="4"/>
  <c r="H582" i="4"/>
  <c r="H696" i="4"/>
  <c r="H824" i="4"/>
  <c r="H822" i="4"/>
  <c r="H50" i="4"/>
  <c r="H599" i="4"/>
  <c r="H903" i="4"/>
  <c r="H878" i="4"/>
  <c r="H719" i="4"/>
  <c r="H694" i="4"/>
  <c r="H382" i="4"/>
  <c r="H702" i="4"/>
  <c r="H713" i="4"/>
  <c r="H924" i="4"/>
  <c r="H922" i="4"/>
  <c r="H800" i="4"/>
  <c r="H679" i="4"/>
  <c r="H675" i="4"/>
  <c r="H133" i="4"/>
  <c r="H503" i="4"/>
  <c r="H541" i="4"/>
  <c r="H760" i="4"/>
  <c r="H864" i="4"/>
  <c r="H862" i="4"/>
  <c r="H715" i="4"/>
  <c r="H538" i="4"/>
  <c r="H576" i="4"/>
  <c r="H957" i="4"/>
  <c r="H516" i="4"/>
  <c r="H608" i="4"/>
  <c r="H751" i="4"/>
  <c r="H900" i="4"/>
  <c r="H898" i="4"/>
  <c r="H817" i="4"/>
  <c r="H746" i="4"/>
  <c r="H825" i="4"/>
  <c r="H521" i="4"/>
  <c r="H633" i="4"/>
  <c r="H577" i="4"/>
  <c r="H708" i="4"/>
  <c r="H877" i="4"/>
  <c r="H867" i="4"/>
  <c r="H563" i="4"/>
  <c r="H849" i="4"/>
  <c r="H912" i="4"/>
  <c r="H551" i="4"/>
  <c r="H224" i="4"/>
  <c r="H70" i="4"/>
  <c r="H915" i="4"/>
  <c r="H249" i="4"/>
  <c r="H79" i="4"/>
  <c r="H256" i="4"/>
  <c r="H419" i="4"/>
  <c r="H288" i="4"/>
  <c r="H474" i="4"/>
  <c r="H379" i="4"/>
  <c r="H60" i="4"/>
  <c r="H93" i="4"/>
  <c r="H170" i="4"/>
  <c r="H795" i="4"/>
  <c r="H183" i="4"/>
  <c r="H219" i="4"/>
  <c r="H323" i="4"/>
  <c r="H683" i="4"/>
  <c r="H493" i="4"/>
  <c r="H236" i="4"/>
  <c r="H78" i="4"/>
  <c r="H911" i="4"/>
  <c r="H233" i="4"/>
  <c r="H87" i="4"/>
  <c r="H262" i="4"/>
  <c r="H463" i="4"/>
  <c r="H304" i="4"/>
  <c r="H490" i="4"/>
  <c r="H395" i="4"/>
  <c r="H69" i="4"/>
  <c r="H439" i="4"/>
  <c r="H705" i="4"/>
  <c r="H744" i="4"/>
  <c r="H856" i="4"/>
  <c r="H854" i="4"/>
  <c r="H322" i="4"/>
  <c r="H580" i="4"/>
  <c r="H909" i="4"/>
  <c r="H843" i="4"/>
  <c r="H749" i="4"/>
  <c r="H179" i="4"/>
  <c r="H600" i="4"/>
  <c r="H567" i="4"/>
  <c r="H720" i="4"/>
  <c r="H956" i="4"/>
  <c r="H954" i="4"/>
  <c r="H815" i="4"/>
  <c r="H768" i="4"/>
  <c r="H530" i="4"/>
  <c r="H214" i="4"/>
  <c r="H468" i="4"/>
  <c r="H605" i="4"/>
  <c r="H748" i="4"/>
  <c r="H896" i="4"/>
  <c r="H894" i="4"/>
  <c r="H908" i="4"/>
  <c r="H716" i="4"/>
  <c r="H596" i="4"/>
  <c r="H692" i="4"/>
  <c r="H446" i="4"/>
  <c r="H754" i="4"/>
  <c r="H729" i="4"/>
  <c r="H932" i="4"/>
  <c r="H930" i="4"/>
  <c r="H938" i="4"/>
  <c r="H944" i="4"/>
  <c r="H882" i="4"/>
  <c r="H587" i="4"/>
  <c r="H550" i="4"/>
  <c r="H641" i="4"/>
  <c r="H788" i="4"/>
  <c r="H809" i="4"/>
  <c r="H899" i="4"/>
  <c r="H560" i="4"/>
  <c r="H874" i="4"/>
  <c r="H885" i="4"/>
  <c r="H731" i="4"/>
  <c r="H653" i="4"/>
  <c r="H443" i="4"/>
  <c r="H92" i="4"/>
  <c r="H125" i="4"/>
  <c r="H202" i="4"/>
  <c r="H657" i="4"/>
  <c r="H241" i="4"/>
  <c r="H354" i="4"/>
  <c r="H495" i="4"/>
  <c r="H392" i="4"/>
  <c r="H619" i="4"/>
  <c r="H33" i="4"/>
  <c r="H110" i="4"/>
  <c r="H783" i="4"/>
  <c r="H237" i="4"/>
  <c r="H119" i="4"/>
  <c r="H403" i="4"/>
  <c r="H303" i="4"/>
  <c r="H368" i="4"/>
  <c r="H273" i="4"/>
  <c r="H459" i="4"/>
  <c r="H146" i="4"/>
  <c r="H404" i="4"/>
  <c r="H589" i="4"/>
  <c r="H732" i="4"/>
  <c r="H888" i="4"/>
  <c r="H886" i="4"/>
  <c r="H725" i="4"/>
  <c r="H745" i="4"/>
  <c r="H375" i="4"/>
  <c r="H781" i="4"/>
  <c r="H884" i="4"/>
  <c r="H261" i="4"/>
  <c r="H540" i="4"/>
  <c r="H631" i="4"/>
  <c r="H807" i="4"/>
  <c r="H833" i="4"/>
  <c r="H823" i="4"/>
  <c r="H871" i="4"/>
  <c r="H880" i="4"/>
  <c r="H813" i="4"/>
  <c r="H643" i="4"/>
  <c r="H398" i="4"/>
  <c r="H750" i="4"/>
  <c r="H726" i="4"/>
  <c r="H928" i="4"/>
  <c r="H926" i="4"/>
  <c r="H842" i="4"/>
  <c r="H808" i="4"/>
  <c r="H784" i="4"/>
  <c r="H231" i="4"/>
  <c r="H645" i="4"/>
  <c r="H583" i="4"/>
  <c r="H736" i="4"/>
  <c r="H804" i="4"/>
  <c r="H962" i="4"/>
  <c r="H91" i="4"/>
  <c r="H846" i="4"/>
  <c r="H164" i="4"/>
  <c r="H311" i="4"/>
  <c r="H614" i="4"/>
  <c r="H712" i="4"/>
  <c r="H840" i="4"/>
  <c r="H838" i="4"/>
  <c r="H196" i="4"/>
  <c r="H535" i="4"/>
  <c r="H82" i="4"/>
  <c r="H942" i="4"/>
  <c r="H774" i="4"/>
  <c r="H440" i="4"/>
  <c r="H279" i="4"/>
  <c r="H500" i="4"/>
  <c r="H24" i="4"/>
  <c r="H57" i="4"/>
  <c r="H134" i="4"/>
  <c r="H771" i="4"/>
  <c r="H201" i="4"/>
  <c r="H143" i="4"/>
  <c r="H531" i="4"/>
  <c r="H390" i="4"/>
  <c r="H416" i="4"/>
  <c r="H321" i="4"/>
  <c r="H507" i="4"/>
  <c r="H124" i="4"/>
  <c r="H157" i="4"/>
  <c r="H961" i="4"/>
  <c r="H669" i="4"/>
  <c r="H247" i="4"/>
  <c r="H644" i="4"/>
  <c r="H313" i="4"/>
  <c r="H456" i="4"/>
  <c r="H32" i="4"/>
  <c r="H65" i="4"/>
  <c r="H142" i="4"/>
  <c r="H767" i="4"/>
  <c r="H197" i="4"/>
  <c r="H151" i="4"/>
  <c r="H543" i="4"/>
  <c r="H434" i="4"/>
  <c r="H432" i="4"/>
  <c r="H337" i="4"/>
  <c r="H523" i="4"/>
  <c r="H765" i="4"/>
  <c r="H334" i="4"/>
  <c r="H695" i="4"/>
  <c r="H710" i="4"/>
  <c r="H920" i="4"/>
  <c r="H918" i="4"/>
  <c r="H324" i="4"/>
  <c r="H733" i="4"/>
  <c r="H566" i="4"/>
  <c r="H310" i="4"/>
  <c r="H889" i="4"/>
  <c r="H367" i="4"/>
  <c r="H604" i="4"/>
  <c r="H548" i="4"/>
  <c r="H778" i="4"/>
  <c r="H865" i="4"/>
  <c r="H855" i="4"/>
  <c r="H248" i="4"/>
  <c r="H812" i="4"/>
  <c r="H820" i="4"/>
  <c r="H250" i="4"/>
  <c r="H616" i="4"/>
  <c r="H570" i="4"/>
  <c r="H723" i="4"/>
  <c r="H960" i="4"/>
  <c r="H958" i="4"/>
  <c r="H839" i="4"/>
  <c r="H853" i="4"/>
  <c r="H916" i="4"/>
  <c r="H268" i="4"/>
  <c r="H556" i="4"/>
  <c r="H689" i="4"/>
  <c r="H717" i="4"/>
  <c r="H841" i="4"/>
  <c r="H831" i="4"/>
  <c r="H317" i="4"/>
  <c r="H875" i="4"/>
  <c r="H18" i="4"/>
  <c r="H276" i="4"/>
  <c r="H557" i="4"/>
  <c r="H792" i="4"/>
  <c r="H872" i="4"/>
  <c r="H870" i="4"/>
  <c r="H306" i="4"/>
  <c r="H706" i="4"/>
  <c r="H594" i="4"/>
  <c r="H907" i="4"/>
  <c r="H852" i="4"/>
  <c r="H685" i="4"/>
  <c r="H7" i="4"/>
  <c r="H351" i="4"/>
  <c r="H422" i="4"/>
  <c r="H504" i="4"/>
  <c r="H343" i="4"/>
  <c r="H661" i="4"/>
  <c r="H56" i="4"/>
  <c r="H89" i="4"/>
  <c r="H166" i="4"/>
  <c r="H755" i="4"/>
  <c r="H185" i="4"/>
  <c r="H207" i="4"/>
  <c r="H309" i="4"/>
  <c r="H667" i="4"/>
  <c r="H480" i="4"/>
  <c r="H385" i="4"/>
  <c r="H528" i="4"/>
  <c r="H156" i="4"/>
  <c r="H9" i="4"/>
  <c r="H945" i="4"/>
  <c r="H649" i="4"/>
  <c r="H19" i="4"/>
  <c r="H380" i="4"/>
  <c r="H466" i="4"/>
  <c r="H520" i="4"/>
  <c r="H64" i="4"/>
  <c r="H97" i="4"/>
  <c r="H174" i="4"/>
  <c r="H703" i="4"/>
  <c r="H181" i="4"/>
  <c r="H223" i="4"/>
  <c r="H345" i="4"/>
  <c r="H341" i="4"/>
  <c r="H496" i="4"/>
  <c r="H401" i="4"/>
  <c r="H549" i="4"/>
  <c r="H195" i="4"/>
  <c r="H552" i="4"/>
  <c r="H554" i="4"/>
  <c r="H790" i="4"/>
  <c r="H952" i="4"/>
  <c r="H950" i="4"/>
  <c r="H510" i="4"/>
  <c r="H811" i="4"/>
  <c r="H709" i="4"/>
  <c r="H318" i="4"/>
  <c r="H946" i="4"/>
  <c r="H344" i="4"/>
  <c r="H753" i="4"/>
  <c r="H612" i="4"/>
  <c r="H743" i="4"/>
  <c r="H897" i="4"/>
  <c r="H887" i="4"/>
  <c r="H470" i="4"/>
  <c r="H796" i="4"/>
  <c r="H948" i="4"/>
  <c r="H409" i="4"/>
  <c r="H553" i="4"/>
  <c r="H682" i="4"/>
  <c r="H714" i="4"/>
  <c r="H837" i="4"/>
  <c r="H827" i="4"/>
  <c r="H208" i="4"/>
  <c r="H910" i="4"/>
  <c r="H818" i="4"/>
  <c r="H338" i="4"/>
  <c r="H620" i="4"/>
  <c r="H564" i="4"/>
  <c r="H801" i="4"/>
  <c r="H873" i="4"/>
  <c r="H863" i="4"/>
  <c r="H270" i="4"/>
  <c r="H123" i="4"/>
  <c r="H941" i="4"/>
  <c r="H571" i="4"/>
  <c r="H621" i="4"/>
  <c r="H764" i="4"/>
  <c r="H904" i="4"/>
  <c r="H902" i="4"/>
  <c r="H359" i="4"/>
  <c r="H816" i="4"/>
  <c r="H573" i="4"/>
  <c r="H228" i="4"/>
  <c r="H857" i="4"/>
  <c r="H655" i="4"/>
  <c r="H43" i="4"/>
  <c r="H508" i="4"/>
  <c r="H377" i="4"/>
  <c r="H666" i="4"/>
  <c r="H407" i="4"/>
  <c r="H302" i="4"/>
  <c r="H88" i="4"/>
  <c r="H121" i="4"/>
  <c r="H198" i="4"/>
  <c r="H673" i="4"/>
  <c r="H239" i="4"/>
  <c r="H332" i="4"/>
  <c r="H473" i="4"/>
  <c r="H389" i="4"/>
  <c r="H574" i="4"/>
  <c r="H449" i="4"/>
  <c r="H597" i="4"/>
  <c r="H188" i="4"/>
  <c r="H42" i="4"/>
  <c r="H929" i="4"/>
  <c r="H639" i="4"/>
  <c r="H51" i="4"/>
  <c r="H558" i="4"/>
  <c r="H450" i="4"/>
  <c r="H610" i="4"/>
  <c r="H96" i="4"/>
  <c r="H129" i="4"/>
  <c r="H210" i="4"/>
  <c r="H650" i="4"/>
  <c r="H225" i="4"/>
  <c r="H387" i="4"/>
  <c r="H502" i="4"/>
  <c r="H405" i="4"/>
  <c r="H623" i="4"/>
  <c r="H465" i="4"/>
  <c r="H613" i="4"/>
  <c r="H155" i="4"/>
  <c r="H537" i="4"/>
  <c r="H618" i="4"/>
  <c r="H797" i="4"/>
  <c r="H829" i="4"/>
  <c r="H819" i="4"/>
  <c r="H572" i="4"/>
  <c r="H940" i="4"/>
  <c r="H758" i="4"/>
  <c r="H536" i="4"/>
  <c r="H68" i="4"/>
  <c r="H509" i="4"/>
  <c r="H595" i="4"/>
  <c r="H721" i="4"/>
  <c r="H828" i="4"/>
  <c r="H826" i="4"/>
  <c r="H59" i="4"/>
  <c r="H782" i="4"/>
  <c r="H37" i="4"/>
  <c r="H850" i="4"/>
  <c r="H524" i="4"/>
  <c r="H617" i="4"/>
  <c r="H561" i="4"/>
  <c r="H794" i="4"/>
  <c r="H869" i="4"/>
  <c r="H859" i="4"/>
  <c r="H287" i="4"/>
  <c r="H114" i="4"/>
  <c r="H847" i="4"/>
  <c r="H472" i="4"/>
  <c r="H547" i="4"/>
  <c r="H638" i="4"/>
  <c r="H772" i="4"/>
  <c r="H802" i="4"/>
  <c r="H895" i="4"/>
  <c r="H585" i="4"/>
  <c r="H698" i="4"/>
  <c r="H688" i="4"/>
  <c r="H462" i="4"/>
  <c r="H527" i="4"/>
  <c r="H742" i="4"/>
  <c r="H936" i="4"/>
  <c r="H934" i="4"/>
  <c r="H258" i="4"/>
  <c r="H752" i="4"/>
  <c r="H593" i="4"/>
  <c r="H425" i="4"/>
  <c r="H914" i="4"/>
  <c r="H285" i="4"/>
  <c r="H471" i="4"/>
  <c r="H366" i="4"/>
  <c r="H120" i="4"/>
  <c r="H153" i="4"/>
  <c r="H254" i="4"/>
  <c r="H803" i="4"/>
  <c r="H252" i="4"/>
  <c r="H515" i="4"/>
  <c r="H284" i="4"/>
  <c r="H453" i="4"/>
  <c r="H282" i="4"/>
  <c r="H513" i="4"/>
  <c r="H648" i="4"/>
  <c r="H232" i="4"/>
  <c r="H74" i="4"/>
  <c r="H913" i="4"/>
  <c r="H240" i="4"/>
  <c r="H83" i="4"/>
  <c r="H259" i="4"/>
  <c r="H441" i="4"/>
  <c r="H301" i="4"/>
  <c r="H128" i="4"/>
  <c r="H161" i="4"/>
  <c r="H959" i="4"/>
  <c r="H799" i="4"/>
  <c r="H238" i="4"/>
  <c r="H265" i="4"/>
  <c r="H316" i="4"/>
  <c r="H469" i="4"/>
  <c r="H298" i="4"/>
  <c r="H533" i="4"/>
  <c r="H670" i="4"/>
  <c r="H622" i="4"/>
  <c r="H601" i="4"/>
  <c r="H545" i="4"/>
  <c r="H762" i="4"/>
  <c r="H861" i="4"/>
  <c r="H851" i="4"/>
  <c r="H627" i="4"/>
  <c r="H881" i="4"/>
  <c r="H848" i="4"/>
  <c r="H579" i="4"/>
  <c r="H101" i="4"/>
  <c r="H487" i="4"/>
  <c r="H532" i="4"/>
  <c r="H747" i="4"/>
  <c r="H860" i="4"/>
  <c r="H858" i="4"/>
  <c r="H647" i="4"/>
  <c r="H668" i="4"/>
  <c r="H381" i="4"/>
  <c r="H810" i="4"/>
  <c r="H408" i="4"/>
  <c r="H529" i="4"/>
  <c r="H625" i="4"/>
  <c r="H756" i="4"/>
  <c r="H901" i="4"/>
  <c r="H891" i="4"/>
  <c r="H340" i="4"/>
  <c r="H423" i="4"/>
  <c r="H132" i="4"/>
  <c r="H295" i="4"/>
  <c r="H611" i="4"/>
  <c r="H770" i="4"/>
  <c r="H836" i="4"/>
  <c r="H834" i="4"/>
  <c r="H925" i="4"/>
  <c r="H659" i="4"/>
  <c r="H686" i="4"/>
  <c r="H27" i="4"/>
  <c r="H651" i="4"/>
  <c r="H586" i="4"/>
  <c r="H739" i="4"/>
  <c r="H814" i="4"/>
  <c r="H798" i="4"/>
  <c r="H707" i="4"/>
  <c r="H711" i="4"/>
  <c r="H806" i="4"/>
  <c r="H388" i="4"/>
  <c r="H879" i="4"/>
  <c r="H3" i="4"/>
  <c r="I180" i="4" l="1"/>
  <c r="N5" i="4"/>
  <c r="I745" i="4"/>
  <c r="I109" i="4"/>
  <c r="I768" i="4"/>
  <c r="I734" i="4"/>
  <c r="I487" i="4"/>
  <c r="I887" i="4"/>
  <c r="I643" i="4"/>
  <c r="I399" i="4"/>
  <c r="I347" i="4"/>
  <c r="I359" i="4"/>
  <c r="I685" i="4"/>
  <c r="I916" i="4"/>
  <c r="I597" i="4"/>
  <c r="I935" i="4"/>
  <c r="I463" i="4"/>
  <c r="I96" i="4"/>
  <c r="I476" i="4"/>
  <c r="I558" i="4"/>
  <c r="I713" i="4"/>
  <c r="I231" i="4"/>
  <c r="I310" i="4"/>
  <c r="I334" i="4"/>
  <c r="I387" i="4"/>
  <c r="I792" i="4"/>
  <c r="I604" i="4"/>
  <c r="I631" i="4"/>
  <c r="I500" i="4"/>
  <c r="I350" i="4"/>
  <c r="I47" i="4"/>
  <c r="I327" i="4"/>
  <c r="I338" i="4"/>
  <c r="I881" i="4"/>
  <c r="I853" i="4"/>
  <c r="I526" i="4"/>
  <c r="I536" i="4"/>
  <c r="I324" i="4"/>
  <c r="I137" i="4"/>
  <c r="I428" i="4"/>
  <c r="I357" i="4"/>
  <c r="I81" i="4"/>
  <c r="I789" i="4"/>
  <c r="I342" i="4"/>
  <c r="I650" i="4"/>
  <c r="I915" i="4"/>
  <c r="I185" i="4"/>
  <c r="I816" i="4"/>
  <c r="I123" i="4"/>
  <c r="I674" i="4"/>
  <c r="I644" i="4"/>
  <c r="I620" i="4"/>
  <c r="I574" i="4"/>
  <c r="I571" i="4"/>
  <c r="I914" i="4"/>
  <c r="I144" i="4"/>
  <c r="I548" i="4"/>
  <c r="I869" i="4"/>
  <c r="I434" i="4"/>
  <c r="I83" i="4"/>
  <c r="I49" i="4"/>
  <c r="I607" i="4"/>
  <c r="I195" i="4"/>
  <c r="I146" i="4"/>
  <c r="I855" i="4"/>
  <c r="I871" i="4"/>
  <c r="I385" i="4"/>
  <c r="I844" i="4"/>
  <c r="I189" i="4"/>
  <c r="I777" i="4"/>
  <c r="I156" i="4"/>
  <c r="I143" i="4"/>
  <c r="I341" i="4"/>
  <c r="I642" i="4"/>
  <c r="I475" i="4"/>
  <c r="I878" i="4"/>
  <c r="I79" i="4"/>
  <c r="I284" i="4"/>
  <c r="I859" i="4"/>
  <c r="I55" i="4"/>
  <c r="I303" i="4"/>
  <c r="I905" i="4"/>
  <c r="I395" i="4"/>
  <c r="I797" i="4"/>
  <c r="I635" i="4"/>
  <c r="I823" i="4"/>
  <c r="I238" i="4"/>
  <c r="I160" i="4"/>
  <c r="I5" i="4"/>
  <c r="I907" i="4"/>
  <c r="I532" i="4"/>
  <c r="I311" i="4"/>
  <c r="I69" i="4"/>
  <c r="I957" i="4"/>
  <c r="I791" i="4"/>
  <c r="I615" i="4"/>
  <c r="I410" i="4"/>
  <c r="I761" i="4"/>
  <c r="I412" i="4"/>
  <c r="I952" i="4"/>
  <c r="I595" i="4"/>
  <c r="I641" i="4"/>
  <c r="I706" i="4"/>
  <c r="I836" i="4"/>
  <c r="I934" i="4"/>
  <c r="I429" i="4"/>
  <c r="I678" i="4"/>
  <c r="I308" i="4"/>
  <c r="I717" i="4"/>
  <c r="I269" i="4"/>
  <c r="I860" i="4"/>
  <c r="I290" i="4"/>
  <c r="I172" i="4"/>
  <c r="I268" i="4"/>
  <c r="I260" i="4"/>
  <c r="I499" i="4"/>
  <c r="I679" i="4"/>
  <c r="I640" i="4"/>
  <c r="I516" i="4"/>
  <c r="I239" i="4"/>
  <c r="I461" i="4"/>
  <c r="I99" i="4"/>
  <c r="I28" i="4"/>
  <c r="I584" i="4"/>
  <c r="I381" i="4"/>
  <c r="I455" i="4"/>
  <c r="I949" i="4"/>
  <c r="I927" i="4"/>
  <c r="I330" i="4"/>
  <c r="I60" i="4"/>
  <c r="I849" i="4"/>
  <c r="I420" i="4"/>
  <c r="I512" i="4"/>
  <c r="I442" i="4"/>
  <c r="I63" i="4"/>
  <c r="I426" i="4"/>
  <c r="I291" i="4"/>
  <c r="I591" i="4"/>
  <c r="I942" i="4"/>
  <c r="I709" i="4"/>
  <c r="I563" i="4"/>
  <c r="I132" i="4"/>
  <c r="I543" i="4"/>
  <c r="I407" i="4"/>
  <c r="I781" i="4"/>
  <c r="I349" i="4"/>
  <c r="I285" i="4"/>
  <c r="I94" i="4"/>
  <c r="I672" i="4"/>
  <c r="I313" i="4"/>
  <c r="I826" i="4"/>
  <c r="I367" i="4"/>
  <c r="I515" i="4"/>
  <c r="I152" i="4"/>
  <c r="I272" i="4"/>
  <c r="I127" i="4"/>
  <c r="I10" i="4"/>
  <c r="I661" i="4"/>
  <c r="I227" i="4"/>
  <c r="I229" i="4"/>
  <c r="I837" i="4"/>
  <c r="I870" i="4"/>
  <c r="I788" i="4"/>
  <c r="I39" i="4"/>
  <c r="I884" i="4"/>
  <c r="I565" i="4"/>
  <c r="I799" i="4"/>
  <c r="I606" i="4"/>
  <c r="I669" i="4"/>
  <c r="I192" i="4"/>
  <c r="I157" i="4"/>
  <c r="I110" i="4"/>
  <c r="I70" i="4"/>
  <c r="I691" i="4"/>
  <c r="I206" i="4"/>
  <c r="I301" i="4"/>
  <c r="I908" i="4"/>
  <c r="I392" i="4"/>
  <c r="I427" i="4"/>
  <c r="I486" i="4"/>
  <c r="I504" i="4"/>
  <c r="I827" i="4"/>
  <c r="I554" i="4"/>
  <c r="I941" i="4"/>
  <c r="I148" i="4"/>
  <c r="I575" i="4"/>
  <c r="I175" i="4"/>
  <c r="I601" i="4"/>
  <c r="I439" i="4"/>
  <c r="I124" i="4"/>
  <c r="I234" i="4"/>
  <c r="I518" i="4"/>
  <c r="I421" i="4"/>
  <c r="I847" i="4"/>
  <c r="I408" i="4"/>
  <c r="I218" i="4"/>
  <c r="I275" i="4"/>
  <c r="I418" i="4"/>
  <c r="I828" i="4"/>
  <c r="I560" i="4"/>
  <c r="I266" i="4"/>
  <c r="I289" i="4"/>
  <c r="I594" i="4"/>
  <c r="I686" i="4"/>
  <c r="I856" i="4"/>
  <c r="I892" i="4"/>
  <c r="I793" i="4"/>
  <c r="I372" i="4"/>
  <c r="I913" i="4"/>
  <c r="I578" i="4"/>
  <c r="I73" i="4"/>
  <c r="I593" i="4"/>
  <c r="I562" i="4"/>
  <c r="I237" i="4"/>
  <c r="I943" i="4"/>
  <c r="I834" i="4"/>
  <c r="I178" i="4"/>
  <c r="I931" i="4"/>
  <c r="I417" i="4"/>
  <c r="I153" i="4"/>
  <c r="I633" i="4"/>
  <c r="I567" i="4"/>
  <c r="I890" i="4"/>
  <c r="I675" i="4"/>
  <c r="I851" i="4"/>
  <c r="I315" i="4"/>
  <c r="I701" i="4"/>
  <c r="I778" i="4"/>
  <c r="I98" i="4"/>
  <c r="I547" i="4"/>
  <c r="I600" i="4"/>
  <c r="I355" i="4"/>
  <c r="I26" i="4"/>
  <c r="I682" i="4"/>
  <c r="I17" i="4"/>
  <c r="I216" i="4"/>
  <c r="I4" i="4"/>
  <c r="I200" i="4"/>
  <c r="I762" i="4"/>
  <c r="I708" i="4"/>
  <c r="I111" i="4"/>
  <c r="I346" i="4"/>
  <c r="I910" i="4"/>
  <c r="I796" i="4"/>
  <c r="I658" i="4"/>
  <c r="I261" i="4"/>
  <c r="I824" i="4"/>
  <c r="I623" i="4"/>
  <c r="I23" i="4"/>
  <c r="I484" i="4"/>
  <c r="I553" i="4"/>
  <c r="I783" i="4"/>
  <c r="I188" i="4"/>
  <c r="I263" i="4"/>
  <c r="I217" i="4"/>
  <c r="I482" i="4"/>
  <c r="I875" i="4"/>
  <c r="I839" i="4"/>
  <c r="I517" i="4"/>
  <c r="I337" i="4"/>
  <c r="I790" i="4"/>
  <c r="I296" i="4"/>
  <c r="I687" i="4"/>
  <c r="I470" i="4"/>
  <c r="I668" i="4"/>
  <c r="I369" i="4"/>
  <c r="I676" i="4"/>
  <c r="I540" i="4"/>
  <c r="I474" i="4"/>
  <c r="I9" i="4"/>
  <c r="I866" i="4"/>
  <c r="I473" i="4"/>
  <c r="I729" i="4"/>
  <c r="I42" i="4"/>
  <c r="I393" i="4"/>
  <c r="I820" i="4"/>
  <c r="I550" i="4"/>
  <c r="I564" i="4"/>
  <c r="I133" i="4"/>
  <c r="I883" i="4"/>
  <c r="I936" i="4"/>
  <c r="I602" i="4"/>
  <c r="I242" i="4"/>
  <c r="I657" i="4"/>
  <c r="I895" i="4"/>
  <c r="I598" i="4"/>
  <c r="I695" i="4"/>
  <c r="I786" i="4"/>
  <c r="I743" i="4"/>
  <c r="I316" i="4"/>
  <c r="I163" i="4"/>
  <c r="I867" i="4"/>
  <c r="I257" i="4"/>
  <c r="I864" i="4"/>
  <c r="I580" i="4"/>
  <c r="I863" i="4"/>
  <c r="I145" i="4"/>
  <c r="I753" i="4"/>
  <c r="I928" i="4"/>
  <c r="I491" i="4"/>
  <c r="I252" i="4"/>
  <c r="I68" i="4"/>
  <c r="I925" i="4"/>
  <c r="I339" i="4"/>
  <c r="I723" i="4"/>
  <c r="I120" i="4"/>
  <c r="I680" i="4"/>
  <c r="I817" i="4"/>
  <c r="I259" i="4"/>
  <c r="I492" i="4"/>
  <c r="I283" i="4"/>
  <c r="I214" i="4"/>
  <c r="I170" i="4"/>
  <c r="I569" i="4"/>
  <c r="I288" i="4"/>
  <c r="I507" i="4"/>
  <c r="I274" i="4"/>
  <c r="I34" i="4"/>
  <c r="I906" i="4"/>
  <c r="I118" i="4"/>
  <c r="I614" i="4"/>
  <c r="I182" i="4"/>
  <c r="I618" i="4"/>
  <c r="I744" i="4"/>
  <c r="I800" i="4"/>
  <c r="I730" i="4"/>
  <c r="I918" i="4"/>
  <c r="I22" i="4"/>
  <c r="I15" i="4"/>
  <c r="I489" i="4"/>
  <c r="I933" i="4"/>
  <c r="I335" i="4"/>
  <c r="I343" i="4"/>
  <c r="I213" i="4"/>
  <c r="I702" i="4"/>
  <c r="I822" i="4"/>
  <c r="I25" i="4"/>
  <c r="I177" i="4"/>
  <c r="I294" i="4"/>
  <c r="I787" i="4"/>
  <c r="I758" i="4"/>
  <c r="I320" i="4"/>
  <c r="I436" i="4"/>
  <c r="I738" i="4"/>
  <c r="I348" i="4"/>
  <c r="I61" i="4"/>
  <c r="I747" i="4"/>
  <c r="I596" i="4"/>
  <c r="I469" i="4"/>
  <c r="I397" i="4"/>
  <c r="I249" i="4"/>
  <c r="I383" i="4"/>
  <c r="I961" i="4"/>
  <c r="I358" i="4"/>
  <c r="I112" i="4"/>
  <c r="I766" i="4"/>
  <c r="I805" i="4"/>
  <c r="I130" i="4"/>
  <c r="I960" i="4"/>
  <c r="I271" i="4"/>
  <c r="I196" i="4"/>
  <c r="I666" i="4"/>
  <c r="I223" i="4"/>
  <c r="I373" i="4"/>
  <c r="I659" i="4"/>
  <c r="I458" i="4"/>
  <c r="I126" i="4"/>
  <c r="I832" i="4"/>
  <c r="I131" i="4"/>
  <c r="I169" i="4"/>
  <c r="I939" i="4"/>
  <c r="I880" i="4"/>
  <c r="I326" i="4"/>
  <c r="I502" i="4"/>
  <c r="I581" i="4"/>
  <c r="I158" i="4"/>
  <c r="I450" i="4"/>
  <c r="I911" i="4"/>
  <c r="I733" i="4"/>
  <c r="I292" i="4"/>
  <c r="I750" i="4"/>
  <c r="I360" i="4"/>
  <c r="I312" i="4"/>
  <c r="I924" i="4"/>
  <c r="I599" i="4"/>
  <c r="I531" i="4"/>
  <c r="I771" i="4"/>
  <c r="I165" i="4"/>
  <c r="I613" i="4"/>
  <c r="I100" i="4"/>
  <c r="I107" i="4"/>
  <c r="I443" i="4"/>
  <c r="I122" i="4"/>
  <c r="I664" i="4"/>
  <c r="I323" i="4"/>
  <c r="I755" i="4"/>
  <c r="I809" i="4"/>
  <c r="I555" i="4"/>
  <c r="I35" i="4"/>
  <c r="I485" i="4"/>
  <c r="I14" i="4"/>
  <c r="I501" i="4"/>
  <c r="I582" i="4"/>
  <c r="I406" i="4"/>
  <c r="I673" i="4"/>
  <c r="I142" i="4"/>
  <c r="I121" i="4"/>
  <c r="I561" i="4"/>
  <c r="I493" i="4"/>
  <c r="I621" i="4"/>
  <c r="I858" i="4"/>
  <c r="I724" i="4"/>
  <c r="I714" i="4"/>
  <c r="I819" i="4"/>
  <c r="I807" i="4"/>
  <c r="I171" i="4"/>
  <c r="I65" i="4"/>
  <c r="I576" i="4"/>
  <c r="I89" i="4"/>
  <c r="I147" i="4"/>
  <c r="I370" i="4"/>
  <c r="I897" i="4"/>
  <c r="I909" i="4"/>
  <c r="I241" i="4"/>
  <c r="I33" i="4"/>
  <c r="I45" i="4"/>
  <c r="I696" i="4"/>
  <c r="I776" i="4"/>
  <c r="I302" i="4"/>
  <c r="I833" i="4"/>
  <c r="I757" i="4"/>
  <c r="I804" i="4"/>
  <c r="I419" i="4"/>
  <c r="I629" i="4"/>
  <c r="I58" i="4"/>
  <c r="I912" i="4"/>
  <c r="I3" i="4"/>
  <c r="I293" i="4"/>
  <c r="I896" i="4"/>
  <c r="I795" i="4"/>
  <c r="I452" i="4"/>
  <c r="I926" i="4"/>
  <c r="I962" i="4"/>
  <c r="I524" i="4"/>
  <c r="I424" i="4"/>
  <c r="I448" i="4"/>
  <c r="I401" i="4"/>
  <c r="I919" i="4"/>
  <c r="I497" i="4"/>
  <c r="I92" i="4"/>
  <c r="I651" i="4"/>
  <c r="I861" i="4"/>
  <c r="I433" i="4"/>
  <c r="I551" i="4"/>
  <c r="I727" i="4"/>
  <c r="I647" i="4"/>
  <c r="I667" i="4"/>
  <c r="I938" i="4"/>
  <c r="I932" i="4"/>
  <c r="I38" i="4"/>
  <c r="I585" i="4"/>
  <c r="I697" i="4"/>
  <c r="I7" i="4"/>
  <c r="I41" i="4"/>
  <c r="I539" i="4"/>
  <c r="I716" i="4"/>
  <c r="I267" i="4"/>
  <c r="I56" i="4"/>
  <c r="I440" i="4"/>
  <c r="I226" i="4"/>
  <c r="I956" i="4"/>
  <c r="I246" i="4"/>
  <c r="I299" i="4"/>
  <c r="I842" i="4"/>
  <c r="I183" i="4"/>
  <c r="I256" i="4"/>
  <c r="I447" i="4"/>
  <c r="I329" i="4"/>
  <c r="I923" i="4"/>
  <c r="I119" i="4"/>
  <c r="I384" i="4"/>
  <c r="I444" i="4"/>
  <c r="I379" i="4"/>
  <c r="I164" i="4"/>
  <c r="I850" i="4"/>
  <c r="I725" i="4"/>
  <c r="I767" i="4"/>
  <c r="I46" i="4"/>
  <c r="I625" i="4"/>
  <c r="I719" i="4"/>
  <c r="I345" i="4"/>
  <c r="I336" i="4"/>
  <c r="I616" i="4"/>
  <c r="I707" i="4"/>
  <c r="I775" i="4"/>
  <c r="I179" i="4"/>
  <c r="I899" i="4"/>
  <c r="I344" i="4"/>
  <c r="I400" i="4"/>
  <c r="I671" i="4"/>
  <c r="I472" i="4"/>
  <c r="I391" i="4"/>
  <c r="I366" i="4"/>
  <c r="I364" i="4"/>
  <c r="I319" i="4"/>
  <c r="I865" i="4"/>
  <c r="I251" i="4"/>
  <c r="I920" i="4"/>
  <c r="I731" i="4"/>
  <c r="I811" i="4"/>
  <c r="I151" i="4"/>
  <c r="I794" i="4"/>
  <c r="I352" i="4"/>
  <c r="I36" i="4"/>
  <c r="I538" i="4"/>
  <c r="I508" i="4"/>
  <c r="I44" i="4"/>
  <c r="I423" i="4"/>
  <c r="I403" i="4"/>
  <c r="I57" i="4"/>
  <c r="I209" i="4"/>
  <c r="I801" i="4"/>
  <c r="I505" i="4"/>
  <c r="I159" i="4"/>
  <c r="I784" i="4"/>
  <c r="I186" i="4"/>
  <c r="I240" i="4"/>
  <c r="I396" i="4"/>
  <c r="I488" i="4"/>
  <c r="I402" i="4"/>
  <c r="I82" i="4"/>
  <c r="I304" i="4"/>
  <c r="I888" i="4"/>
  <c r="I149" i="4"/>
  <c r="I699" i="4"/>
  <c r="I503" i="4"/>
  <c r="I281" i="4"/>
  <c r="I546" i="4"/>
  <c r="I62" i="4"/>
  <c r="I506" i="4"/>
  <c r="I174" i="4"/>
  <c r="I483" i="4"/>
  <c r="I66" i="4"/>
  <c r="I380" i="4"/>
  <c r="I50" i="4"/>
  <c r="I32" i="4"/>
  <c r="I577" i="4"/>
  <c r="I689" i="4"/>
  <c r="I882" i="4"/>
  <c r="I802" i="4"/>
  <c r="I190" i="4"/>
  <c r="I328" i="4"/>
  <c r="I457" i="4"/>
  <c r="I389" i="4"/>
  <c r="I848" i="4"/>
  <c r="I879" i="4"/>
  <c r="I72" i="4"/>
  <c r="I31" i="4"/>
  <c r="I722" i="4"/>
  <c r="I703" i="4"/>
  <c r="I798" i="4"/>
  <c r="I509" i="4"/>
  <c r="I113" i="4"/>
  <c r="I946" i="4"/>
  <c r="I243" i="4"/>
  <c r="I253" i="4"/>
  <c r="I876" i="4"/>
  <c r="I572" i="4"/>
  <c r="I959" i="4"/>
  <c r="I782" i="4"/>
  <c r="I193" i="4"/>
  <c r="I570" i="4"/>
  <c r="I953" i="4"/>
  <c r="I785" i="4"/>
  <c r="I235" i="4"/>
  <c r="I660" i="4"/>
  <c r="I852" i="4"/>
  <c r="I211" i="4"/>
  <c r="I825" i="4"/>
  <c r="I854" i="4"/>
  <c r="I806" i="4"/>
  <c r="I125" i="4"/>
  <c r="I862" i="4"/>
  <c r="I282" i="4"/>
  <c r="I425" i="4"/>
  <c r="I438" i="4"/>
  <c r="I586" i="4"/>
  <c r="I93" i="4"/>
  <c r="I318" i="4"/>
  <c r="I496" i="4"/>
  <c r="I462" i="4"/>
  <c r="I138" i="4"/>
  <c r="I872" i="4"/>
  <c r="I12" i="4"/>
  <c r="I495" i="4"/>
  <c r="I468" i="4"/>
  <c r="I886" i="4"/>
  <c r="I431" i="4"/>
  <c r="I204" i="4"/>
  <c r="I21" i="4"/>
  <c r="I653" i="4"/>
  <c r="I322" i="4"/>
  <c r="I759" i="4"/>
  <c r="I74" i="4"/>
  <c r="I677" i="4"/>
  <c r="I535" i="4"/>
  <c r="I632" i="4"/>
  <c r="I117" i="4"/>
  <c r="I276" i="4"/>
  <c r="I568" i="4"/>
  <c r="I415" i="4"/>
  <c r="I298" i="4"/>
  <c r="I605" i="4"/>
  <c r="I273" i="4"/>
  <c r="I228" i="4"/>
  <c r="I655" i="4"/>
  <c r="I958" i="4"/>
  <c r="I812" i="4"/>
  <c r="I608" i="4"/>
  <c r="I353" i="4"/>
  <c r="I662" i="4"/>
  <c r="I654" i="4"/>
  <c r="I830" i="4"/>
  <c r="I6" i="4"/>
  <c r="I390" i="4"/>
  <c r="I354" i="4"/>
  <c r="I161" i="4"/>
  <c r="I760" i="4"/>
  <c r="I411" i="4"/>
  <c r="I556" i="4"/>
  <c r="I20" i="4"/>
  <c r="I769" i="4"/>
  <c r="I663" i="4"/>
  <c r="I77" i="4"/>
  <c r="I225" i="4"/>
  <c r="I361" i="4"/>
  <c r="I741" i="4"/>
  <c r="I52" i="4"/>
  <c r="I891" i="4"/>
  <c r="I222" i="4"/>
  <c r="I76" i="4"/>
  <c r="I841" i="4"/>
  <c r="I445" i="4"/>
  <c r="I141" i="4"/>
  <c r="I317" i="4"/>
  <c r="I592" i="4"/>
  <c r="I652" i="4"/>
  <c r="I413" i="4"/>
  <c r="I622" i="4"/>
  <c r="I690" i="4"/>
  <c r="I740" i="4"/>
  <c r="I649" i="4"/>
  <c r="I950" i="4"/>
  <c r="I460" i="4"/>
  <c r="I245" i="4"/>
  <c r="I84" i="4"/>
  <c r="I940" i="4"/>
  <c r="I453" i="4"/>
  <c r="I588" i="4"/>
  <c r="I409" i="4"/>
  <c r="I71" i="4"/>
  <c r="I91" i="4"/>
  <c r="I154" i="4"/>
  <c r="I309" i="4"/>
  <c r="I609" i="4"/>
  <c r="I527" i="4"/>
  <c r="I840" i="4"/>
  <c r="I894" i="4"/>
  <c r="I386" i="4"/>
  <c r="I325" i="4"/>
  <c r="I265" i="4"/>
  <c r="I514" i="4"/>
  <c r="I181" i="4"/>
  <c r="I710" i="4"/>
  <c r="I201" i="4"/>
  <c r="I150" i="4"/>
  <c r="I803" i="4"/>
  <c r="I365" i="4"/>
  <c r="I898" i="4"/>
  <c r="I742" i="4"/>
  <c r="I356" i="4"/>
  <c r="I587" i="4"/>
  <c r="I287" i="4"/>
  <c r="I80" i="4"/>
  <c r="I85" i="4"/>
  <c r="I162" i="4"/>
  <c r="I459" i="4"/>
  <c r="I626" i="4"/>
  <c r="I619" i="4"/>
  <c r="I394" i="4"/>
  <c r="I103" i="4"/>
  <c r="I694" i="4"/>
  <c r="I712" i="4"/>
  <c r="I779" i="4"/>
  <c r="I212" i="4"/>
  <c r="I533" i="4"/>
  <c r="I19" i="4"/>
  <c r="I270" i="4"/>
  <c r="I11" i="4"/>
  <c r="I221" i="4"/>
  <c r="I78" i="4"/>
  <c r="I258" i="4"/>
  <c r="I937" i="4"/>
  <c r="I279" i="4"/>
  <c r="I371" i="4"/>
  <c r="I711" i="4"/>
  <c r="I735" i="4"/>
  <c r="I236" i="4"/>
  <c r="I557" i="4"/>
  <c r="I101" i="4"/>
  <c r="I210" i="4"/>
  <c r="I772" i="4"/>
  <c r="I944" i="4"/>
  <c r="I435" i="4"/>
  <c r="I454" i="4"/>
  <c r="I534" i="4"/>
  <c r="I813" i="4"/>
  <c r="I831" i="4"/>
  <c r="I205" i="4"/>
  <c r="I692" i="4"/>
  <c r="I477" i="4"/>
  <c r="I656" i="4"/>
  <c r="I295" i="4"/>
  <c r="I220" i="4"/>
  <c r="I544" i="4"/>
  <c r="I382" i="4"/>
  <c r="I542" i="4"/>
  <c r="I375" i="4"/>
  <c r="I525" i="4"/>
  <c r="I479" i="4"/>
  <c r="I815" i="4"/>
  <c r="I40" i="4"/>
  <c r="I764" i="4"/>
  <c r="I331" i="4"/>
  <c r="I810" i="4"/>
  <c r="I53" i="4"/>
  <c r="I54" i="4"/>
  <c r="I904" i="4"/>
  <c r="I414" i="4"/>
  <c r="I30" i="4"/>
  <c r="I456" i="4"/>
  <c r="I566" i="4"/>
  <c r="I332" i="4"/>
  <c r="I128" i="4"/>
  <c r="I67" i="4"/>
  <c r="I305" i="4"/>
  <c r="I75" i="4"/>
  <c r="I104" i="4"/>
  <c r="I549" i="4"/>
  <c r="I639" i="4"/>
  <c r="I230" i="4"/>
  <c r="I173" i="4"/>
  <c r="I498" i="4"/>
  <c r="I770" i="4"/>
  <c r="I198" i="4"/>
  <c r="I441" i="4"/>
  <c r="I846" i="4"/>
  <c r="I951" i="4"/>
  <c r="I88" i="4"/>
  <c r="I43" i="4"/>
  <c r="I437" i="4"/>
  <c r="I638" i="4"/>
  <c r="I821" i="4"/>
  <c r="I300" i="4"/>
  <c r="I610" i="4"/>
  <c r="I749" i="4"/>
  <c r="I947" i="4"/>
  <c r="I405" i="4"/>
  <c r="I624" i="4"/>
  <c r="I262" i="4"/>
  <c r="I97" i="4"/>
  <c r="I922" i="4"/>
  <c r="I530" i="4"/>
  <c r="I362" i="4"/>
  <c r="I529" i="4"/>
  <c r="I135" i="4"/>
  <c r="I780" i="4"/>
  <c r="I306" i="4"/>
  <c r="I917" i="4"/>
  <c r="I756" i="4"/>
  <c r="I219" i="4"/>
  <c r="I168" i="4"/>
  <c r="I398" i="4"/>
  <c r="I314" i="4"/>
  <c r="I521" i="4"/>
  <c r="I665" i="4"/>
  <c r="I746" i="4"/>
  <c r="I184" i="4"/>
  <c r="I737" i="4"/>
  <c r="I523" i="4"/>
  <c r="I277" i="4"/>
  <c r="I467" i="4"/>
  <c r="I704" i="4"/>
  <c r="I197" i="4"/>
  <c r="I86" i="4"/>
  <c r="I29" i="4"/>
  <c r="I648" i="4"/>
  <c r="I868" i="4"/>
  <c r="I247" i="4"/>
  <c r="I612" i="4"/>
  <c r="I590" i="4"/>
  <c r="I921" i="4"/>
  <c r="I90" i="4"/>
  <c r="I404" i="4"/>
  <c r="I857" i="4"/>
  <c r="I215" i="4"/>
  <c r="I59" i="4"/>
  <c r="I774" i="4"/>
  <c r="I376" i="4"/>
  <c r="I630" i="4"/>
  <c r="I388" i="4"/>
  <c r="I646" i="4"/>
  <c r="I27" i="4"/>
  <c r="I321" i="4"/>
  <c r="I718" i="4"/>
  <c r="I24" i="4"/>
  <c r="I466" i="4"/>
  <c r="I134" i="4"/>
  <c r="I422" i="4"/>
  <c r="I688" i="4"/>
  <c r="I191" i="4"/>
  <c r="I250" i="4"/>
  <c r="I545" i="4"/>
  <c r="I64" i="4"/>
  <c r="I166" i="4"/>
  <c r="I374" i="4"/>
  <c r="I280" i="4"/>
  <c r="I87" i="4"/>
  <c r="I167" i="4"/>
  <c r="I248" i="4"/>
  <c r="I37" i="4"/>
  <c r="I264" i="4"/>
  <c r="I481" i="4"/>
  <c r="I199" i="4"/>
  <c r="I13" i="4"/>
  <c r="I194" i="4"/>
  <c r="I726" i="4"/>
  <c r="I628" i="4"/>
  <c r="I537" i="4"/>
  <c r="I683" i="4"/>
  <c r="I244" i="4"/>
  <c r="I105" i="4"/>
  <c r="I670" i="4"/>
  <c r="I363" i="4"/>
  <c r="I874" i="4"/>
  <c r="I378" i="4"/>
  <c r="I873" i="4"/>
  <c r="I698" i="4"/>
  <c r="I255" i="4"/>
  <c r="I808" i="4"/>
  <c r="I645" i="4"/>
  <c r="I955" i="4"/>
  <c r="I115" i="4"/>
  <c r="I838" i="4"/>
  <c r="I51" i="4"/>
  <c r="I541" i="4"/>
  <c r="I446" i="4"/>
  <c r="I627" i="4"/>
  <c r="I129" i="4"/>
  <c r="I208" i="4"/>
  <c r="I721" i="4"/>
  <c r="I351" i="4"/>
  <c r="I637" i="4"/>
  <c r="I465" i="4"/>
  <c r="I490" i="4"/>
  <c r="I522" i="4"/>
  <c r="I286" i="4"/>
  <c r="I720" i="4"/>
  <c r="I140" i="4"/>
  <c r="I552" i="4"/>
  <c r="I176" i="4"/>
  <c r="I528" i="4"/>
  <c r="I478" i="4"/>
  <c r="I203" i="4"/>
  <c r="I202" i="4"/>
  <c r="I751" i="4"/>
  <c r="I520" i="4"/>
  <c r="I16" i="4"/>
  <c r="I108" i="4"/>
  <c r="I451" i="4"/>
  <c r="I449" i="4"/>
  <c r="I416" i="4"/>
  <c r="I715" i="4"/>
  <c r="I763" i="4"/>
  <c r="I901" i="4"/>
  <c r="I893" i="4"/>
  <c r="I511" i="4"/>
  <c r="I232" i="4"/>
  <c r="I340" i="4"/>
  <c r="I681" i="4"/>
  <c r="I700" i="4"/>
  <c r="I106" i="4"/>
  <c r="I948" i="4"/>
  <c r="I494" i="4"/>
  <c r="I559" i="4"/>
  <c r="I818" i="4"/>
  <c r="I773" i="4"/>
  <c r="I754" i="4"/>
  <c r="I589" i="4"/>
  <c r="I224" i="4"/>
  <c r="I603" i="4"/>
  <c r="I930" i="4"/>
  <c r="I139" i="4"/>
  <c r="I829" i="4"/>
  <c r="I611" i="4"/>
  <c r="I814" i="4"/>
  <c r="I207" i="4"/>
  <c r="I885" i="4"/>
  <c r="I368" i="4"/>
  <c r="I430" i="4"/>
  <c r="I748" i="4"/>
  <c r="I471" i="4"/>
  <c r="I636" i="4"/>
  <c r="I900" i="4"/>
  <c r="I903" i="4"/>
  <c r="I929" i="4"/>
  <c r="I732" i="4"/>
  <c r="I377" i="4"/>
  <c r="I736" i="4"/>
  <c r="I254" i="4"/>
  <c r="I845" i="4"/>
  <c r="I297" i="4"/>
  <c r="I510" i="4"/>
  <c r="I634" i="4"/>
  <c r="I95" i="4"/>
  <c r="I583" i="4"/>
  <c r="I579" i="4"/>
  <c r="I18" i="4"/>
  <c r="I519" i="4"/>
  <c r="I187" i="4"/>
  <c r="I333" i="4"/>
  <c r="I954" i="4"/>
  <c r="I693" i="4"/>
  <c r="I464" i="4"/>
  <c r="I233" i="4"/>
  <c r="I432" i="4"/>
  <c r="I573" i="4"/>
  <c r="I116" i="4"/>
  <c r="I136" i="4"/>
  <c r="I480" i="4"/>
  <c r="I877" i="4"/>
  <c r="I155" i="4"/>
  <c r="I278" i="4"/>
  <c r="I48" i="4"/>
  <c r="I843" i="4"/>
  <c r="I8" i="4"/>
  <c r="I889" i="4"/>
  <c r="I739" i="4"/>
  <c r="I902" i="4"/>
  <c r="I835" i="4"/>
  <c r="I102" i="4"/>
  <c r="I513" i="4"/>
  <c r="I728" i="4"/>
  <c r="I705" i="4"/>
  <c r="I765" i="4"/>
  <c r="I114" i="4"/>
  <c r="I307" i="4"/>
  <c r="I684" i="4"/>
  <c r="I752" i="4"/>
  <c r="I617" i="4"/>
  <c r="I945" i="4"/>
  <c r="O8" i="4" l="1"/>
  <c r="O10" i="4"/>
  <c r="O11" i="4"/>
  <c r="O9" i="4"/>
</calcChain>
</file>

<file path=xl/sharedStrings.xml><?xml version="1.0" encoding="utf-8"?>
<sst xmlns="http://schemas.openxmlformats.org/spreadsheetml/2006/main" count="1012" uniqueCount="526">
  <si>
    <t>Date</t>
  </si>
  <si>
    <t>Price</t>
  </si>
  <si>
    <t>Open</t>
  </si>
  <si>
    <t>High</t>
  </si>
  <si>
    <t>Low</t>
  </si>
  <si>
    <t>Vol.</t>
  </si>
  <si>
    <t>Change %</t>
  </si>
  <si>
    <t>3.97M</t>
  </si>
  <si>
    <t>4.62M</t>
  </si>
  <si>
    <t>4.72M</t>
  </si>
  <si>
    <t>5.56M</t>
  </si>
  <si>
    <t>4.22M</t>
  </si>
  <si>
    <t>3.81M</t>
  </si>
  <si>
    <t>4.88M</t>
  </si>
  <si>
    <t>5.88M</t>
  </si>
  <si>
    <t>6.87M</t>
  </si>
  <si>
    <t>5.28M</t>
  </si>
  <si>
    <t>6.79M</t>
  </si>
  <si>
    <t>4.44M</t>
  </si>
  <si>
    <t>4.52M</t>
  </si>
  <si>
    <t>5.83M</t>
  </si>
  <si>
    <t>5.70M</t>
  </si>
  <si>
    <t>6.46M</t>
  </si>
  <si>
    <t>5.96M</t>
  </si>
  <si>
    <t>8.33M</t>
  </si>
  <si>
    <t>1.82M</t>
  </si>
  <si>
    <t>7.60M</t>
  </si>
  <si>
    <t>10.59M</t>
  </si>
  <si>
    <t>8.48M</t>
  </si>
  <si>
    <t>5.64M</t>
  </si>
  <si>
    <t>4.98M</t>
  </si>
  <si>
    <t>3.94M</t>
  </si>
  <si>
    <t>3.91M</t>
  </si>
  <si>
    <t>3.99M</t>
  </si>
  <si>
    <t>5.66M</t>
  </si>
  <si>
    <t>6.20M</t>
  </si>
  <si>
    <t>5.51M</t>
  </si>
  <si>
    <t>4.87M</t>
  </si>
  <si>
    <t>4.92M</t>
  </si>
  <si>
    <t>9.05M</t>
  </si>
  <si>
    <t>4.20M</t>
  </si>
  <si>
    <t>5.60M</t>
  </si>
  <si>
    <t>3.04M</t>
  </si>
  <si>
    <t>4.27M</t>
  </si>
  <si>
    <t>4.38M</t>
  </si>
  <si>
    <t>3.73M</t>
  </si>
  <si>
    <t>3.84M</t>
  </si>
  <si>
    <t>4.54M</t>
  </si>
  <si>
    <t>4.12M</t>
  </si>
  <si>
    <t>3.70M</t>
  </si>
  <si>
    <t>5.06M</t>
  </si>
  <si>
    <t>3.61M</t>
  </si>
  <si>
    <t>5.10M</t>
  </si>
  <si>
    <t>3.95M</t>
  </si>
  <si>
    <t>4.66M</t>
  </si>
  <si>
    <t>3.59M</t>
  </si>
  <si>
    <t>2.81M</t>
  </si>
  <si>
    <t>4.23M</t>
  </si>
  <si>
    <t>7.64M</t>
  </si>
  <si>
    <t>4.75M</t>
  </si>
  <si>
    <t>2.04M</t>
  </si>
  <si>
    <t>3.71M</t>
  </si>
  <si>
    <t>2.67M</t>
  </si>
  <si>
    <t>2.78M</t>
  </si>
  <si>
    <t>3.74M</t>
  </si>
  <si>
    <t>5.92M</t>
  </si>
  <si>
    <t>2.92M</t>
  </si>
  <si>
    <t>2.08M</t>
  </si>
  <si>
    <t>3.77M</t>
  </si>
  <si>
    <t>2.93M</t>
  </si>
  <si>
    <t>4.49M</t>
  </si>
  <si>
    <t>7.44M</t>
  </si>
  <si>
    <t>2.33M</t>
  </si>
  <si>
    <t>3.01M</t>
  </si>
  <si>
    <t>3.11M</t>
  </si>
  <si>
    <t>4.74M</t>
  </si>
  <si>
    <t>6.23M</t>
  </si>
  <si>
    <t>3.69M</t>
  </si>
  <si>
    <t>3.57M</t>
  </si>
  <si>
    <t>5.50M</t>
  </si>
  <si>
    <t>3.35M</t>
  </si>
  <si>
    <t>3.43M</t>
  </si>
  <si>
    <t>3.29M</t>
  </si>
  <si>
    <t>3.83M</t>
  </si>
  <si>
    <t>3.09M</t>
  </si>
  <si>
    <t>5.58M</t>
  </si>
  <si>
    <t>3.88M</t>
  </si>
  <si>
    <t>5.34M</t>
  </si>
  <si>
    <t>2.72M</t>
  </si>
  <si>
    <t>5.19M</t>
  </si>
  <si>
    <t>4.47M</t>
  </si>
  <si>
    <t>9.81M</t>
  </si>
  <si>
    <t>5.67M</t>
  </si>
  <si>
    <t>5.36M</t>
  </si>
  <si>
    <t>7.93M</t>
  </si>
  <si>
    <t>5.14M</t>
  </si>
  <si>
    <t>10.21M</t>
  </si>
  <si>
    <t>10.22M</t>
  </si>
  <si>
    <t>8.96M</t>
  </si>
  <si>
    <t>11.40M</t>
  </si>
  <si>
    <t>4.33M</t>
  </si>
  <si>
    <t>3.20M</t>
  </si>
  <si>
    <t>7.11M</t>
  </si>
  <si>
    <t>5.29M</t>
  </si>
  <si>
    <t>6.49M</t>
  </si>
  <si>
    <t>7.65M</t>
  </si>
  <si>
    <t>5.25M</t>
  </si>
  <si>
    <t>4.56M</t>
  </si>
  <si>
    <t>4.29M</t>
  </si>
  <si>
    <t>11.95M</t>
  </si>
  <si>
    <t>7.27M</t>
  </si>
  <si>
    <t>2.79M</t>
  </si>
  <si>
    <t>7.58M</t>
  </si>
  <si>
    <t>5.73M</t>
  </si>
  <si>
    <t>3.52M</t>
  </si>
  <si>
    <t>4.63M</t>
  </si>
  <si>
    <t>4.97M</t>
  </si>
  <si>
    <t>10.25M</t>
  </si>
  <si>
    <t>8.04M</t>
  </si>
  <si>
    <t>5.48M</t>
  </si>
  <si>
    <t>9.10M</t>
  </si>
  <si>
    <t>4.58M</t>
  </si>
  <si>
    <t>5.68M</t>
  </si>
  <si>
    <t>11.35M</t>
  </si>
  <si>
    <t>5.44M</t>
  </si>
  <si>
    <t>9.59M</t>
  </si>
  <si>
    <t>9.66M</t>
  </si>
  <si>
    <t>7.73M</t>
  </si>
  <si>
    <t>6.30M</t>
  </si>
  <si>
    <t>7.02M</t>
  </si>
  <si>
    <t>4.42M</t>
  </si>
  <si>
    <t>13.22M</t>
  </si>
  <si>
    <t>10.95M</t>
  </si>
  <si>
    <t>6.13M</t>
  </si>
  <si>
    <t>12.19M</t>
  </si>
  <si>
    <t>7.68M</t>
  </si>
  <si>
    <t>8.63M</t>
  </si>
  <si>
    <t>5.05M</t>
  </si>
  <si>
    <t>9.50M</t>
  </si>
  <si>
    <t>6.18M</t>
  </si>
  <si>
    <t>10.06M</t>
  </si>
  <si>
    <t>9.82M</t>
  </si>
  <si>
    <t>8.31M</t>
  </si>
  <si>
    <t>6.45M</t>
  </si>
  <si>
    <t>10.80M</t>
  </si>
  <si>
    <t>7.14M</t>
  </si>
  <si>
    <t>9.86M</t>
  </si>
  <si>
    <t>34.65M</t>
  </si>
  <si>
    <t>9.23M</t>
  </si>
  <si>
    <t>6.19M</t>
  </si>
  <si>
    <t>9.51M</t>
  </si>
  <si>
    <t>12.63M</t>
  </si>
  <si>
    <t>8.64M</t>
  </si>
  <si>
    <t>3.87M</t>
  </si>
  <si>
    <t>5.26M</t>
  </si>
  <si>
    <t>12.91M</t>
  </si>
  <si>
    <t>9.31M</t>
  </si>
  <si>
    <t>9.25M</t>
  </si>
  <si>
    <t>8.22M</t>
  </si>
  <si>
    <t>7.13M</t>
  </si>
  <si>
    <t>3.16M</t>
  </si>
  <si>
    <t>3.85M</t>
  </si>
  <si>
    <t>5.41M</t>
  </si>
  <si>
    <t>4.24M</t>
  </si>
  <si>
    <t>7.48M</t>
  </si>
  <si>
    <t>7.03M</t>
  </si>
  <si>
    <t>8.30M</t>
  </si>
  <si>
    <t>19.63M</t>
  </si>
  <si>
    <t>3.55M</t>
  </si>
  <si>
    <t>9.20M</t>
  </si>
  <si>
    <t>6.29M</t>
  </si>
  <si>
    <t>4.08M</t>
  </si>
  <si>
    <t>3.92M</t>
  </si>
  <si>
    <t>7.38M</t>
  </si>
  <si>
    <t>5.08M</t>
  </si>
  <si>
    <t>9.32M</t>
  </si>
  <si>
    <t>4.57M</t>
  </si>
  <si>
    <t>3.45M</t>
  </si>
  <si>
    <t>7.39M</t>
  </si>
  <si>
    <t>4.02M</t>
  </si>
  <si>
    <t>5.53M</t>
  </si>
  <si>
    <t>6.33M</t>
  </si>
  <si>
    <t>4.48M</t>
  </si>
  <si>
    <t>6.58M</t>
  </si>
  <si>
    <t>10.98M</t>
  </si>
  <si>
    <t>5.46M</t>
  </si>
  <si>
    <t>3.51M</t>
  </si>
  <si>
    <t>8.50M</t>
  </si>
  <si>
    <t>3.41M</t>
  </si>
  <si>
    <t>3.63M</t>
  </si>
  <si>
    <t>4.34M</t>
  </si>
  <si>
    <t>11.39M</t>
  </si>
  <si>
    <t>4.50M</t>
  </si>
  <si>
    <t>3.93M</t>
  </si>
  <si>
    <t>8.36M</t>
  </si>
  <si>
    <t>5.42M</t>
  </si>
  <si>
    <t>4.67M</t>
  </si>
  <si>
    <t>2.40M</t>
  </si>
  <si>
    <t>3.33M</t>
  </si>
  <si>
    <t>3.23M</t>
  </si>
  <si>
    <t>1.92M</t>
  </si>
  <si>
    <t>2.23M</t>
  </si>
  <si>
    <t>3.26M</t>
  </si>
  <si>
    <t>8.71M</t>
  </si>
  <si>
    <t>5.76M</t>
  </si>
  <si>
    <t>3.25M</t>
  </si>
  <si>
    <t>6.07M</t>
  </si>
  <si>
    <t>2.87M</t>
  </si>
  <si>
    <t>7.70M</t>
  </si>
  <si>
    <t>1.91M</t>
  </si>
  <si>
    <t>2.83M</t>
  </si>
  <si>
    <t>3.42M</t>
  </si>
  <si>
    <t>2.97M</t>
  </si>
  <si>
    <t>2.96M</t>
  </si>
  <si>
    <t>9.18M</t>
  </si>
  <si>
    <t>4.35M</t>
  </si>
  <si>
    <t>3.66M</t>
  </si>
  <si>
    <t>2.91M</t>
  </si>
  <si>
    <t>7.30M</t>
  </si>
  <si>
    <t>4.70M</t>
  </si>
  <si>
    <t>6.59M</t>
  </si>
  <si>
    <t>4.61M</t>
  </si>
  <si>
    <t>8.20M</t>
  </si>
  <si>
    <t>5.12M</t>
  </si>
  <si>
    <t>8.89M</t>
  </si>
  <si>
    <t>2.99M</t>
  </si>
  <si>
    <t>6.40M</t>
  </si>
  <si>
    <t>5.40M</t>
  </si>
  <si>
    <t>6.54M</t>
  </si>
  <si>
    <t>11.59M</t>
  </si>
  <si>
    <t>1.88M</t>
  </si>
  <si>
    <t>4.26M</t>
  </si>
  <si>
    <t>4.05M</t>
  </si>
  <si>
    <t>6.82M</t>
  </si>
  <si>
    <t>5.55M</t>
  </si>
  <si>
    <t>4.32M</t>
  </si>
  <si>
    <t>2.76M</t>
  </si>
  <si>
    <t>2.56M</t>
  </si>
  <si>
    <t>2.63M</t>
  </si>
  <si>
    <t>3.03M</t>
  </si>
  <si>
    <t>5.94M</t>
  </si>
  <si>
    <t>6.80M</t>
  </si>
  <si>
    <t>10.67M</t>
  </si>
  <si>
    <t>11.51M</t>
  </si>
  <si>
    <t>14.02M</t>
  </si>
  <si>
    <t>2.75M</t>
  </si>
  <si>
    <t>12.49M</t>
  </si>
  <si>
    <t>2.05M</t>
  </si>
  <si>
    <t>2.25M</t>
  </si>
  <si>
    <t>10.00M</t>
  </si>
  <si>
    <t>4.78M</t>
  </si>
  <si>
    <t>3.64M</t>
  </si>
  <si>
    <t>3.65M</t>
  </si>
  <si>
    <t>1.61M</t>
  </si>
  <si>
    <t>1.74M</t>
  </si>
  <si>
    <t>3.19M</t>
  </si>
  <si>
    <t>2.71M</t>
  </si>
  <si>
    <t>1.99M</t>
  </si>
  <si>
    <t>2.64M</t>
  </si>
  <si>
    <t>1.42M</t>
  </si>
  <si>
    <t>3.22M</t>
  </si>
  <si>
    <t>2.90M</t>
  </si>
  <si>
    <t>2.00M</t>
  </si>
  <si>
    <t>5.52M</t>
  </si>
  <si>
    <t>2.03M</t>
  </si>
  <si>
    <t>2.07M</t>
  </si>
  <si>
    <t>2.98M</t>
  </si>
  <si>
    <t>3.06M</t>
  </si>
  <si>
    <t>3.60M</t>
  </si>
  <si>
    <t>2.01M</t>
  </si>
  <si>
    <t>2.55M</t>
  </si>
  <si>
    <t>2.44M</t>
  </si>
  <si>
    <t>4.55M</t>
  </si>
  <si>
    <t>13.75M</t>
  </si>
  <si>
    <t>2.17M</t>
  </si>
  <si>
    <t>2.27M</t>
  </si>
  <si>
    <t>2.32M</t>
  </si>
  <si>
    <t>3.32M</t>
  </si>
  <si>
    <t>2.43M</t>
  </si>
  <si>
    <t>3.53M</t>
  </si>
  <si>
    <t>1.89M</t>
  </si>
  <si>
    <t>3.80M</t>
  </si>
  <si>
    <t>2.10M</t>
  </si>
  <si>
    <t>2.61M</t>
  </si>
  <si>
    <t>3.08M</t>
  </si>
  <si>
    <t>4.73M</t>
  </si>
  <si>
    <t>2.54M</t>
  </si>
  <si>
    <t>3.07M</t>
  </si>
  <si>
    <t>3.67M</t>
  </si>
  <si>
    <t>3.82M</t>
  </si>
  <si>
    <t>3.39M</t>
  </si>
  <si>
    <t>4.46M</t>
  </si>
  <si>
    <t>5.20M</t>
  </si>
  <si>
    <t>6.74M</t>
  </si>
  <si>
    <t>10.36M</t>
  </si>
  <si>
    <t>10.38M</t>
  </si>
  <si>
    <t>32.50M</t>
  </si>
  <si>
    <t>12.02M</t>
  </si>
  <si>
    <t>9.39M</t>
  </si>
  <si>
    <t>11.94M</t>
  </si>
  <si>
    <t>9.06M</t>
  </si>
  <si>
    <t>4.69M</t>
  </si>
  <si>
    <t>4.00M</t>
  </si>
  <si>
    <t>4.37M</t>
  </si>
  <si>
    <t>3.58M</t>
  </si>
  <si>
    <t>2.70M</t>
  </si>
  <si>
    <t>7.26M</t>
  </si>
  <si>
    <t>4.13M</t>
  </si>
  <si>
    <t>5.32M</t>
  </si>
  <si>
    <t>2.21M</t>
  </si>
  <si>
    <t>2.49M</t>
  </si>
  <si>
    <t>2.88M</t>
  </si>
  <si>
    <t>3.37M</t>
  </si>
  <si>
    <t>2.73M</t>
  </si>
  <si>
    <t>5.78M</t>
  </si>
  <si>
    <t>5.93M</t>
  </si>
  <si>
    <t>6.43M</t>
  </si>
  <si>
    <t>4.40M</t>
  </si>
  <si>
    <t>1.97M</t>
  </si>
  <si>
    <t>2.38M</t>
  </si>
  <si>
    <t>3.47M</t>
  </si>
  <si>
    <t>3.15M</t>
  </si>
  <si>
    <t>3.79M</t>
  </si>
  <si>
    <t>6.48M</t>
  </si>
  <si>
    <t>2.50M</t>
  </si>
  <si>
    <t>4.30M</t>
  </si>
  <si>
    <t>5.27M</t>
  </si>
  <si>
    <t>6.41M</t>
  </si>
  <si>
    <t>2.48M</t>
  </si>
  <si>
    <t>2.45M</t>
  </si>
  <si>
    <t>3.28M</t>
  </si>
  <si>
    <t>353.21K</t>
  </si>
  <si>
    <t>3.21M</t>
  </si>
  <si>
    <t>2.41M</t>
  </si>
  <si>
    <t>1.93M</t>
  </si>
  <si>
    <t>2.11M</t>
  </si>
  <si>
    <t>2.51M</t>
  </si>
  <si>
    <t>3.34M</t>
  </si>
  <si>
    <t>1.62M</t>
  </si>
  <si>
    <t>1.75M</t>
  </si>
  <si>
    <t>3.76M</t>
  </si>
  <si>
    <t>2.24M</t>
  </si>
  <si>
    <t>1.69M</t>
  </si>
  <si>
    <t>2.86M</t>
  </si>
  <si>
    <t>4.95M</t>
  </si>
  <si>
    <t>1.87M</t>
  </si>
  <si>
    <t>5.38M</t>
  </si>
  <si>
    <t>1.56M</t>
  </si>
  <si>
    <t>6.17M</t>
  </si>
  <si>
    <t>3.10M</t>
  </si>
  <si>
    <t>2.26M</t>
  </si>
  <si>
    <t>3.02M</t>
  </si>
  <si>
    <t>2.59M</t>
  </si>
  <si>
    <t>3.30M</t>
  </si>
  <si>
    <t>4.39M</t>
  </si>
  <si>
    <t>1.77M</t>
  </si>
  <si>
    <t>4.15M</t>
  </si>
  <si>
    <t>2.94M</t>
  </si>
  <si>
    <t>2.20M</t>
  </si>
  <si>
    <t>3.12M</t>
  </si>
  <si>
    <t>2.58M</t>
  </si>
  <si>
    <t>1.53M</t>
  </si>
  <si>
    <t>2.12M</t>
  </si>
  <si>
    <t>1.47M</t>
  </si>
  <si>
    <t>2.69M</t>
  </si>
  <si>
    <t>2.35M</t>
  </si>
  <si>
    <t>2.84M</t>
  </si>
  <si>
    <t>2.39M</t>
  </si>
  <si>
    <t>1.60M</t>
  </si>
  <si>
    <t>3.05M</t>
  </si>
  <si>
    <t>3.00M</t>
  </si>
  <si>
    <t>2.95M</t>
  </si>
  <si>
    <t>4.09M</t>
  </si>
  <si>
    <t>11.34M</t>
  </si>
  <si>
    <t>6.63M</t>
  </si>
  <si>
    <t>2.19M</t>
  </si>
  <si>
    <t>1.76M</t>
  </si>
  <si>
    <t>1.27M</t>
  </si>
  <si>
    <t>1.48M</t>
  </si>
  <si>
    <t>2.77M</t>
  </si>
  <si>
    <t>2.31M</t>
  </si>
  <si>
    <t>3.13M</t>
  </si>
  <si>
    <t>3.46M</t>
  </si>
  <si>
    <t>1.33M</t>
  </si>
  <si>
    <t>4.11M</t>
  </si>
  <si>
    <t>2.37M</t>
  </si>
  <si>
    <t>1.67M</t>
  </si>
  <si>
    <t>2.52M</t>
  </si>
  <si>
    <t>2.82M</t>
  </si>
  <si>
    <t>1.58M</t>
  </si>
  <si>
    <t>1.31M</t>
  </si>
  <si>
    <t>1.55M</t>
  </si>
  <si>
    <t>2.65M</t>
  </si>
  <si>
    <t>2.53M</t>
  </si>
  <si>
    <t>1.98M</t>
  </si>
  <si>
    <t>1.54M</t>
  </si>
  <si>
    <t>5.59M</t>
  </si>
  <si>
    <t>1.79M</t>
  </si>
  <si>
    <t>2.46M</t>
  </si>
  <si>
    <t>1.46M</t>
  </si>
  <si>
    <t>3.17M</t>
  </si>
  <si>
    <t>2.34M</t>
  </si>
  <si>
    <t>2.22M</t>
  </si>
  <si>
    <t>1.68M</t>
  </si>
  <si>
    <t>1.70M</t>
  </si>
  <si>
    <t>4.25M</t>
  </si>
  <si>
    <t>2.02M</t>
  </si>
  <si>
    <t>2.13M</t>
  </si>
  <si>
    <t>3.14M</t>
  </si>
  <si>
    <t>1.36M</t>
  </si>
  <si>
    <t>1.71M</t>
  </si>
  <si>
    <t>3.86M</t>
  </si>
  <si>
    <t>4.68M</t>
  </si>
  <si>
    <t>2.89M</t>
  </si>
  <si>
    <t>3.68M</t>
  </si>
  <si>
    <t>2.06M</t>
  </si>
  <si>
    <t>2.60M</t>
  </si>
  <si>
    <t>3.54M</t>
  </si>
  <si>
    <t>3.40M</t>
  </si>
  <si>
    <t>2.09M</t>
  </si>
  <si>
    <t>1.59M</t>
  </si>
  <si>
    <t>3.38M</t>
  </si>
  <si>
    <t>2.80M</t>
  </si>
  <si>
    <t>3.62M</t>
  </si>
  <si>
    <t>3.72M</t>
  </si>
  <si>
    <t>4.06M</t>
  </si>
  <si>
    <t>2.18M</t>
  </si>
  <si>
    <t>6.34M</t>
  </si>
  <si>
    <t>6.66M</t>
  </si>
  <si>
    <t>4.64M</t>
  </si>
  <si>
    <t>6.71M</t>
  </si>
  <si>
    <t>6.26M</t>
  </si>
  <si>
    <t>4.41M</t>
  </si>
  <si>
    <t>5.77M</t>
  </si>
  <si>
    <t>5.80M</t>
  </si>
  <si>
    <t>1.37M</t>
  </si>
  <si>
    <t>6.24M</t>
  </si>
  <si>
    <t>8.06M</t>
  </si>
  <si>
    <t>9.58M</t>
  </si>
  <si>
    <t>2.57M</t>
  </si>
  <si>
    <t>2.29M</t>
  </si>
  <si>
    <t>4.21M</t>
  </si>
  <si>
    <t>4.96M</t>
  </si>
  <si>
    <t>4.51M</t>
  </si>
  <si>
    <t>1.94M</t>
  </si>
  <si>
    <t>1.72M</t>
  </si>
  <si>
    <t>1.17M</t>
  </si>
  <si>
    <t>1.20M</t>
  </si>
  <si>
    <t>1.73M</t>
  </si>
  <si>
    <t>1.90M</t>
  </si>
  <si>
    <t>1.63M</t>
  </si>
  <si>
    <t>1.32M</t>
  </si>
  <si>
    <t>840.24K</t>
  </si>
  <si>
    <t>1.09M</t>
  </si>
  <si>
    <t>1.30M</t>
  </si>
  <si>
    <t>1.78M</t>
  </si>
  <si>
    <t>8.88M</t>
  </si>
  <si>
    <t>1.95M</t>
  </si>
  <si>
    <t>3.27M</t>
  </si>
  <si>
    <t>4.01M</t>
  </si>
  <si>
    <t>3.44M</t>
  </si>
  <si>
    <t>1.64M</t>
  </si>
  <si>
    <t>2.28M</t>
  </si>
  <si>
    <t>5.33M</t>
  </si>
  <si>
    <t>4.89M</t>
  </si>
  <si>
    <t>4.76M</t>
  </si>
  <si>
    <t>2.42M</t>
  </si>
  <si>
    <t>4.31M</t>
  </si>
  <si>
    <t>5.97M</t>
  </si>
  <si>
    <t>5.39M</t>
  </si>
  <si>
    <t>4.19M</t>
  </si>
  <si>
    <t>4.04M</t>
  </si>
  <si>
    <t>6.83M</t>
  </si>
  <si>
    <t>3.24M</t>
  </si>
  <si>
    <t>3.18M</t>
  </si>
  <si>
    <t>3.31M</t>
  </si>
  <si>
    <t>7.86M</t>
  </si>
  <si>
    <t>12.28M</t>
  </si>
  <si>
    <t>11.69M</t>
  </si>
  <si>
    <t>1.85M</t>
  </si>
  <si>
    <t>6.76M</t>
  </si>
  <si>
    <t>4.86M</t>
  </si>
  <si>
    <t>12.23M</t>
  </si>
  <si>
    <t>6.68M</t>
  </si>
  <si>
    <t>2.14M</t>
  </si>
  <si>
    <t>1.29M</t>
  </si>
  <si>
    <t>1.83M</t>
  </si>
  <si>
    <t>6.16M</t>
  </si>
  <si>
    <t>5.84M</t>
  </si>
  <si>
    <t>10.72M</t>
  </si>
  <si>
    <t>14.13M</t>
  </si>
  <si>
    <t>13.67M</t>
  </si>
  <si>
    <t>8.77M</t>
  </si>
  <si>
    <t>5.16M</t>
  </si>
  <si>
    <t>19.57M</t>
  </si>
  <si>
    <t>1.66M</t>
  </si>
  <si>
    <t>7.37M</t>
  </si>
  <si>
    <t>2.15M</t>
  </si>
  <si>
    <t>1.25M</t>
  </si>
  <si>
    <t>3.75M</t>
  </si>
  <si>
    <t>5.95M</t>
  </si>
  <si>
    <t>9.71M</t>
  </si>
  <si>
    <t>1.51M</t>
  </si>
  <si>
    <t>1.06M</t>
  </si>
  <si>
    <t>1.16M</t>
  </si>
  <si>
    <t>2.30M</t>
  </si>
  <si>
    <t>Recency</t>
  </si>
  <si>
    <t>Weighting Factor</t>
  </si>
  <si>
    <t xml:space="preserve">Adjusted </t>
  </si>
  <si>
    <t>Cumulative</t>
  </si>
  <si>
    <t>VaR (HS)</t>
  </si>
  <si>
    <t>Var (BRW)</t>
  </si>
  <si>
    <t>Ranked Returns (Lowest to Highest)</t>
  </si>
  <si>
    <t>Recency Parameter (wrt Column: E)</t>
  </si>
  <si>
    <t>Boudoukh, Richardson and Whitelaw (1997)</t>
  </si>
  <si>
    <t>BRW VaR</t>
  </si>
  <si>
    <t>Confidence Level</t>
  </si>
  <si>
    <t>Sum Adjusted Weight</t>
  </si>
  <si>
    <t>Sum of Weighing Factor</t>
  </si>
  <si>
    <t>Lambda</t>
  </si>
  <si>
    <t>Weights</t>
  </si>
  <si>
    <t>Normalized Weights</t>
  </si>
  <si>
    <t>Sum of Weights:</t>
  </si>
  <si>
    <t>Sum of Normalized Weights:</t>
  </si>
  <si>
    <t>NBES Price</t>
  </si>
  <si>
    <t>NBES Returns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</si>
</sst>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"/>
    <numFmt numFmtId="167" formatCode="0.000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/>
    <xf numFmtId="165" fontId="0" fillId="0" borderId="10" xfId="1" applyNumberFormat="1" applyFont="1" applyBorder="1" applyAlignment="1">
      <alignment horizontal="right"/>
    </xf>
    <xf numFmtId="167" fontId="0" fillId="0" borderId="10" xfId="1" applyNumberFormat="1" applyFont="1" applyBorder="1"/>
    <xf numFmtId="167" fontId="0" fillId="0" borderId="10" xfId="0" applyNumberFormat="1" applyBorder="1"/>
    <xf numFmtId="0" fontId="16" fillId="0" borderId="10" xfId="0" applyFont="1" applyBorder="1"/>
    <xf numFmtId="0" fontId="0" fillId="0" borderId="10" xfId="0" applyBorder="1" applyAlignment="1">
      <alignment horizontal="left"/>
    </xf>
    <xf numFmtId="10" fontId="0" fillId="0" borderId="10" xfId="0" applyNumberFormat="1" applyBorder="1" applyAlignment="1">
      <alignment horizontal="right"/>
    </xf>
    <xf numFmtId="0" fontId="0" fillId="0" borderId="11" xfId="0" applyBorder="1" applyAlignment="1">
      <alignment horizontal="left"/>
    </xf>
    <xf numFmtId="10" fontId="0" fillId="0" borderId="11" xfId="0" applyNumberFormat="1" applyBorder="1" applyAlignment="1">
      <alignment horizontal="center"/>
    </xf>
    <xf numFmtId="0" fontId="0" fillId="0" borderId="11" xfId="0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4" fontId="0" fillId="0" borderId="15" xfId="0" applyNumberFormat="1" applyBorder="1" applyAlignment="1">
      <alignment horizontal="left"/>
    </xf>
    <xf numFmtId="0" fontId="0" fillId="0" borderId="16" xfId="0" applyBorder="1"/>
    <xf numFmtId="14" fontId="0" fillId="0" borderId="17" xfId="0" applyNumberFormat="1" applyBorder="1" applyAlignment="1">
      <alignment horizontal="left"/>
    </xf>
    <xf numFmtId="0" fontId="0" fillId="0" borderId="18" xfId="0" applyBorder="1"/>
    <xf numFmtId="14" fontId="0" fillId="0" borderId="19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10" fontId="0" fillId="0" borderId="20" xfId="0" applyNumberFormat="1" applyBorder="1" applyAlignment="1">
      <alignment horizontal="right"/>
    </xf>
    <xf numFmtId="0" fontId="0" fillId="0" borderId="20" xfId="0" applyBorder="1"/>
    <xf numFmtId="165" fontId="0" fillId="0" borderId="20" xfId="1" applyNumberFormat="1" applyFont="1" applyBorder="1" applyAlignment="1">
      <alignment horizontal="right"/>
    </xf>
    <xf numFmtId="167" fontId="0" fillId="0" borderId="20" xfId="1" applyNumberFormat="1" applyFont="1" applyBorder="1"/>
    <xf numFmtId="167" fontId="0" fillId="0" borderId="20" xfId="0" applyNumberFormat="1" applyBorder="1"/>
    <xf numFmtId="0" fontId="0" fillId="0" borderId="21" xfId="0" applyBorder="1"/>
    <xf numFmtId="10" fontId="0" fillId="0" borderId="25" xfId="0" applyNumberFormat="1" applyBorder="1" applyAlignment="1">
      <alignment horizontal="left"/>
    </xf>
    <xf numFmtId="164" fontId="0" fillId="0" borderId="25" xfId="1" applyNumberFormat="1" applyFont="1" applyBorder="1" applyAlignment="1">
      <alignment horizontal="left"/>
    </xf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0" fillId="0" borderId="26" xfId="0" applyBorder="1"/>
    <xf numFmtId="166" fontId="0" fillId="0" borderId="27" xfId="1" applyNumberFormat="1" applyFont="1" applyBorder="1"/>
    <xf numFmtId="10" fontId="0" fillId="0" borderId="28" xfId="0" applyNumberFormat="1" applyBorder="1"/>
    <xf numFmtId="0" fontId="16" fillId="0" borderId="29" xfId="0" applyFont="1" applyBorder="1"/>
    <xf numFmtId="10" fontId="16" fillId="0" borderId="30" xfId="0" applyNumberFormat="1" applyFont="1" applyBorder="1"/>
    <xf numFmtId="10" fontId="16" fillId="0" borderId="31" xfId="0" applyNumberFormat="1" applyFont="1" applyBorder="1"/>
    <xf numFmtId="0" fontId="16" fillId="0" borderId="32" xfId="0" applyFont="1" applyBorder="1"/>
    <xf numFmtId="0" fontId="0" fillId="0" borderId="33" xfId="0" applyBorder="1"/>
    <xf numFmtId="0" fontId="0" fillId="0" borderId="34" xfId="0" applyBorder="1"/>
    <xf numFmtId="0" fontId="0" fillId="0" borderId="27" xfId="0" applyBorder="1"/>
    <xf numFmtId="0" fontId="0" fillId="0" borderId="28" xfId="0" applyBorder="1"/>
    <xf numFmtId="0" fontId="20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20C0-2B59-4B5F-88B4-2C2CD6C171D5}">
  <dimension ref="A1:G962"/>
  <sheetViews>
    <sheetView topLeftCell="A944" workbookViewId="0">
      <selection activeCell="J952" sqref="J952"/>
    </sheetView>
  </sheetViews>
  <sheetFormatPr defaultRowHeight="15" x14ac:dyDescent="0.25"/>
  <cols>
    <col min="1" max="1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44564</v>
      </c>
      <c r="B2">
        <v>190.72</v>
      </c>
      <c r="C2">
        <v>190</v>
      </c>
      <c r="D2">
        <v>190.95</v>
      </c>
      <c r="E2">
        <v>185.3</v>
      </c>
      <c r="F2" t="s">
        <v>416</v>
      </c>
      <c r="G2" s="2">
        <v>1.5599999999999999E-2</v>
      </c>
    </row>
    <row r="3" spans="1:7" x14ac:dyDescent="0.25">
      <c r="A3" s="1">
        <v>44565</v>
      </c>
      <c r="B3">
        <v>192.46</v>
      </c>
      <c r="C3">
        <v>198.91</v>
      </c>
      <c r="D3">
        <v>198.91</v>
      </c>
      <c r="E3">
        <v>189.2</v>
      </c>
      <c r="F3" t="s">
        <v>257</v>
      </c>
      <c r="G3" s="2">
        <v>9.1000000000000004E-3</v>
      </c>
    </row>
    <row r="4" spans="1:7" x14ac:dyDescent="0.25">
      <c r="A4" s="1">
        <v>44566</v>
      </c>
      <c r="B4">
        <v>193.34</v>
      </c>
      <c r="C4">
        <v>195</v>
      </c>
      <c r="D4">
        <v>195</v>
      </c>
      <c r="E4">
        <v>191.3</v>
      </c>
      <c r="F4" t="s">
        <v>361</v>
      </c>
      <c r="G4" s="2">
        <v>4.5999999999999999E-3</v>
      </c>
    </row>
    <row r="5" spans="1:7" x14ac:dyDescent="0.25">
      <c r="A5" s="1">
        <v>44567</v>
      </c>
      <c r="B5">
        <v>191.92</v>
      </c>
      <c r="C5">
        <v>193</v>
      </c>
      <c r="D5">
        <v>193</v>
      </c>
      <c r="E5">
        <v>190.75</v>
      </c>
      <c r="F5" t="s">
        <v>505</v>
      </c>
      <c r="G5" s="2">
        <v>-7.3000000000000001E-3</v>
      </c>
    </row>
    <row r="6" spans="1:7" x14ac:dyDescent="0.25">
      <c r="A6" s="1">
        <v>44568</v>
      </c>
      <c r="B6">
        <v>192.42</v>
      </c>
      <c r="C6">
        <v>194</v>
      </c>
      <c r="D6">
        <v>194</v>
      </c>
      <c r="E6">
        <v>191.4</v>
      </c>
      <c r="F6" t="s">
        <v>504</v>
      </c>
      <c r="G6" s="2">
        <v>2.5999999999999999E-3</v>
      </c>
    </row>
    <row r="7" spans="1:7" x14ac:dyDescent="0.25">
      <c r="A7" s="1">
        <v>44571</v>
      </c>
      <c r="B7">
        <v>194.35</v>
      </c>
      <c r="C7">
        <v>193.7</v>
      </c>
      <c r="D7">
        <v>194.5</v>
      </c>
      <c r="E7">
        <v>192.45</v>
      </c>
      <c r="F7" t="s">
        <v>407</v>
      </c>
      <c r="G7" s="2">
        <v>0.01</v>
      </c>
    </row>
    <row r="8" spans="1:7" x14ac:dyDescent="0.25">
      <c r="A8" s="1">
        <v>44572</v>
      </c>
      <c r="B8">
        <v>194.69</v>
      </c>
      <c r="C8">
        <v>196</v>
      </c>
      <c r="D8">
        <v>196</v>
      </c>
      <c r="E8">
        <v>193.25</v>
      </c>
      <c r="F8" t="s">
        <v>503</v>
      </c>
      <c r="G8" s="2">
        <v>1.6999999999999999E-3</v>
      </c>
    </row>
    <row r="9" spans="1:7" x14ac:dyDescent="0.25">
      <c r="A9" s="1">
        <v>44573</v>
      </c>
      <c r="B9">
        <v>196.2</v>
      </c>
      <c r="C9">
        <v>197.5</v>
      </c>
      <c r="D9">
        <v>197.5</v>
      </c>
      <c r="E9">
        <v>195.05</v>
      </c>
      <c r="F9" t="s">
        <v>502</v>
      </c>
      <c r="G9" s="2">
        <v>7.7999999999999996E-3</v>
      </c>
    </row>
    <row r="10" spans="1:7" x14ac:dyDescent="0.25">
      <c r="A10" s="1">
        <v>44574</v>
      </c>
      <c r="B10">
        <v>197</v>
      </c>
      <c r="C10">
        <v>198.8</v>
      </c>
      <c r="D10">
        <v>198.8</v>
      </c>
      <c r="E10">
        <v>195.8</v>
      </c>
      <c r="F10" t="s">
        <v>318</v>
      </c>
      <c r="G10" s="2">
        <v>4.1000000000000003E-3</v>
      </c>
    </row>
    <row r="11" spans="1:7" x14ac:dyDescent="0.25">
      <c r="A11" s="1">
        <v>44575</v>
      </c>
      <c r="B11">
        <v>197.36</v>
      </c>
      <c r="C11">
        <v>199.85</v>
      </c>
      <c r="D11">
        <v>199.85</v>
      </c>
      <c r="E11">
        <v>195.5</v>
      </c>
      <c r="F11" t="s">
        <v>334</v>
      </c>
      <c r="G11" s="2">
        <v>1.8E-3</v>
      </c>
    </row>
    <row r="12" spans="1:7" x14ac:dyDescent="0.25">
      <c r="A12" s="1">
        <v>44578</v>
      </c>
      <c r="B12">
        <v>198.03</v>
      </c>
      <c r="C12">
        <v>223</v>
      </c>
      <c r="D12">
        <v>223</v>
      </c>
      <c r="E12">
        <v>195.7</v>
      </c>
      <c r="F12" t="s">
        <v>495</v>
      </c>
      <c r="G12" s="2">
        <v>3.3999999999999998E-3</v>
      </c>
    </row>
    <row r="13" spans="1:7" x14ac:dyDescent="0.25">
      <c r="A13" s="1">
        <v>44579</v>
      </c>
      <c r="B13">
        <v>195.97</v>
      </c>
      <c r="C13">
        <v>199</v>
      </c>
      <c r="D13">
        <v>199</v>
      </c>
      <c r="E13">
        <v>195.6</v>
      </c>
      <c r="F13" t="s">
        <v>444</v>
      </c>
      <c r="G13" s="2">
        <v>-1.04E-2</v>
      </c>
    </row>
    <row r="14" spans="1:7" x14ac:dyDescent="0.25">
      <c r="A14" s="1">
        <v>44580</v>
      </c>
      <c r="B14">
        <v>194.18</v>
      </c>
      <c r="C14">
        <v>221.4</v>
      </c>
      <c r="D14">
        <v>221.4</v>
      </c>
      <c r="E14">
        <v>193</v>
      </c>
      <c r="F14" t="s">
        <v>457</v>
      </c>
      <c r="G14" s="2">
        <v>-9.1000000000000004E-3</v>
      </c>
    </row>
    <row r="15" spans="1:7" x14ac:dyDescent="0.25">
      <c r="A15" s="1">
        <v>44581</v>
      </c>
      <c r="B15">
        <v>192.18</v>
      </c>
      <c r="C15">
        <v>195.8</v>
      </c>
      <c r="D15">
        <v>195.8</v>
      </c>
      <c r="E15">
        <v>191.1</v>
      </c>
      <c r="F15" t="s">
        <v>381</v>
      </c>
      <c r="G15" s="2">
        <v>-1.03E-2</v>
      </c>
    </row>
    <row r="16" spans="1:7" x14ac:dyDescent="0.25">
      <c r="A16" s="1">
        <v>44582</v>
      </c>
      <c r="B16">
        <v>190.64</v>
      </c>
      <c r="C16">
        <v>191.99</v>
      </c>
      <c r="D16">
        <v>191.99</v>
      </c>
      <c r="E16">
        <v>189.22</v>
      </c>
      <c r="F16" t="s">
        <v>408</v>
      </c>
      <c r="G16" s="2">
        <v>-8.0000000000000002E-3</v>
      </c>
    </row>
    <row r="17" spans="1:7" x14ac:dyDescent="0.25">
      <c r="A17" s="1">
        <v>44585</v>
      </c>
      <c r="B17">
        <v>185.79</v>
      </c>
      <c r="C17">
        <v>196.8</v>
      </c>
      <c r="D17">
        <v>196.8</v>
      </c>
      <c r="E17">
        <v>184.05</v>
      </c>
      <c r="F17" t="s">
        <v>501</v>
      </c>
      <c r="G17" s="2">
        <v>-2.5399999999999999E-2</v>
      </c>
    </row>
    <row r="18" spans="1:7" x14ac:dyDescent="0.25">
      <c r="A18" s="1">
        <v>44586</v>
      </c>
      <c r="B18">
        <v>187.07</v>
      </c>
      <c r="C18">
        <v>185.49</v>
      </c>
      <c r="D18">
        <v>187.38</v>
      </c>
      <c r="E18">
        <v>183.05</v>
      </c>
      <c r="F18" t="s">
        <v>14</v>
      </c>
      <c r="G18" s="2">
        <v>6.8999999999999999E-3</v>
      </c>
    </row>
    <row r="19" spans="1:7" x14ac:dyDescent="0.25">
      <c r="A19" s="1">
        <v>44588</v>
      </c>
      <c r="B19">
        <v>185.33</v>
      </c>
      <c r="C19">
        <v>194</v>
      </c>
      <c r="D19">
        <v>194</v>
      </c>
      <c r="E19">
        <v>182.7</v>
      </c>
      <c r="F19" t="s">
        <v>500</v>
      </c>
      <c r="G19" s="2">
        <v>-9.2999999999999992E-3</v>
      </c>
    </row>
    <row r="20" spans="1:7" x14ac:dyDescent="0.25">
      <c r="A20" s="1">
        <v>44589</v>
      </c>
      <c r="B20">
        <v>185.1</v>
      </c>
      <c r="C20">
        <v>187.75</v>
      </c>
      <c r="D20">
        <v>188.06</v>
      </c>
      <c r="E20">
        <v>184.8</v>
      </c>
      <c r="F20" t="s">
        <v>379</v>
      </c>
      <c r="G20" s="2">
        <v>-1.1999999999999999E-3</v>
      </c>
    </row>
    <row r="21" spans="1:7" x14ac:dyDescent="0.25">
      <c r="A21" s="1">
        <v>44592</v>
      </c>
      <c r="B21">
        <v>187.63</v>
      </c>
      <c r="C21">
        <v>199.88</v>
      </c>
      <c r="D21">
        <v>199.88</v>
      </c>
      <c r="E21">
        <v>185.25</v>
      </c>
      <c r="F21" t="s">
        <v>341</v>
      </c>
      <c r="G21" s="2">
        <v>1.37E-2</v>
      </c>
    </row>
    <row r="22" spans="1:7" x14ac:dyDescent="0.25">
      <c r="A22" s="1">
        <v>44593</v>
      </c>
      <c r="B22">
        <v>189.7</v>
      </c>
      <c r="C22">
        <v>190.8</v>
      </c>
      <c r="D22">
        <v>190.8</v>
      </c>
      <c r="E22">
        <v>178.11</v>
      </c>
      <c r="F22" t="s">
        <v>232</v>
      </c>
      <c r="G22" s="2">
        <v>1.0999999999999999E-2</v>
      </c>
    </row>
    <row r="23" spans="1:7" x14ac:dyDescent="0.25">
      <c r="A23" s="1">
        <v>44594</v>
      </c>
      <c r="B23">
        <v>192.12</v>
      </c>
      <c r="C23">
        <v>194</v>
      </c>
      <c r="D23">
        <v>194</v>
      </c>
      <c r="E23">
        <v>189.7</v>
      </c>
      <c r="F23" t="s">
        <v>275</v>
      </c>
      <c r="G23" s="2">
        <v>1.2800000000000001E-2</v>
      </c>
    </row>
    <row r="24" spans="1:7" x14ac:dyDescent="0.25">
      <c r="A24" s="1">
        <v>44595</v>
      </c>
      <c r="B24">
        <v>190.01</v>
      </c>
      <c r="C24">
        <v>195</v>
      </c>
      <c r="D24">
        <v>195</v>
      </c>
      <c r="E24">
        <v>189.6</v>
      </c>
      <c r="F24" t="s">
        <v>324</v>
      </c>
      <c r="G24" s="2">
        <v>-1.0999999999999999E-2</v>
      </c>
    </row>
    <row r="25" spans="1:7" x14ac:dyDescent="0.25">
      <c r="A25" s="1">
        <v>44596</v>
      </c>
      <c r="B25">
        <v>189.59</v>
      </c>
      <c r="C25">
        <v>193</v>
      </c>
      <c r="D25">
        <v>193</v>
      </c>
      <c r="E25">
        <v>189.01</v>
      </c>
      <c r="F25" t="s">
        <v>330</v>
      </c>
      <c r="G25" s="2">
        <v>-2.2000000000000001E-3</v>
      </c>
    </row>
    <row r="26" spans="1:7" x14ac:dyDescent="0.25">
      <c r="A26" s="1">
        <v>44599</v>
      </c>
      <c r="B26">
        <v>186.34</v>
      </c>
      <c r="C26">
        <v>193</v>
      </c>
      <c r="D26">
        <v>193</v>
      </c>
      <c r="E26">
        <v>185.39</v>
      </c>
      <c r="F26" t="s">
        <v>499</v>
      </c>
      <c r="G26" s="2">
        <v>-1.7100000000000001E-2</v>
      </c>
    </row>
    <row r="27" spans="1:7" x14ac:dyDescent="0.25">
      <c r="A27" s="1">
        <v>44600</v>
      </c>
      <c r="B27">
        <v>186.81</v>
      </c>
      <c r="C27">
        <v>190</v>
      </c>
      <c r="D27">
        <v>190</v>
      </c>
      <c r="E27">
        <v>184.5</v>
      </c>
      <c r="F27" t="s">
        <v>197</v>
      </c>
      <c r="G27" s="2">
        <v>2.5000000000000001E-3</v>
      </c>
    </row>
    <row r="28" spans="1:7" x14ac:dyDescent="0.25">
      <c r="A28" s="1">
        <v>44601</v>
      </c>
      <c r="B28">
        <v>189.03</v>
      </c>
      <c r="C28">
        <v>199.85</v>
      </c>
      <c r="D28">
        <v>199.85</v>
      </c>
      <c r="E28">
        <v>187.1</v>
      </c>
      <c r="F28" t="s">
        <v>498</v>
      </c>
      <c r="G28" s="2">
        <v>1.1900000000000001E-2</v>
      </c>
    </row>
    <row r="29" spans="1:7" x14ac:dyDescent="0.25">
      <c r="A29" s="1">
        <v>44602</v>
      </c>
      <c r="B29">
        <v>190.11</v>
      </c>
      <c r="C29">
        <v>191.5</v>
      </c>
      <c r="D29">
        <v>191.5</v>
      </c>
      <c r="E29">
        <v>188.5</v>
      </c>
      <c r="F29" t="s">
        <v>353</v>
      </c>
      <c r="G29" s="2">
        <v>5.7000000000000002E-3</v>
      </c>
    </row>
    <row r="30" spans="1:7" x14ac:dyDescent="0.25">
      <c r="A30" s="1">
        <v>44603</v>
      </c>
      <c r="B30">
        <v>188</v>
      </c>
      <c r="C30">
        <v>192.5</v>
      </c>
      <c r="D30">
        <v>192.5</v>
      </c>
      <c r="E30">
        <v>187</v>
      </c>
      <c r="F30" t="s">
        <v>497</v>
      </c>
      <c r="G30" s="2">
        <v>-1.11E-2</v>
      </c>
    </row>
    <row r="31" spans="1:7" x14ac:dyDescent="0.25">
      <c r="A31" s="1">
        <v>44606</v>
      </c>
      <c r="B31">
        <v>182.59</v>
      </c>
      <c r="C31">
        <v>187.5</v>
      </c>
      <c r="D31">
        <v>187.5</v>
      </c>
      <c r="E31">
        <v>182.3</v>
      </c>
      <c r="F31" t="s">
        <v>496</v>
      </c>
      <c r="G31" s="2">
        <v>-2.8799999999999999E-2</v>
      </c>
    </row>
    <row r="32" spans="1:7" x14ac:dyDescent="0.25">
      <c r="A32" s="1">
        <v>44607</v>
      </c>
      <c r="B32">
        <v>187.59</v>
      </c>
      <c r="C32">
        <v>185</v>
      </c>
      <c r="D32">
        <v>187.88</v>
      </c>
      <c r="E32">
        <v>182.59</v>
      </c>
      <c r="F32" t="s">
        <v>364</v>
      </c>
      <c r="G32" s="2">
        <v>2.7400000000000001E-2</v>
      </c>
    </row>
    <row r="33" spans="1:7" x14ac:dyDescent="0.25">
      <c r="A33" s="1">
        <v>44608</v>
      </c>
      <c r="B33">
        <v>187.14</v>
      </c>
      <c r="C33">
        <v>190</v>
      </c>
      <c r="D33">
        <v>190</v>
      </c>
      <c r="E33">
        <v>186.45</v>
      </c>
      <c r="F33" t="s">
        <v>60</v>
      </c>
      <c r="G33" s="2">
        <v>-2.3999999999999998E-3</v>
      </c>
    </row>
    <row r="34" spans="1:7" x14ac:dyDescent="0.25">
      <c r="A34" s="1">
        <v>44609</v>
      </c>
      <c r="B34">
        <v>186.93</v>
      </c>
      <c r="C34">
        <v>190</v>
      </c>
      <c r="D34">
        <v>190</v>
      </c>
      <c r="E34">
        <v>186.17</v>
      </c>
      <c r="F34" t="s">
        <v>259</v>
      </c>
      <c r="G34" s="2">
        <v>-1.1000000000000001E-3</v>
      </c>
    </row>
    <row r="35" spans="1:7" x14ac:dyDescent="0.25">
      <c r="A35" s="1">
        <v>44610</v>
      </c>
      <c r="B35">
        <v>186.64</v>
      </c>
      <c r="C35">
        <v>183.3</v>
      </c>
      <c r="D35">
        <v>190</v>
      </c>
      <c r="E35">
        <v>183.3</v>
      </c>
      <c r="F35" t="s">
        <v>495</v>
      </c>
      <c r="G35" s="2">
        <v>-1.6000000000000001E-3</v>
      </c>
    </row>
    <row r="36" spans="1:7" x14ac:dyDescent="0.25">
      <c r="A36" s="1">
        <v>44613</v>
      </c>
      <c r="B36">
        <v>186.29</v>
      </c>
      <c r="C36">
        <v>190</v>
      </c>
      <c r="D36">
        <v>190</v>
      </c>
      <c r="E36">
        <v>184.69</v>
      </c>
      <c r="F36" t="s">
        <v>67</v>
      </c>
      <c r="G36" s="2">
        <v>-1.9E-3</v>
      </c>
    </row>
    <row r="37" spans="1:7" x14ac:dyDescent="0.25">
      <c r="A37" s="1">
        <v>44614</v>
      </c>
      <c r="B37">
        <v>185.27</v>
      </c>
      <c r="C37">
        <v>186</v>
      </c>
      <c r="D37">
        <v>186</v>
      </c>
      <c r="E37">
        <v>182.69</v>
      </c>
      <c r="F37" t="s">
        <v>470</v>
      </c>
      <c r="G37" s="2">
        <v>-5.4999999999999997E-3</v>
      </c>
    </row>
    <row r="38" spans="1:7" x14ac:dyDescent="0.25">
      <c r="A38" s="1">
        <v>44615</v>
      </c>
      <c r="B38">
        <v>185.05</v>
      </c>
      <c r="C38">
        <v>187.99</v>
      </c>
      <c r="D38">
        <v>187.99</v>
      </c>
      <c r="E38">
        <v>184.58</v>
      </c>
      <c r="F38" t="s">
        <v>399</v>
      </c>
      <c r="G38" s="2">
        <v>-1.1999999999999999E-3</v>
      </c>
    </row>
    <row r="39" spans="1:7" x14ac:dyDescent="0.25">
      <c r="A39" s="1">
        <v>44616</v>
      </c>
      <c r="B39">
        <v>178.36</v>
      </c>
      <c r="C39">
        <v>180.6</v>
      </c>
      <c r="D39">
        <v>189.95</v>
      </c>
      <c r="E39">
        <v>177</v>
      </c>
      <c r="F39" t="s">
        <v>494</v>
      </c>
      <c r="G39" s="2">
        <v>-3.6200000000000003E-2</v>
      </c>
    </row>
    <row r="40" spans="1:7" x14ac:dyDescent="0.25">
      <c r="A40" s="1">
        <v>44617</v>
      </c>
      <c r="B40">
        <v>180.85</v>
      </c>
      <c r="C40">
        <v>185</v>
      </c>
      <c r="D40">
        <v>185</v>
      </c>
      <c r="E40">
        <v>179</v>
      </c>
      <c r="F40" t="s">
        <v>92</v>
      </c>
      <c r="G40" s="2">
        <v>1.4E-2</v>
      </c>
    </row>
    <row r="41" spans="1:7" x14ac:dyDescent="0.25">
      <c r="A41" s="1">
        <v>44620</v>
      </c>
      <c r="B41">
        <v>181.84</v>
      </c>
      <c r="C41">
        <v>189.88</v>
      </c>
      <c r="D41">
        <v>189.88</v>
      </c>
      <c r="E41">
        <v>176.1</v>
      </c>
      <c r="F41" t="s">
        <v>90</v>
      </c>
      <c r="G41" s="2">
        <v>5.4999999999999997E-3</v>
      </c>
    </row>
    <row r="42" spans="1:7" x14ac:dyDescent="0.25">
      <c r="A42" s="1">
        <v>44622</v>
      </c>
      <c r="B42">
        <v>180.1</v>
      </c>
      <c r="C42">
        <v>185</v>
      </c>
      <c r="D42">
        <v>185</v>
      </c>
      <c r="E42">
        <v>178.3</v>
      </c>
      <c r="F42" t="s">
        <v>493</v>
      </c>
      <c r="G42" s="2">
        <v>-9.5999999999999992E-3</v>
      </c>
    </row>
    <row r="43" spans="1:7" x14ac:dyDescent="0.25">
      <c r="A43" s="1">
        <v>44623</v>
      </c>
      <c r="B43">
        <v>178.86</v>
      </c>
      <c r="C43">
        <v>184.9</v>
      </c>
      <c r="D43">
        <v>184.9</v>
      </c>
      <c r="E43">
        <v>178.3</v>
      </c>
      <c r="F43" t="s">
        <v>205</v>
      </c>
      <c r="G43" s="2">
        <v>-6.8999999999999999E-3</v>
      </c>
    </row>
    <row r="44" spans="1:7" x14ac:dyDescent="0.25">
      <c r="A44" s="1">
        <v>44624</v>
      </c>
      <c r="B44">
        <v>176.26</v>
      </c>
      <c r="C44">
        <v>178.48</v>
      </c>
      <c r="D44">
        <v>178.48</v>
      </c>
      <c r="E44">
        <v>175.06</v>
      </c>
      <c r="F44" t="s">
        <v>492</v>
      </c>
      <c r="G44" s="2">
        <v>-1.4500000000000001E-2</v>
      </c>
    </row>
    <row r="45" spans="1:7" x14ac:dyDescent="0.25">
      <c r="A45" s="1">
        <v>44627</v>
      </c>
      <c r="B45">
        <v>172.33</v>
      </c>
      <c r="C45">
        <v>176.9</v>
      </c>
      <c r="D45">
        <v>176.9</v>
      </c>
      <c r="E45">
        <v>171.25</v>
      </c>
      <c r="F45" t="s">
        <v>491</v>
      </c>
      <c r="G45" s="2">
        <v>-2.23E-2</v>
      </c>
    </row>
    <row r="46" spans="1:7" x14ac:dyDescent="0.25">
      <c r="A46" s="1">
        <v>44628</v>
      </c>
      <c r="B46">
        <v>173.4</v>
      </c>
      <c r="C46">
        <v>177.55</v>
      </c>
      <c r="D46">
        <v>177.55</v>
      </c>
      <c r="E46">
        <v>170.26</v>
      </c>
      <c r="F46" t="s">
        <v>169</v>
      </c>
      <c r="G46" s="2">
        <v>6.1999999999999998E-3</v>
      </c>
    </row>
    <row r="47" spans="1:7" x14ac:dyDescent="0.25">
      <c r="A47" s="1">
        <v>44629</v>
      </c>
      <c r="B47">
        <v>176.98</v>
      </c>
      <c r="C47">
        <v>180</v>
      </c>
      <c r="D47">
        <v>180</v>
      </c>
      <c r="E47">
        <v>173.15</v>
      </c>
      <c r="F47" t="s">
        <v>11</v>
      </c>
      <c r="G47" s="2">
        <v>2.06E-2</v>
      </c>
    </row>
    <row r="48" spans="1:7" x14ac:dyDescent="0.25">
      <c r="A48" s="1">
        <v>44630</v>
      </c>
      <c r="B48">
        <v>179.65</v>
      </c>
      <c r="C48">
        <v>177.25</v>
      </c>
      <c r="D48">
        <v>183.9</v>
      </c>
      <c r="E48">
        <v>177.25</v>
      </c>
      <c r="F48" t="s">
        <v>121</v>
      </c>
      <c r="G48" s="2">
        <v>1.5100000000000001E-2</v>
      </c>
    </row>
    <row r="49" spans="1:7" x14ac:dyDescent="0.25">
      <c r="A49" s="1">
        <v>44631</v>
      </c>
      <c r="B49">
        <v>179.98</v>
      </c>
      <c r="C49">
        <v>183</v>
      </c>
      <c r="D49">
        <v>183</v>
      </c>
      <c r="E49">
        <v>177.16</v>
      </c>
      <c r="F49" t="s">
        <v>88</v>
      </c>
      <c r="G49" s="2">
        <v>1.8E-3</v>
      </c>
    </row>
    <row r="50" spans="1:7" x14ac:dyDescent="0.25">
      <c r="A50" s="1">
        <v>44634</v>
      </c>
      <c r="B50">
        <v>182.61</v>
      </c>
      <c r="C50">
        <v>182</v>
      </c>
      <c r="D50">
        <v>182.99</v>
      </c>
      <c r="E50">
        <v>178.35</v>
      </c>
      <c r="F50" t="s">
        <v>349</v>
      </c>
      <c r="G50" s="2">
        <v>1.46E-2</v>
      </c>
    </row>
    <row r="51" spans="1:7" x14ac:dyDescent="0.25">
      <c r="A51" s="1">
        <v>44635</v>
      </c>
      <c r="B51">
        <v>180.6</v>
      </c>
      <c r="C51">
        <v>185</v>
      </c>
      <c r="D51">
        <v>185</v>
      </c>
      <c r="E51">
        <v>179.51</v>
      </c>
      <c r="F51" t="s">
        <v>213</v>
      </c>
      <c r="G51" s="2">
        <v>-1.0999999999999999E-2</v>
      </c>
    </row>
    <row r="52" spans="1:7" x14ac:dyDescent="0.25">
      <c r="A52" s="1">
        <v>44636</v>
      </c>
      <c r="B52">
        <v>183.66</v>
      </c>
      <c r="C52">
        <v>183.6</v>
      </c>
      <c r="D52">
        <v>183.8</v>
      </c>
      <c r="E52">
        <v>181.8</v>
      </c>
      <c r="F52" t="s">
        <v>440</v>
      </c>
      <c r="G52" s="2">
        <v>1.6899999999999998E-2</v>
      </c>
    </row>
    <row r="53" spans="1:7" x14ac:dyDescent="0.25">
      <c r="A53" s="1">
        <v>44637</v>
      </c>
      <c r="B53">
        <v>186.71</v>
      </c>
      <c r="C53">
        <v>188</v>
      </c>
      <c r="D53">
        <v>188</v>
      </c>
      <c r="E53">
        <v>185.2</v>
      </c>
      <c r="F53" t="s">
        <v>307</v>
      </c>
      <c r="G53" s="2">
        <v>1.66E-2</v>
      </c>
    </row>
    <row r="54" spans="1:7" x14ac:dyDescent="0.25">
      <c r="A54" s="1">
        <v>44641</v>
      </c>
      <c r="B54">
        <v>185.38</v>
      </c>
      <c r="C54">
        <v>190</v>
      </c>
      <c r="D54">
        <v>190</v>
      </c>
      <c r="E54">
        <v>182</v>
      </c>
      <c r="F54" t="s">
        <v>352</v>
      </c>
      <c r="G54" s="2">
        <v>-7.1000000000000004E-3</v>
      </c>
    </row>
    <row r="55" spans="1:7" x14ac:dyDescent="0.25">
      <c r="A55" s="1">
        <v>44642</v>
      </c>
      <c r="B55">
        <v>187.34</v>
      </c>
      <c r="C55">
        <v>189</v>
      </c>
      <c r="D55">
        <v>193.75</v>
      </c>
      <c r="E55">
        <v>184.2</v>
      </c>
      <c r="F55" t="s">
        <v>283</v>
      </c>
      <c r="G55" s="2">
        <v>1.06E-2</v>
      </c>
    </row>
    <row r="56" spans="1:7" x14ac:dyDescent="0.25">
      <c r="A56" s="1">
        <v>44643</v>
      </c>
      <c r="B56">
        <v>186.34</v>
      </c>
      <c r="C56">
        <v>190</v>
      </c>
      <c r="D56">
        <v>190</v>
      </c>
      <c r="E56">
        <v>185</v>
      </c>
      <c r="F56" t="s">
        <v>360</v>
      </c>
      <c r="G56" s="2">
        <v>-5.3E-3</v>
      </c>
    </row>
    <row r="57" spans="1:7" x14ac:dyDescent="0.25">
      <c r="A57" s="1">
        <v>44644</v>
      </c>
      <c r="B57">
        <v>186.09</v>
      </c>
      <c r="C57">
        <v>198</v>
      </c>
      <c r="D57">
        <v>198</v>
      </c>
      <c r="E57">
        <v>177.8</v>
      </c>
      <c r="F57" t="s">
        <v>201</v>
      </c>
      <c r="G57" s="2">
        <v>-1.2999999999999999E-3</v>
      </c>
    </row>
    <row r="58" spans="1:7" x14ac:dyDescent="0.25">
      <c r="A58" s="1">
        <v>44645</v>
      </c>
      <c r="B58">
        <v>185.82</v>
      </c>
      <c r="C58">
        <v>187.12</v>
      </c>
      <c r="D58">
        <v>187.12</v>
      </c>
      <c r="E58">
        <v>185</v>
      </c>
      <c r="F58" t="s">
        <v>468</v>
      </c>
      <c r="G58" s="2">
        <v>-1.5E-3</v>
      </c>
    </row>
    <row r="59" spans="1:7" x14ac:dyDescent="0.25">
      <c r="A59" s="1">
        <v>44648</v>
      </c>
      <c r="B59">
        <v>186.32</v>
      </c>
      <c r="C59">
        <v>188.2</v>
      </c>
      <c r="D59">
        <v>188.2</v>
      </c>
      <c r="E59">
        <v>184.3</v>
      </c>
      <c r="F59" t="s">
        <v>260</v>
      </c>
      <c r="G59" s="2">
        <v>2.7000000000000001E-3</v>
      </c>
    </row>
    <row r="60" spans="1:7" x14ac:dyDescent="0.25">
      <c r="A60" s="1">
        <v>44649</v>
      </c>
      <c r="B60">
        <v>187.22</v>
      </c>
      <c r="C60">
        <v>190</v>
      </c>
      <c r="D60">
        <v>190</v>
      </c>
      <c r="E60">
        <v>184.15</v>
      </c>
      <c r="F60" t="s">
        <v>358</v>
      </c>
      <c r="G60" s="2">
        <v>4.7999999999999996E-3</v>
      </c>
    </row>
    <row r="61" spans="1:7" x14ac:dyDescent="0.25">
      <c r="A61" s="1">
        <v>44650</v>
      </c>
      <c r="B61">
        <v>188.91</v>
      </c>
      <c r="C61">
        <v>191.5</v>
      </c>
      <c r="D61">
        <v>191.5</v>
      </c>
      <c r="E61">
        <v>187.75</v>
      </c>
      <c r="F61" t="s">
        <v>423</v>
      </c>
      <c r="G61" s="2">
        <v>8.9999999999999993E-3</v>
      </c>
    </row>
    <row r="62" spans="1:7" x14ac:dyDescent="0.25">
      <c r="A62" s="1">
        <v>44651</v>
      </c>
      <c r="B62">
        <v>188.87</v>
      </c>
      <c r="C62">
        <v>190.5</v>
      </c>
      <c r="D62">
        <v>190.5</v>
      </c>
      <c r="E62">
        <v>188.15</v>
      </c>
      <c r="F62" t="s">
        <v>358</v>
      </c>
      <c r="G62" s="2">
        <v>-2.0000000000000001E-4</v>
      </c>
    </row>
    <row r="63" spans="1:7" x14ac:dyDescent="0.25">
      <c r="A63" s="1">
        <v>44652</v>
      </c>
      <c r="B63">
        <v>190.47</v>
      </c>
      <c r="C63">
        <v>189.94</v>
      </c>
      <c r="D63">
        <v>190.96</v>
      </c>
      <c r="E63">
        <v>185</v>
      </c>
      <c r="F63" t="s">
        <v>490</v>
      </c>
      <c r="G63" s="2">
        <v>8.5000000000000006E-3</v>
      </c>
    </row>
    <row r="64" spans="1:7" x14ac:dyDescent="0.25">
      <c r="A64" s="1">
        <v>44655</v>
      </c>
      <c r="B64">
        <v>195.19</v>
      </c>
      <c r="C64">
        <v>190.5</v>
      </c>
      <c r="D64">
        <v>195.35</v>
      </c>
      <c r="E64">
        <v>190.5</v>
      </c>
      <c r="F64" t="s">
        <v>489</v>
      </c>
      <c r="G64" s="2">
        <v>2.4799999999999999E-2</v>
      </c>
    </row>
    <row r="65" spans="1:7" x14ac:dyDescent="0.25">
      <c r="A65" s="1">
        <v>44656</v>
      </c>
      <c r="B65">
        <v>194.55</v>
      </c>
      <c r="C65">
        <v>196.74</v>
      </c>
      <c r="D65">
        <v>197.15</v>
      </c>
      <c r="E65">
        <v>194.1</v>
      </c>
      <c r="F65" t="s">
        <v>488</v>
      </c>
      <c r="G65" s="2">
        <v>-3.3E-3</v>
      </c>
    </row>
    <row r="66" spans="1:7" x14ac:dyDescent="0.25">
      <c r="A66" s="1">
        <v>44657</v>
      </c>
      <c r="B66">
        <v>193</v>
      </c>
      <c r="C66">
        <v>194.24</v>
      </c>
      <c r="D66">
        <v>194.24</v>
      </c>
      <c r="E66">
        <v>192.7</v>
      </c>
      <c r="F66" t="s">
        <v>426</v>
      </c>
      <c r="G66" s="2">
        <v>-8.0000000000000002E-3</v>
      </c>
    </row>
    <row r="67" spans="1:7" x14ac:dyDescent="0.25">
      <c r="A67" s="1">
        <v>44658</v>
      </c>
      <c r="B67">
        <v>191.26</v>
      </c>
      <c r="C67">
        <v>193</v>
      </c>
      <c r="D67">
        <v>193</v>
      </c>
      <c r="E67">
        <v>191.06</v>
      </c>
      <c r="F67" t="s">
        <v>416</v>
      </c>
      <c r="G67" s="2">
        <v>-8.9999999999999993E-3</v>
      </c>
    </row>
    <row r="68" spans="1:7" x14ac:dyDescent="0.25">
      <c r="A68" s="1">
        <v>44659</v>
      </c>
      <c r="B68">
        <v>192.76</v>
      </c>
      <c r="C68">
        <v>195</v>
      </c>
      <c r="D68">
        <v>195</v>
      </c>
      <c r="E68">
        <v>189.13</v>
      </c>
      <c r="F68" t="s">
        <v>415</v>
      </c>
      <c r="G68" s="2">
        <v>7.7999999999999996E-3</v>
      </c>
    </row>
    <row r="69" spans="1:7" x14ac:dyDescent="0.25">
      <c r="A69" s="1">
        <v>44662</v>
      </c>
      <c r="B69">
        <v>191.67</v>
      </c>
      <c r="C69">
        <v>193.54</v>
      </c>
      <c r="D69">
        <v>193.54</v>
      </c>
      <c r="E69">
        <v>191</v>
      </c>
      <c r="F69" t="s">
        <v>32</v>
      </c>
      <c r="G69" s="2">
        <v>-5.7000000000000002E-3</v>
      </c>
    </row>
    <row r="70" spans="1:7" x14ac:dyDescent="0.25">
      <c r="A70" s="1">
        <v>44663</v>
      </c>
      <c r="B70">
        <v>190.42</v>
      </c>
      <c r="C70">
        <v>189.86</v>
      </c>
      <c r="D70">
        <v>210</v>
      </c>
      <c r="E70">
        <v>189.2</v>
      </c>
      <c r="F70" t="s">
        <v>178</v>
      </c>
      <c r="G70" s="2">
        <v>-6.4999999999999997E-3</v>
      </c>
    </row>
    <row r="71" spans="1:7" x14ac:dyDescent="0.25">
      <c r="A71" s="1">
        <v>44664</v>
      </c>
      <c r="B71">
        <v>189.54</v>
      </c>
      <c r="C71">
        <v>195</v>
      </c>
      <c r="D71">
        <v>195</v>
      </c>
      <c r="E71">
        <v>189.33</v>
      </c>
      <c r="F71" t="s">
        <v>277</v>
      </c>
      <c r="G71" s="2">
        <v>-4.5999999999999999E-3</v>
      </c>
    </row>
    <row r="72" spans="1:7" x14ac:dyDescent="0.25">
      <c r="A72" s="1">
        <v>44669</v>
      </c>
      <c r="B72">
        <v>186.23</v>
      </c>
      <c r="C72">
        <v>188.55</v>
      </c>
      <c r="D72">
        <v>188.55</v>
      </c>
      <c r="E72">
        <v>185.25</v>
      </c>
      <c r="F72" t="s">
        <v>487</v>
      </c>
      <c r="G72" s="2">
        <v>-1.7500000000000002E-2</v>
      </c>
    </row>
    <row r="73" spans="1:7" x14ac:dyDescent="0.25">
      <c r="A73" s="1">
        <v>44670</v>
      </c>
      <c r="B73">
        <v>183.68</v>
      </c>
      <c r="C73">
        <v>185</v>
      </c>
      <c r="D73">
        <v>187.7</v>
      </c>
      <c r="E73">
        <v>182.4</v>
      </c>
      <c r="F73" t="s">
        <v>272</v>
      </c>
      <c r="G73" s="2">
        <v>-1.37E-2</v>
      </c>
    </row>
    <row r="74" spans="1:7" x14ac:dyDescent="0.25">
      <c r="A74" s="1">
        <v>44671</v>
      </c>
      <c r="B74">
        <v>185.86</v>
      </c>
      <c r="C74">
        <v>191.89</v>
      </c>
      <c r="D74">
        <v>191.89</v>
      </c>
      <c r="E74">
        <v>182.2</v>
      </c>
      <c r="F74" t="s">
        <v>479</v>
      </c>
      <c r="G74" s="2">
        <v>1.1900000000000001E-2</v>
      </c>
    </row>
    <row r="75" spans="1:7" x14ac:dyDescent="0.25">
      <c r="A75" s="1">
        <v>44672</v>
      </c>
      <c r="B75">
        <v>188.1</v>
      </c>
      <c r="C75">
        <v>209.55</v>
      </c>
      <c r="D75">
        <v>209.55</v>
      </c>
      <c r="E75">
        <v>184.41</v>
      </c>
      <c r="F75" t="s">
        <v>280</v>
      </c>
      <c r="G75" s="2">
        <v>1.21E-2</v>
      </c>
    </row>
    <row r="76" spans="1:7" x14ac:dyDescent="0.25">
      <c r="A76" s="1">
        <v>44673</v>
      </c>
      <c r="B76">
        <v>186.09</v>
      </c>
      <c r="C76">
        <v>188.24</v>
      </c>
      <c r="D76">
        <v>188.24</v>
      </c>
      <c r="E76">
        <v>184.75</v>
      </c>
      <c r="F76" t="s">
        <v>486</v>
      </c>
      <c r="G76" s="2">
        <v>-1.0699999999999999E-2</v>
      </c>
    </row>
    <row r="77" spans="1:7" x14ac:dyDescent="0.25">
      <c r="A77" s="1">
        <v>44676</v>
      </c>
      <c r="B77">
        <v>183.86</v>
      </c>
      <c r="C77">
        <v>186.69</v>
      </c>
      <c r="D77">
        <v>186.69</v>
      </c>
      <c r="E77">
        <v>183.25</v>
      </c>
      <c r="F77" t="s">
        <v>322</v>
      </c>
      <c r="G77" s="2">
        <v>-1.2E-2</v>
      </c>
    </row>
    <row r="78" spans="1:7" x14ac:dyDescent="0.25">
      <c r="A78" s="1">
        <v>44677</v>
      </c>
      <c r="B78">
        <v>186.11</v>
      </c>
      <c r="C78">
        <v>194.88</v>
      </c>
      <c r="D78">
        <v>194.88</v>
      </c>
      <c r="E78">
        <v>184.47</v>
      </c>
      <c r="F78" t="s">
        <v>485</v>
      </c>
      <c r="G78" s="2">
        <v>1.2200000000000001E-2</v>
      </c>
    </row>
    <row r="79" spans="1:7" x14ac:dyDescent="0.25">
      <c r="A79" s="1">
        <v>44678</v>
      </c>
      <c r="B79">
        <v>184.78</v>
      </c>
      <c r="C79">
        <v>200</v>
      </c>
      <c r="D79">
        <v>200</v>
      </c>
      <c r="E79">
        <v>183.61</v>
      </c>
      <c r="F79" t="s">
        <v>67</v>
      </c>
      <c r="G79" s="2">
        <v>-7.1000000000000004E-3</v>
      </c>
    </row>
    <row r="80" spans="1:7" x14ac:dyDescent="0.25">
      <c r="A80" s="1">
        <v>44679</v>
      </c>
      <c r="B80">
        <v>186.41</v>
      </c>
      <c r="C80">
        <v>188.5</v>
      </c>
      <c r="D80">
        <v>194.88</v>
      </c>
      <c r="E80">
        <v>184.8</v>
      </c>
      <c r="F80" t="s">
        <v>407</v>
      </c>
      <c r="G80" s="2">
        <v>8.8000000000000005E-3</v>
      </c>
    </row>
    <row r="81" spans="1:7" x14ac:dyDescent="0.25">
      <c r="A81" s="1">
        <v>44680</v>
      </c>
      <c r="B81">
        <v>185.43</v>
      </c>
      <c r="C81">
        <v>192.75</v>
      </c>
      <c r="D81">
        <v>192.75</v>
      </c>
      <c r="E81">
        <v>184.8</v>
      </c>
      <c r="F81" t="s">
        <v>484</v>
      </c>
      <c r="G81" s="2">
        <v>-5.3E-3</v>
      </c>
    </row>
    <row r="82" spans="1:7" x14ac:dyDescent="0.25">
      <c r="A82" s="1">
        <v>44683</v>
      </c>
      <c r="B82">
        <v>185.12</v>
      </c>
      <c r="C82">
        <v>176.25</v>
      </c>
      <c r="D82">
        <v>185.25</v>
      </c>
      <c r="E82">
        <v>176.25</v>
      </c>
      <c r="F82" t="s">
        <v>413</v>
      </c>
      <c r="G82" s="2">
        <v>-1.6999999999999999E-3</v>
      </c>
    </row>
    <row r="83" spans="1:7" x14ac:dyDescent="0.25">
      <c r="A83" s="1">
        <v>44685</v>
      </c>
      <c r="B83">
        <v>181.05</v>
      </c>
      <c r="C83">
        <v>193.98</v>
      </c>
      <c r="D83">
        <v>193.98</v>
      </c>
      <c r="E83">
        <v>180.5</v>
      </c>
      <c r="F83" t="s">
        <v>483</v>
      </c>
      <c r="G83" s="2">
        <v>-2.1999999999999999E-2</v>
      </c>
    </row>
    <row r="84" spans="1:7" x14ac:dyDescent="0.25">
      <c r="A84" s="1">
        <v>44686</v>
      </c>
      <c r="B84">
        <v>181.01</v>
      </c>
      <c r="C84">
        <v>194.48</v>
      </c>
      <c r="D84">
        <v>194.48</v>
      </c>
      <c r="E84">
        <v>180.7</v>
      </c>
      <c r="F84" t="s">
        <v>212</v>
      </c>
      <c r="G84" s="2">
        <v>-2.0000000000000001E-4</v>
      </c>
    </row>
    <row r="85" spans="1:7" x14ac:dyDescent="0.25">
      <c r="A85" s="1">
        <v>44687</v>
      </c>
      <c r="B85">
        <v>177.94</v>
      </c>
      <c r="C85">
        <v>180.49</v>
      </c>
      <c r="D85">
        <v>180.49</v>
      </c>
      <c r="E85">
        <v>177.35</v>
      </c>
      <c r="F85" t="s">
        <v>150</v>
      </c>
      <c r="G85" s="2">
        <v>-1.7000000000000001E-2</v>
      </c>
    </row>
    <row r="86" spans="1:7" x14ac:dyDescent="0.25">
      <c r="A86" s="1">
        <v>44690</v>
      </c>
      <c r="B86">
        <v>176.95</v>
      </c>
      <c r="C86">
        <v>171</v>
      </c>
      <c r="D86">
        <v>184.88</v>
      </c>
      <c r="E86">
        <v>171</v>
      </c>
      <c r="F86" t="s">
        <v>469</v>
      </c>
      <c r="G86" s="2">
        <v>-5.5999999999999999E-3</v>
      </c>
    </row>
    <row r="87" spans="1:7" x14ac:dyDescent="0.25">
      <c r="A87" s="1">
        <v>44691</v>
      </c>
      <c r="B87">
        <v>176.16</v>
      </c>
      <c r="C87">
        <v>184.6</v>
      </c>
      <c r="D87">
        <v>184.6</v>
      </c>
      <c r="E87">
        <v>175.2</v>
      </c>
      <c r="F87" t="s">
        <v>284</v>
      </c>
      <c r="G87" s="2">
        <v>-4.4999999999999997E-3</v>
      </c>
    </row>
    <row r="88" spans="1:7" x14ac:dyDescent="0.25">
      <c r="A88" s="1">
        <v>44692</v>
      </c>
      <c r="B88">
        <v>175.34</v>
      </c>
      <c r="C88">
        <v>153.30000000000001</v>
      </c>
      <c r="D88">
        <v>181.9</v>
      </c>
      <c r="E88">
        <v>153.30000000000001</v>
      </c>
      <c r="F88" t="s">
        <v>93</v>
      </c>
      <c r="G88" s="2">
        <v>-4.7000000000000002E-3</v>
      </c>
    </row>
    <row r="89" spans="1:7" x14ac:dyDescent="0.25">
      <c r="A89" s="1">
        <v>44693</v>
      </c>
      <c r="B89">
        <v>171.72</v>
      </c>
      <c r="C89">
        <v>174.99</v>
      </c>
      <c r="D89">
        <v>175</v>
      </c>
      <c r="E89">
        <v>170.96</v>
      </c>
      <c r="F89" t="s">
        <v>482</v>
      </c>
      <c r="G89" s="2">
        <v>-2.06E-2</v>
      </c>
    </row>
    <row r="90" spans="1:7" x14ac:dyDescent="0.25">
      <c r="A90" s="1">
        <v>44694</v>
      </c>
      <c r="B90">
        <v>171.4</v>
      </c>
      <c r="C90">
        <v>178.9</v>
      </c>
      <c r="D90">
        <v>178.9</v>
      </c>
      <c r="E90">
        <v>171.01</v>
      </c>
      <c r="F90" t="s">
        <v>481</v>
      </c>
      <c r="G90" s="2">
        <v>-1.9E-3</v>
      </c>
    </row>
    <row r="91" spans="1:7" x14ac:dyDescent="0.25">
      <c r="A91" s="1">
        <v>44697</v>
      </c>
      <c r="B91">
        <v>172.13</v>
      </c>
      <c r="C91">
        <v>176.8</v>
      </c>
      <c r="D91">
        <v>176.8</v>
      </c>
      <c r="E91">
        <v>171</v>
      </c>
      <c r="F91" t="s">
        <v>177</v>
      </c>
      <c r="G91" s="2">
        <v>4.3E-3</v>
      </c>
    </row>
    <row r="92" spans="1:7" x14ac:dyDescent="0.25">
      <c r="A92" s="1">
        <v>44698</v>
      </c>
      <c r="B92">
        <v>176.44</v>
      </c>
      <c r="C92">
        <v>176.9</v>
      </c>
      <c r="D92">
        <v>176.9</v>
      </c>
      <c r="E92">
        <v>171.01</v>
      </c>
      <c r="F92" t="s">
        <v>268</v>
      </c>
      <c r="G92" s="2">
        <v>2.5000000000000001E-2</v>
      </c>
    </row>
    <row r="93" spans="1:7" x14ac:dyDescent="0.25">
      <c r="A93" s="1">
        <v>44699</v>
      </c>
      <c r="B93">
        <v>176.05</v>
      </c>
      <c r="C93">
        <v>178.99</v>
      </c>
      <c r="D93">
        <v>178.99</v>
      </c>
      <c r="E93">
        <v>175.21</v>
      </c>
      <c r="F93" t="s">
        <v>207</v>
      </c>
      <c r="G93" s="2">
        <v>-2.2000000000000001E-3</v>
      </c>
    </row>
    <row r="94" spans="1:7" x14ac:dyDescent="0.25">
      <c r="A94" s="1">
        <v>44700</v>
      </c>
      <c r="B94">
        <v>171.7</v>
      </c>
      <c r="C94">
        <v>175.99</v>
      </c>
      <c r="D94">
        <v>175.99</v>
      </c>
      <c r="E94">
        <v>171.5</v>
      </c>
      <c r="F94" t="s">
        <v>480</v>
      </c>
      <c r="G94" s="2">
        <v>-2.47E-2</v>
      </c>
    </row>
    <row r="95" spans="1:7" x14ac:dyDescent="0.25">
      <c r="A95" s="1">
        <v>44701</v>
      </c>
      <c r="B95">
        <v>175.92</v>
      </c>
      <c r="C95">
        <v>176.99</v>
      </c>
      <c r="D95">
        <v>176.99</v>
      </c>
      <c r="E95">
        <v>172.01</v>
      </c>
      <c r="F95" t="s">
        <v>305</v>
      </c>
      <c r="G95" s="2">
        <v>2.46E-2</v>
      </c>
    </row>
    <row r="96" spans="1:7" x14ac:dyDescent="0.25">
      <c r="A96" s="1">
        <v>44704</v>
      </c>
      <c r="B96">
        <v>175.53</v>
      </c>
      <c r="C96">
        <v>178.99</v>
      </c>
      <c r="D96">
        <v>178.99</v>
      </c>
      <c r="E96">
        <v>174.9</v>
      </c>
      <c r="F96" t="s">
        <v>82</v>
      </c>
      <c r="G96" s="2">
        <v>-2.2000000000000001E-3</v>
      </c>
    </row>
    <row r="97" spans="1:7" x14ac:dyDescent="0.25">
      <c r="A97" s="1">
        <v>44705</v>
      </c>
      <c r="B97">
        <v>175.09</v>
      </c>
      <c r="C97">
        <v>177.99</v>
      </c>
      <c r="D97">
        <v>177.99</v>
      </c>
      <c r="E97">
        <v>174.26</v>
      </c>
      <c r="F97" t="s">
        <v>450</v>
      </c>
      <c r="G97" s="2">
        <v>-2.5000000000000001E-3</v>
      </c>
    </row>
    <row r="98" spans="1:7" x14ac:dyDescent="0.25">
      <c r="A98" s="1">
        <v>44706</v>
      </c>
      <c r="B98">
        <v>174.13</v>
      </c>
      <c r="C98">
        <v>176.8</v>
      </c>
      <c r="D98">
        <v>176.8</v>
      </c>
      <c r="E98">
        <v>173.26</v>
      </c>
      <c r="F98" t="s">
        <v>72</v>
      </c>
      <c r="G98" s="2">
        <v>-5.4999999999999997E-3</v>
      </c>
    </row>
    <row r="99" spans="1:7" x14ac:dyDescent="0.25">
      <c r="A99" s="1">
        <v>44707</v>
      </c>
      <c r="B99">
        <v>175.57</v>
      </c>
      <c r="C99">
        <v>176.7</v>
      </c>
      <c r="D99">
        <v>176.7</v>
      </c>
      <c r="E99">
        <v>173</v>
      </c>
      <c r="F99" t="s">
        <v>42</v>
      </c>
      <c r="G99" s="2">
        <v>8.3000000000000001E-3</v>
      </c>
    </row>
    <row r="100" spans="1:7" x14ac:dyDescent="0.25">
      <c r="A100" s="1">
        <v>44708</v>
      </c>
      <c r="B100">
        <v>177.1</v>
      </c>
      <c r="C100">
        <v>179.8</v>
      </c>
      <c r="D100">
        <v>179.8</v>
      </c>
      <c r="E100">
        <v>175.15</v>
      </c>
      <c r="F100" t="s">
        <v>60</v>
      </c>
      <c r="G100" s="2">
        <v>8.6999999999999994E-3</v>
      </c>
    </row>
    <row r="101" spans="1:7" x14ac:dyDescent="0.25">
      <c r="A101" s="1">
        <v>44711</v>
      </c>
      <c r="B101">
        <v>180.43</v>
      </c>
      <c r="C101">
        <v>182.9</v>
      </c>
      <c r="D101">
        <v>182.9</v>
      </c>
      <c r="E101">
        <v>177.55</v>
      </c>
      <c r="F101" t="s">
        <v>12</v>
      </c>
      <c r="G101" s="2">
        <v>1.8800000000000001E-2</v>
      </c>
    </row>
    <row r="102" spans="1:7" x14ac:dyDescent="0.25">
      <c r="A102" s="1">
        <v>44712</v>
      </c>
      <c r="B102">
        <v>179.87</v>
      </c>
      <c r="C102">
        <v>180.99</v>
      </c>
      <c r="D102">
        <v>180.99</v>
      </c>
      <c r="E102">
        <v>177.25</v>
      </c>
      <c r="F102" t="s">
        <v>466</v>
      </c>
      <c r="G102" s="2">
        <v>-3.0999999999999999E-3</v>
      </c>
    </row>
    <row r="103" spans="1:7" x14ac:dyDescent="0.25">
      <c r="A103" s="1">
        <v>44713</v>
      </c>
      <c r="B103">
        <v>179.59</v>
      </c>
      <c r="C103">
        <v>180.19</v>
      </c>
      <c r="D103">
        <v>180.7</v>
      </c>
      <c r="E103">
        <v>178.55</v>
      </c>
      <c r="F103" t="s">
        <v>269</v>
      </c>
      <c r="G103" s="2">
        <v>-1.6000000000000001E-3</v>
      </c>
    </row>
    <row r="104" spans="1:7" x14ac:dyDescent="0.25">
      <c r="A104" s="1">
        <v>44714</v>
      </c>
      <c r="B104">
        <v>180.68</v>
      </c>
      <c r="C104">
        <v>180.99</v>
      </c>
      <c r="D104">
        <v>180.99</v>
      </c>
      <c r="E104">
        <v>178</v>
      </c>
      <c r="F104" t="s">
        <v>479</v>
      </c>
      <c r="G104" s="2">
        <v>6.1000000000000004E-3</v>
      </c>
    </row>
    <row r="105" spans="1:7" x14ac:dyDescent="0.25">
      <c r="A105" s="1">
        <v>44715</v>
      </c>
      <c r="B105">
        <v>180.21</v>
      </c>
      <c r="C105">
        <v>183.5</v>
      </c>
      <c r="D105">
        <v>184.99</v>
      </c>
      <c r="E105">
        <v>180</v>
      </c>
      <c r="F105" t="s">
        <v>282</v>
      </c>
      <c r="G105" s="2">
        <v>-2.5999999999999999E-3</v>
      </c>
    </row>
    <row r="106" spans="1:7" x14ac:dyDescent="0.25">
      <c r="A106" s="1">
        <v>44718</v>
      </c>
      <c r="B106">
        <v>180.15</v>
      </c>
      <c r="C106">
        <v>181.99</v>
      </c>
      <c r="D106">
        <v>181.99</v>
      </c>
      <c r="E106">
        <v>176.25</v>
      </c>
      <c r="F106" t="s">
        <v>67</v>
      </c>
      <c r="G106" s="2">
        <v>-2.9999999999999997E-4</v>
      </c>
    </row>
    <row r="107" spans="1:7" x14ac:dyDescent="0.25">
      <c r="A107" s="1">
        <v>44719</v>
      </c>
      <c r="B107">
        <v>178.56</v>
      </c>
      <c r="C107">
        <v>181.88</v>
      </c>
      <c r="D107">
        <v>181.88</v>
      </c>
      <c r="E107">
        <v>177.25</v>
      </c>
      <c r="F107" t="s">
        <v>37</v>
      </c>
      <c r="G107" s="2">
        <v>-8.8000000000000005E-3</v>
      </c>
    </row>
    <row r="108" spans="1:7" x14ac:dyDescent="0.25">
      <c r="A108" s="1">
        <v>44720</v>
      </c>
      <c r="B108">
        <v>178.08</v>
      </c>
      <c r="C108">
        <v>181.86</v>
      </c>
      <c r="D108">
        <v>181.86</v>
      </c>
      <c r="E108">
        <v>177.5</v>
      </c>
      <c r="F108" t="s">
        <v>312</v>
      </c>
      <c r="G108" s="2">
        <v>-2.7000000000000001E-3</v>
      </c>
    </row>
    <row r="109" spans="1:7" x14ac:dyDescent="0.25">
      <c r="A109" s="1">
        <v>44721</v>
      </c>
      <c r="B109">
        <v>179.4</v>
      </c>
      <c r="C109">
        <v>179.99</v>
      </c>
      <c r="D109">
        <v>179.99</v>
      </c>
      <c r="E109">
        <v>176.33</v>
      </c>
      <c r="F109" t="s">
        <v>376</v>
      </c>
      <c r="G109" s="2">
        <v>7.4000000000000003E-3</v>
      </c>
    </row>
    <row r="110" spans="1:7" x14ac:dyDescent="0.25">
      <c r="A110" s="1">
        <v>44722</v>
      </c>
      <c r="B110">
        <v>176.46</v>
      </c>
      <c r="C110">
        <v>178.99</v>
      </c>
      <c r="D110">
        <v>178.99</v>
      </c>
      <c r="E110">
        <v>176.14</v>
      </c>
      <c r="F110" t="s">
        <v>177</v>
      </c>
      <c r="G110" s="2">
        <v>-1.6400000000000001E-2</v>
      </c>
    </row>
    <row r="111" spans="1:7" x14ac:dyDescent="0.25">
      <c r="A111" s="1">
        <v>44725</v>
      </c>
      <c r="B111">
        <v>171.87</v>
      </c>
      <c r="C111">
        <v>175.99</v>
      </c>
      <c r="D111">
        <v>175.99</v>
      </c>
      <c r="E111">
        <v>170.95</v>
      </c>
      <c r="F111" t="s">
        <v>478</v>
      </c>
      <c r="G111" s="2">
        <v>-2.5999999999999999E-2</v>
      </c>
    </row>
    <row r="112" spans="1:7" x14ac:dyDescent="0.25">
      <c r="A112" s="1">
        <v>44726</v>
      </c>
      <c r="B112">
        <v>171.3</v>
      </c>
      <c r="C112">
        <v>172.99</v>
      </c>
      <c r="D112">
        <v>172.99</v>
      </c>
      <c r="E112">
        <v>170.06</v>
      </c>
      <c r="F112" t="s">
        <v>425</v>
      </c>
      <c r="G112" s="2">
        <v>-3.3E-3</v>
      </c>
    </row>
    <row r="113" spans="1:7" x14ac:dyDescent="0.25">
      <c r="A113" s="1">
        <v>44727</v>
      </c>
      <c r="B113">
        <v>171.1</v>
      </c>
      <c r="C113">
        <v>173.99</v>
      </c>
      <c r="D113">
        <v>173.99</v>
      </c>
      <c r="E113">
        <v>171</v>
      </c>
      <c r="F113" t="s">
        <v>360</v>
      </c>
      <c r="G113" s="2">
        <v>-1.1999999999999999E-3</v>
      </c>
    </row>
    <row r="114" spans="1:7" x14ac:dyDescent="0.25">
      <c r="A114" s="1">
        <v>44728</v>
      </c>
      <c r="B114">
        <v>167.56</v>
      </c>
      <c r="C114">
        <v>172.9</v>
      </c>
      <c r="D114">
        <v>172.9</v>
      </c>
      <c r="E114">
        <v>167.31</v>
      </c>
      <c r="F114" t="s">
        <v>477</v>
      </c>
      <c r="G114" s="2">
        <v>-2.07E-2</v>
      </c>
    </row>
    <row r="115" spans="1:7" x14ac:dyDescent="0.25">
      <c r="A115" s="1">
        <v>44729</v>
      </c>
      <c r="B115">
        <v>166.87</v>
      </c>
      <c r="C115">
        <v>170.9</v>
      </c>
      <c r="D115">
        <v>170.9</v>
      </c>
      <c r="E115">
        <v>165.87</v>
      </c>
      <c r="F115" t="s">
        <v>476</v>
      </c>
      <c r="G115" s="2">
        <v>-4.1000000000000003E-3</v>
      </c>
    </row>
    <row r="116" spans="1:7" x14ac:dyDescent="0.25">
      <c r="A116" s="1">
        <v>44732</v>
      </c>
      <c r="B116">
        <v>167.31</v>
      </c>
      <c r="C116">
        <v>169.9</v>
      </c>
      <c r="D116">
        <v>169.9</v>
      </c>
      <c r="E116">
        <v>165.7</v>
      </c>
      <c r="F116" t="s">
        <v>475</v>
      </c>
      <c r="G116" s="2">
        <v>2.5999999999999999E-3</v>
      </c>
    </row>
    <row r="117" spans="1:7" x14ac:dyDescent="0.25">
      <c r="A117" s="1">
        <v>44733</v>
      </c>
      <c r="B117">
        <v>170.26</v>
      </c>
      <c r="C117">
        <v>169.5</v>
      </c>
      <c r="D117">
        <v>170.9</v>
      </c>
      <c r="E117">
        <v>167.47</v>
      </c>
      <c r="F117" t="s">
        <v>458</v>
      </c>
      <c r="G117" s="2">
        <v>1.7600000000000001E-2</v>
      </c>
    </row>
    <row r="118" spans="1:7" x14ac:dyDescent="0.25">
      <c r="A118" s="1">
        <v>44734</v>
      </c>
      <c r="B118">
        <v>168.08</v>
      </c>
      <c r="C118">
        <v>171.99</v>
      </c>
      <c r="D118">
        <v>171.99</v>
      </c>
      <c r="E118">
        <v>167.8</v>
      </c>
      <c r="F118" t="s">
        <v>417</v>
      </c>
      <c r="G118" s="2">
        <v>-1.2800000000000001E-2</v>
      </c>
    </row>
    <row r="119" spans="1:7" x14ac:dyDescent="0.25">
      <c r="A119" s="1">
        <v>44735</v>
      </c>
      <c r="B119">
        <v>169.71</v>
      </c>
      <c r="C119">
        <v>169.99</v>
      </c>
      <c r="D119">
        <v>170.27</v>
      </c>
      <c r="E119">
        <v>166.11</v>
      </c>
      <c r="F119" t="s">
        <v>172</v>
      </c>
      <c r="G119" s="2">
        <v>9.7000000000000003E-3</v>
      </c>
    </row>
    <row r="120" spans="1:7" x14ac:dyDescent="0.25">
      <c r="A120" s="1">
        <v>44736</v>
      </c>
      <c r="B120">
        <v>171.16</v>
      </c>
      <c r="C120">
        <v>172.99</v>
      </c>
      <c r="D120">
        <v>172.99</v>
      </c>
      <c r="E120">
        <v>169.9</v>
      </c>
      <c r="F120" t="s">
        <v>197</v>
      </c>
      <c r="G120" s="2">
        <v>8.5000000000000006E-3</v>
      </c>
    </row>
    <row r="121" spans="1:7" x14ac:dyDescent="0.25">
      <c r="A121" s="1">
        <v>44739</v>
      </c>
      <c r="B121">
        <v>172.62</v>
      </c>
      <c r="C121">
        <v>171</v>
      </c>
      <c r="D121">
        <v>173.9</v>
      </c>
      <c r="E121">
        <v>171</v>
      </c>
      <c r="F121" t="s">
        <v>86</v>
      </c>
      <c r="G121" s="2">
        <v>8.5000000000000006E-3</v>
      </c>
    </row>
    <row r="122" spans="1:7" x14ac:dyDescent="0.25">
      <c r="A122" s="1">
        <v>44740</v>
      </c>
      <c r="B122">
        <v>172.65</v>
      </c>
      <c r="C122">
        <v>173.99</v>
      </c>
      <c r="D122">
        <v>173.99</v>
      </c>
      <c r="E122">
        <v>171.3</v>
      </c>
      <c r="F122" t="s">
        <v>201</v>
      </c>
      <c r="G122" s="2">
        <v>2.0000000000000001E-4</v>
      </c>
    </row>
    <row r="123" spans="1:7" x14ac:dyDescent="0.25">
      <c r="A123" s="1">
        <v>44741</v>
      </c>
      <c r="B123">
        <v>171.86</v>
      </c>
      <c r="C123">
        <v>172.99</v>
      </c>
      <c r="D123">
        <v>172.99</v>
      </c>
      <c r="E123">
        <v>170.3</v>
      </c>
      <c r="F123" t="s">
        <v>201</v>
      </c>
      <c r="G123" s="2">
        <v>-4.5999999999999999E-3</v>
      </c>
    </row>
    <row r="124" spans="1:7" x14ac:dyDescent="0.25">
      <c r="A124" s="1">
        <v>44742</v>
      </c>
      <c r="B124">
        <v>171.6</v>
      </c>
      <c r="C124">
        <v>172.99</v>
      </c>
      <c r="D124">
        <v>172.99</v>
      </c>
      <c r="E124">
        <v>170</v>
      </c>
      <c r="F124" t="s">
        <v>370</v>
      </c>
      <c r="G124" s="2">
        <v>-1.5E-3</v>
      </c>
    </row>
    <row r="125" spans="1:7" x14ac:dyDescent="0.25">
      <c r="A125" s="1">
        <v>44743</v>
      </c>
      <c r="B125">
        <v>171.64</v>
      </c>
      <c r="C125">
        <v>172.38</v>
      </c>
      <c r="D125">
        <v>172.38</v>
      </c>
      <c r="E125">
        <v>169</v>
      </c>
      <c r="F125" t="s">
        <v>189</v>
      </c>
      <c r="G125" s="2">
        <v>2.0000000000000001E-4</v>
      </c>
    </row>
    <row r="126" spans="1:7" x14ac:dyDescent="0.25">
      <c r="A126" s="1">
        <v>44746</v>
      </c>
      <c r="B126">
        <v>172.63</v>
      </c>
      <c r="C126">
        <v>172.9</v>
      </c>
      <c r="D126">
        <v>172.9</v>
      </c>
      <c r="E126">
        <v>170.65</v>
      </c>
      <c r="F126" t="s">
        <v>205</v>
      </c>
      <c r="G126" s="2">
        <v>5.7999999999999996E-3</v>
      </c>
    </row>
    <row r="127" spans="1:7" x14ac:dyDescent="0.25">
      <c r="A127" s="1">
        <v>44747</v>
      </c>
      <c r="B127">
        <v>172.04</v>
      </c>
      <c r="C127">
        <v>175</v>
      </c>
      <c r="D127">
        <v>175.99</v>
      </c>
      <c r="E127">
        <v>170.11</v>
      </c>
      <c r="F127" t="s">
        <v>115</v>
      </c>
      <c r="G127" s="2">
        <v>-3.3999999999999998E-3</v>
      </c>
    </row>
    <row r="128" spans="1:7" x14ac:dyDescent="0.25">
      <c r="A128" s="1">
        <v>44748</v>
      </c>
      <c r="B128">
        <v>174.12</v>
      </c>
      <c r="C128">
        <v>174.68</v>
      </c>
      <c r="D128">
        <v>174.68</v>
      </c>
      <c r="E128">
        <v>170.91</v>
      </c>
      <c r="F128" t="s">
        <v>417</v>
      </c>
      <c r="G128" s="2">
        <v>1.21E-2</v>
      </c>
    </row>
    <row r="129" spans="1:7" x14ac:dyDescent="0.25">
      <c r="A129" s="1">
        <v>44749</v>
      </c>
      <c r="B129">
        <v>175.54</v>
      </c>
      <c r="C129">
        <v>175.35</v>
      </c>
      <c r="D129">
        <v>175.7</v>
      </c>
      <c r="E129">
        <v>174.4</v>
      </c>
      <c r="F129" t="s">
        <v>307</v>
      </c>
      <c r="G129" s="2">
        <v>8.2000000000000007E-3</v>
      </c>
    </row>
    <row r="130" spans="1:7" x14ac:dyDescent="0.25">
      <c r="A130" s="1">
        <v>44750</v>
      </c>
      <c r="B130">
        <v>176.28</v>
      </c>
      <c r="C130">
        <v>178.99</v>
      </c>
      <c r="D130">
        <v>178.99</v>
      </c>
      <c r="E130">
        <v>175.58</v>
      </c>
      <c r="F130" t="s">
        <v>422</v>
      </c>
      <c r="G130" s="2">
        <v>4.1999999999999997E-3</v>
      </c>
    </row>
    <row r="131" spans="1:7" x14ac:dyDescent="0.25">
      <c r="A131" s="1">
        <v>44753</v>
      </c>
      <c r="B131">
        <v>176.23</v>
      </c>
      <c r="C131">
        <v>178.88</v>
      </c>
      <c r="D131">
        <v>178.88</v>
      </c>
      <c r="E131">
        <v>175.08</v>
      </c>
      <c r="F131" t="s">
        <v>199</v>
      </c>
      <c r="G131" s="2">
        <v>-2.9999999999999997E-4</v>
      </c>
    </row>
    <row r="132" spans="1:7" x14ac:dyDescent="0.25">
      <c r="A132" s="1">
        <v>44754</v>
      </c>
      <c r="B132">
        <v>175.1</v>
      </c>
      <c r="C132">
        <v>175.9</v>
      </c>
      <c r="D132">
        <v>176</v>
      </c>
      <c r="E132">
        <v>174.7</v>
      </c>
      <c r="F132" t="s">
        <v>474</v>
      </c>
      <c r="G132" s="2">
        <v>-6.4000000000000003E-3</v>
      </c>
    </row>
    <row r="133" spans="1:7" x14ac:dyDescent="0.25">
      <c r="A133" s="1">
        <v>44755</v>
      </c>
      <c r="B133">
        <v>174.06</v>
      </c>
      <c r="C133">
        <v>177.99</v>
      </c>
      <c r="D133">
        <v>177.99</v>
      </c>
      <c r="E133">
        <v>173.95</v>
      </c>
      <c r="F133" t="s">
        <v>88</v>
      </c>
      <c r="G133" s="2">
        <v>-5.8999999999999999E-3</v>
      </c>
    </row>
    <row r="134" spans="1:7" x14ac:dyDescent="0.25">
      <c r="A134" s="1">
        <v>44756</v>
      </c>
      <c r="B134">
        <v>173.93</v>
      </c>
      <c r="C134">
        <v>176.44</v>
      </c>
      <c r="D134">
        <v>176.44</v>
      </c>
      <c r="E134">
        <v>172.11</v>
      </c>
      <c r="F134" t="s">
        <v>364</v>
      </c>
      <c r="G134" s="2">
        <v>-6.9999999999999999E-4</v>
      </c>
    </row>
    <row r="135" spans="1:7" x14ac:dyDescent="0.25">
      <c r="A135" s="1">
        <v>44757</v>
      </c>
      <c r="B135">
        <v>175.02</v>
      </c>
      <c r="C135">
        <v>176.97</v>
      </c>
      <c r="D135">
        <v>176.97</v>
      </c>
      <c r="E135">
        <v>171.11</v>
      </c>
      <c r="F135" t="s">
        <v>230</v>
      </c>
      <c r="G135" s="2">
        <v>6.3E-3</v>
      </c>
    </row>
    <row r="136" spans="1:7" x14ac:dyDescent="0.25">
      <c r="A136" s="1">
        <v>44760</v>
      </c>
      <c r="B136">
        <v>177.39</v>
      </c>
      <c r="C136">
        <v>176.7</v>
      </c>
      <c r="D136">
        <v>177.5</v>
      </c>
      <c r="E136">
        <v>175.55</v>
      </c>
      <c r="F136" t="s">
        <v>473</v>
      </c>
      <c r="G136" s="2">
        <v>1.35E-2</v>
      </c>
    </row>
    <row r="137" spans="1:7" x14ac:dyDescent="0.25">
      <c r="A137" s="1">
        <v>44761</v>
      </c>
      <c r="B137">
        <v>177.88</v>
      </c>
      <c r="C137">
        <v>176.8</v>
      </c>
      <c r="D137">
        <v>178.19</v>
      </c>
      <c r="E137">
        <v>175.9</v>
      </c>
      <c r="F137" t="s">
        <v>349</v>
      </c>
      <c r="G137" s="2">
        <v>2.8E-3</v>
      </c>
    </row>
    <row r="138" spans="1:7" x14ac:dyDescent="0.25">
      <c r="A138" s="1">
        <v>44762</v>
      </c>
      <c r="B138">
        <v>179.53</v>
      </c>
      <c r="C138">
        <v>182.8</v>
      </c>
      <c r="D138">
        <v>182.8</v>
      </c>
      <c r="E138">
        <v>178.7</v>
      </c>
      <c r="F138" t="s">
        <v>472</v>
      </c>
      <c r="G138" s="2">
        <v>9.2999999999999992E-3</v>
      </c>
    </row>
    <row r="139" spans="1:7" x14ac:dyDescent="0.25">
      <c r="A139" s="1">
        <v>44763</v>
      </c>
      <c r="B139">
        <v>180.54</v>
      </c>
      <c r="C139">
        <v>180.97</v>
      </c>
      <c r="D139">
        <v>180.97</v>
      </c>
      <c r="E139">
        <v>178.2</v>
      </c>
      <c r="F139" t="s">
        <v>205</v>
      </c>
      <c r="G139" s="2">
        <v>5.5999999999999999E-3</v>
      </c>
    </row>
    <row r="140" spans="1:7" x14ac:dyDescent="0.25">
      <c r="A140" s="1">
        <v>44764</v>
      </c>
      <c r="B140">
        <v>181.89</v>
      </c>
      <c r="C140">
        <v>177.11</v>
      </c>
      <c r="D140">
        <v>182.87</v>
      </c>
      <c r="E140">
        <v>177.11</v>
      </c>
      <c r="F140" t="s">
        <v>471</v>
      </c>
      <c r="G140" s="2">
        <v>7.4999999999999997E-3</v>
      </c>
    </row>
    <row r="141" spans="1:7" x14ac:dyDescent="0.25">
      <c r="A141" s="1">
        <v>44767</v>
      </c>
      <c r="B141">
        <v>181.46</v>
      </c>
      <c r="C141">
        <v>182.95</v>
      </c>
      <c r="D141">
        <v>184.51</v>
      </c>
      <c r="E141">
        <v>180.3</v>
      </c>
      <c r="F141" t="s">
        <v>311</v>
      </c>
      <c r="G141" s="2">
        <v>-2.3999999999999998E-3</v>
      </c>
    </row>
    <row r="142" spans="1:7" x14ac:dyDescent="0.25">
      <c r="A142" s="1">
        <v>44768</v>
      </c>
      <c r="B142">
        <v>179.91</v>
      </c>
      <c r="C142">
        <v>176.1</v>
      </c>
      <c r="D142">
        <v>181.95</v>
      </c>
      <c r="E142">
        <v>176.1</v>
      </c>
      <c r="F142" t="s">
        <v>328</v>
      </c>
      <c r="G142" s="2">
        <v>-8.5000000000000006E-3</v>
      </c>
    </row>
    <row r="143" spans="1:7" x14ac:dyDescent="0.25">
      <c r="A143" s="1">
        <v>44769</v>
      </c>
      <c r="B143">
        <v>181.6</v>
      </c>
      <c r="C143">
        <v>180.89</v>
      </c>
      <c r="D143">
        <v>181.8</v>
      </c>
      <c r="E143">
        <v>178.6</v>
      </c>
      <c r="F143" t="s">
        <v>287</v>
      </c>
      <c r="G143" s="2">
        <v>9.4000000000000004E-3</v>
      </c>
    </row>
    <row r="144" spans="1:7" x14ac:dyDescent="0.25">
      <c r="A144" s="1">
        <v>44770</v>
      </c>
      <c r="B144">
        <v>184.18</v>
      </c>
      <c r="C144">
        <v>184.5</v>
      </c>
      <c r="D144">
        <v>184.5</v>
      </c>
      <c r="E144">
        <v>180.11</v>
      </c>
      <c r="F144" t="s">
        <v>470</v>
      </c>
      <c r="G144" s="2">
        <v>1.4200000000000001E-2</v>
      </c>
    </row>
    <row r="145" spans="1:7" x14ac:dyDescent="0.25">
      <c r="A145" s="1">
        <v>44771</v>
      </c>
      <c r="B145">
        <v>186.54</v>
      </c>
      <c r="C145">
        <v>185</v>
      </c>
      <c r="D145">
        <v>186.8</v>
      </c>
      <c r="E145">
        <v>184.25</v>
      </c>
      <c r="F145" t="s">
        <v>469</v>
      </c>
      <c r="G145" s="2">
        <v>1.2800000000000001E-2</v>
      </c>
    </row>
    <row r="146" spans="1:7" x14ac:dyDescent="0.25">
      <c r="A146" s="1">
        <v>44774</v>
      </c>
      <c r="B146">
        <v>188.63</v>
      </c>
      <c r="C146">
        <v>186.54</v>
      </c>
      <c r="D146">
        <v>190</v>
      </c>
      <c r="E146">
        <v>186.54</v>
      </c>
      <c r="F146" t="s">
        <v>44</v>
      </c>
      <c r="G146" s="2">
        <v>1.12E-2</v>
      </c>
    </row>
    <row r="147" spans="1:7" x14ac:dyDescent="0.25">
      <c r="A147" s="1">
        <v>44775</v>
      </c>
      <c r="B147">
        <v>188.62</v>
      </c>
      <c r="C147">
        <v>199.99</v>
      </c>
      <c r="D147">
        <v>199.99</v>
      </c>
      <c r="E147">
        <v>183</v>
      </c>
      <c r="F147" t="s">
        <v>38</v>
      </c>
      <c r="G147" s="2">
        <v>-1E-4</v>
      </c>
    </row>
    <row r="148" spans="1:7" x14ac:dyDescent="0.25">
      <c r="A148" s="1">
        <v>44776</v>
      </c>
      <c r="B148">
        <v>189.11</v>
      </c>
      <c r="C148">
        <v>188.9</v>
      </c>
      <c r="D148">
        <v>189.4</v>
      </c>
      <c r="E148">
        <v>180.01</v>
      </c>
      <c r="F148" t="s">
        <v>90</v>
      </c>
      <c r="G148" s="2">
        <v>2.5999999999999999E-3</v>
      </c>
    </row>
    <row r="149" spans="1:7" x14ac:dyDescent="0.25">
      <c r="A149" s="1">
        <v>44777</v>
      </c>
      <c r="B149">
        <v>189.17</v>
      </c>
      <c r="C149">
        <v>190.25</v>
      </c>
      <c r="D149">
        <v>190.68</v>
      </c>
      <c r="E149">
        <v>187.03</v>
      </c>
      <c r="F149" t="s">
        <v>468</v>
      </c>
      <c r="G149" s="2">
        <v>2.9999999999999997E-4</v>
      </c>
    </row>
    <row r="150" spans="1:7" x14ac:dyDescent="0.25">
      <c r="A150" s="1">
        <v>44778</v>
      </c>
      <c r="B150">
        <v>189.25</v>
      </c>
      <c r="C150">
        <v>180.01</v>
      </c>
      <c r="D150">
        <v>191.05</v>
      </c>
      <c r="E150">
        <v>180.01</v>
      </c>
      <c r="F150" t="s">
        <v>392</v>
      </c>
      <c r="G150" s="2">
        <v>4.0000000000000002E-4</v>
      </c>
    </row>
    <row r="151" spans="1:7" x14ac:dyDescent="0.25">
      <c r="A151" s="1">
        <v>44781</v>
      </c>
      <c r="B151">
        <v>190.79</v>
      </c>
      <c r="C151">
        <v>189.75</v>
      </c>
      <c r="D151">
        <v>191.04</v>
      </c>
      <c r="E151">
        <v>188.3</v>
      </c>
      <c r="F151" t="s">
        <v>12</v>
      </c>
      <c r="G151" s="2">
        <v>8.0999999999999996E-3</v>
      </c>
    </row>
    <row r="152" spans="1:7" x14ac:dyDescent="0.25">
      <c r="A152" s="1">
        <v>44783</v>
      </c>
      <c r="B152">
        <v>191.04</v>
      </c>
      <c r="C152">
        <v>199.8</v>
      </c>
      <c r="D152">
        <v>199.99</v>
      </c>
      <c r="E152">
        <v>189.98</v>
      </c>
      <c r="F152" t="s">
        <v>349</v>
      </c>
      <c r="G152" s="2">
        <v>1.2999999999999999E-3</v>
      </c>
    </row>
    <row r="153" spans="1:7" x14ac:dyDescent="0.25">
      <c r="A153" s="1">
        <v>44784</v>
      </c>
      <c r="B153">
        <v>192.34</v>
      </c>
      <c r="C153">
        <v>193.97</v>
      </c>
      <c r="D153">
        <v>193.97</v>
      </c>
      <c r="E153">
        <v>191.5</v>
      </c>
      <c r="F153" t="s">
        <v>288</v>
      </c>
      <c r="G153" s="2">
        <v>6.7999999999999996E-3</v>
      </c>
    </row>
    <row r="154" spans="1:7" x14ac:dyDescent="0.25">
      <c r="A154" s="1">
        <v>44785</v>
      </c>
      <c r="B154">
        <v>192.86</v>
      </c>
      <c r="C154">
        <v>199.99</v>
      </c>
      <c r="D154">
        <v>199.99</v>
      </c>
      <c r="E154">
        <v>191.71</v>
      </c>
      <c r="F154" t="s">
        <v>321</v>
      </c>
      <c r="G154" s="2">
        <v>2.7000000000000001E-3</v>
      </c>
    </row>
    <row r="155" spans="1:7" x14ac:dyDescent="0.25">
      <c r="A155" s="1">
        <v>44789</v>
      </c>
      <c r="B155">
        <v>194.09</v>
      </c>
      <c r="C155">
        <v>199.74</v>
      </c>
      <c r="D155">
        <v>199.74</v>
      </c>
      <c r="E155">
        <v>192.9</v>
      </c>
      <c r="F155" t="s">
        <v>198</v>
      </c>
      <c r="G155" s="2">
        <v>6.4000000000000003E-3</v>
      </c>
    </row>
    <row r="156" spans="1:7" x14ac:dyDescent="0.25">
      <c r="A156" s="1">
        <v>44790</v>
      </c>
      <c r="B156">
        <v>195.55</v>
      </c>
      <c r="C156">
        <v>198.2</v>
      </c>
      <c r="D156">
        <v>198.2</v>
      </c>
      <c r="E156">
        <v>194.2</v>
      </c>
      <c r="F156" t="s">
        <v>408</v>
      </c>
      <c r="G156" s="2">
        <v>7.4999999999999997E-3</v>
      </c>
    </row>
    <row r="157" spans="1:7" x14ac:dyDescent="0.25">
      <c r="A157" s="1">
        <v>44791</v>
      </c>
      <c r="B157">
        <v>195.71</v>
      </c>
      <c r="C157">
        <v>196.5</v>
      </c>
      <c r="D157">
        <v>196.89</v>
      </c>
      <c r="E157">
        <v>194.2</v>
      </c>
      <c r="F157" t="s">
        <v>305</v>
      </c>
      <c r="G157" s="2">
        <v>8.0000000000000004E-4</v>
      </c>
    </row>
    <row r="158" spans="1:7" x14ac:dyDescent="0.25">
      <c r="A158" s="1">
        <v>44792</v>
      </c>
      <c r="B158">
        <v>193.61</v>
      </c>
      <c r="C158">
        <v>196.63</v>
      </c>
      <c r="D158">
        <v>196.63</v>
      </c>
      <c r="E158">
        <v>193.12</v>
      </c>
      <c r="F158" t="s">
        <v>198</v>
      </c>
      <c r="G158" s="2">
        <v>-1.0699999999999999E-2</v>
      </c>
    </row>
    <row r="159" spans="1:7" x14ac:dyDescent="0.25">
      <c r="A159" s="1">
        <v>44795</v>
      </c>
      <c r="B159">
        <v>190.95</v>
      </c>
      <c r="C159">
        <v>168.4</v>
      </c>
      <c r="D159">
        <v>194.06</v>
      </c>
      <c r="E159">
        <v>168.4</v>
      </c>
      <c r="F159" t="s">
        <v>467</v>
      </c>
      <c r="G159" s="2">
        <v>-1.37E-2</v>
      </c>
    </row>
    <row r="160" spans="1:7" x14ac:dyDescent="0.25">
      <c r="A160" s="1">
        <v>44796</v>
      </c>
      <c r="B160">
        <v>192.19</v>
      </c>
      <c r="C160">
        <v>190.74</v>
      </c>
      <c r="D160">
        <v>192.7</v>
      </c>
      <c r="E160">
        <v>189.53</v>
      </c>
      <c r="F160" t="s">
        <v>267</v>
      </c>
      <c r="G160" s="2">
        <v>6.4999999999999997E-3</v>
      </c>
    </row>
    <row r="161" spans="1:7" x14ac:dyDescent="0.25">
      <c r="A161" s="1">
        <v>44797</v>
      </c>
      <c r="B161">
        <v>192.63</v>
      </c>
      <c r="C161">
        <v>192.9</v>
      </c>
      <c r="D161">
        <v>192.9</v>
      </c>
      <c r="E161">
        <v>191.2</v>
      </c>
      <c r="F161" t="s">
        <v>466</v>
      </c>
      <c r="G161" s="2">
        <v>2.3E-3</v>
      </c>
    </row>
    <row r="162" spans="1:7" x14ac:dyDescent="0.25">
      <c r="A162" s="1">
        <v>44798</v>
      </c>
      <c r="B162">
        <v>191.78</v>
      </c>
      <c r="C162">
        <v>194.9</v>
      </c>
      <c r="D162">
        <v>195.33</v>
      </c>
      <c r="E162">
        <v>191.3</v>
      </c>
      <c r="F162" t="s">
        <v>316</v>
      </c>
      <c r="G162" s="2">
        <v>-4.4000000000000003E-3</v>
      </c>
    </row>
    <row r="163" spans="1:7" x14ac:dyDescent="0.25">
      <c r="A163" s="1">
        <v>44799</v>
      </c>
      <c r="B163">
        <v>191.92</v>
      </c>
      <c r="C163">
        <v>192.9</v>
      </c>
      <c r="D163">
        <v>193.4</v>
      </c>
      <c r="E163">
        <v>191.41</v>
      </c>
      <c r="F163" t="s">
        <v>205</v>
      </c>
      <c r="G163" s="2">
        <v>6.9999999999999999E-4</v>
      </c>
    </row>
    <row r="164" spans="1:7" x14ac:dyDescent="0.25">
      <c r="A164" s="1">
        <v>44802</v>
      </c>
      <c r="B164">
        <v>189.44</v>
      </c>
      <c r="C164">
        <v>191.72</v>
      </c>
      <c r="D164">
        <v>191.72</v>
      </c>
      <c r="E164">
        <v>187.55</v>
      </c>
      <c r="F164" t="s">
        <v>465</v>
      </c>
      <c r="G164" s="2">
        <v>-1.29E-2</v>
      </c>
    </row>
    <row r="165" spans="1:7" x14ac:dyDescent="0.25">
      <c r="A165" s="1">
        <v>44803</v>
      </c>
      <c r="B165">
        <v>193.92</v>
      </c>
      <c r="C165">
        <v>187.55</v>
      </c>
      <c r="D165">
        <v>194.19</v>
      </c>
      <c r="E165">
        <v>187.55</v>
      </c>
      <c r="F165" t="s">
        <v>429</v>
      </c>
      <c r="G165" s="2">
        <v>2.3599999999999999E-2</v>
      </c>
    </row>
    <row r="166" spans="1:7" x14ac:dyDescent="0.25">
      <c r="A166" s="1">
        <v>44805</v>
      </c>
      <c r="B166">
        <v>191.82</v>
      </c>
      <c r="C166">
        <v>193.7</v>
      </c>
      <c r="D166">
        <v>193.7</v>
      </c>
      <c r="E166">
        <v>190.85</v>
      </c>
      <c r="F166" t="s">
        <v>8</v>
      </c>
      <c r="G166" s="2">
        <v>-1.0800000000000001E-2</v>
      </c>
    </row>
    <row r="167" spans="1:7" x14ac:dyDescent="0.25">
      <c r="A167" s="1">
        <v>44806</v>
      </c>
      <c r="B167">
        <v>191.61</v>
      </c>
      <c r="C167">
        <v>192.45</v>
      </c>
      <c r="D167">
        <v>199.16</v>
      </c>
      <c r="E167">
        <v>182</v>
      </c>
      <c r="F167" t="s">
        <v>197</v>
      </c>
      <c r="G167" s="2">
        <v>-1.1000000000000001E-3</v>
      </c>
    </row>
    <row r="168" spans="1:7" x14ac:dyDescent="0.25">
      <c r="A168" s="1">
        <v>44809</v>
      </c>
      <c r="B168">
        <v>192.98</v>
      </c>
      <c r="C168">
        <v>192.9</v>
      </c>
      <c r="D168">
        <v>193.1</v>
      </c>
      <c r="E168">
        <v>190.87</v>
      </c>
      <c r="F168" t="s">
        <v>248</v>
      </c>
      <c r="G168" s="2">
        <v>7.1000000000000004E-3</v>
      </c>
    </row>
    <row r="169" spans="1:7" x14ac:dyDescent="0.25">
      <c r="A169" s="1">
        <v>44810</v>
      </c>
      <c r="B169">
        <v>192.48</v>
      </c>
      <c r="C169">
        <v>194.44</v>
      </c>
      <c r="D169">
        <v>194.88</v>
      </c>
      <c r="E169">
        <v>191.95</v>
      </c>
      <c r="F169" t="s">
        <v>343</v>
      </c>
      <c r="G169" s="2">
        <v>-2.5999999999999999E-3</v>
      </c>
    </row>
    <row r="170" spans="1:7" x14ac:dyDescent="0.25">
      <c r="A170" s="1">
        <v>44811</v>
      </c>
      <c r="B170">
        <v>192.37</v>
      </c>
      <c r="C170">
        <v>192.4</v>
      </c>
      <c r="D170">
        <v>192.65</v>
      </c>
      <c r="E170">
        <v>188.02</v>
      </c>
      <c r="F170" t="s">
        <v>334</v>
      </c>
      <c r="G170" s="2">
        <v>-5.9999999999999995E-4</v>
      </c>
    </row>
    <row r="171" spans="1:7" x14ac:dyDescent="0.25">
      <c r="A171" s="1">
        <v>44812</v>
      </c>
      <c r="B171">
        <v>194</v>
      </c>
      <c r="C171">
        <v>199.88</v>
      </c>
      <c r="D171">
        <v>199.88</v>
      </c>
      <c r="E171">
        <v>192.51</v>
      </c>
      <c r="F171" t="s">
        <v>308</v>
      </c>
      <c r="G171" s="2">
        <v>8.5000000000000006E-3</v>
      </c>
    </row>
    <row r="172" spans="1:7" x14ac:dyDescent="0.25">
      <c r="A172" s="1">
        <v>44813</v>
      </c>
      <c r="B172">
        <v>194.6</v>
      </c>
      <c r="C172">
        <v>195.44</v>
      </c>
      <c r="D172">
        <v>195.51</v>
      </c>
      <c r="E172">
        <v>194.18</v>
      </c>
      <c r="F172" t="s">
        <v>441</v>
      </c>
      <c r="G172" s="2">
        <v>3.0999999999999999E-3</v>
      </c>
    </row>
    <row r="173" spans="1:7" x14ac:dyDescent="0.25">
      <c r="A173" s="1">
        <v>44816</v>
      </c>
      <c r="B173">
        <v>195.64</v>
      </c>
      <c r="C173">
        <v>195.99</v>
      </c>
      <c r="D173">
        <v>196.1</v>
      </c>
      <c r="E173">
        <v>194</v>
      </c>
      <c r="F173" t="s">
        <v>440</v>
      </c>
      <c r="G173" s="2">
        <v>5.3E-3</v>
      </c>
    </row>
    <row r="174" spans="1:7" x14ac:dyDescent="0.25">
      <c r="A174" s="1">
        <v>44817</v>
      </c>
      <c r="B174">
        <v>196.95</v>
      </c>
      <c r="C174">
        <v>196.8</v>
      </c>
      <c r="D174">
        <v>197.19</v>
      </c>
      <c r="E174">
        <v>195.7</v>
      </c>
      <c r="F174" t="s">
        <v>387</v>
      </c>
      <c r="G174" s="2">
        <v>6.7000000000000002E-3</v>
      </c>
    </row>
    <row r="175" spans="1:7" x14ac:dyDescent="0.25">
      <c r="A175" s="1">
        <v>44818</v>
      </c>
      <c r="B175">
        <v>196.27</v>
      </c>
      <c r="C175">
        <v>196.74</v>
      </c>
      <c r="D175">
        <v>197.2</v>
      </c>
      <c r="E175">
        <v>193.1</v>
      </c>
      <c r="F175" t="s">
        <v>304</v>
      </c>
      <c r="G175" s="2">
        <v>-3.5000000000000001E-3</v>
      </c>
    </row>
    <row r="176" spans="1:7" x14ac:dyDescent="0.25">
      <c r="A176" s="1">
        <v>44819</v>
      </c>
      <c r="B176">
        <v>195.69</v>
      </c>
      <c r="C176">
        <v>197.47</v>
      </c>
      <c r="D176">
        <v>197.47</v>
      </c>
      <c r="E176">
        <v>195</v>
      </c>
      <c r="F176" t="s">
        <v>464</v>
      </c>
      <c r="G176" s="2">
        <v>-3.0000000000000001E-3</v>
      </c>
    </row>
    <row r="177" spans="1:7" x14ac:dyDescent="0.25">
      <c r="A177" s="1">
        <v>44820</v>
      </c>
      <c r="B177">
        <v>191.9</v>
      </c>
      <c r="C177">
        <v>195.65</v>
      </c>
      <c r="D177">
        <v>195.65</v>
      </c>
      <c r="E177">
        <v>191.56</v>
      </c>
      <c r="F177" t="s">
        <v>463</v>
      </c>
      <c r="G177" s="2">
        <v>-1.9400000000000001E-2</v>
      </c>
    </row>
    <row r="178" spans="1:7" x14ac:dyDescent="0.25">
      <c r="A178" s="1">
        <v>44823</v>
      </c>
      <c r="B178">
        <v>192.75</v>
      </c>
      <c r="C178">
        <v>195.5</v>
      </c>
      <c r="D178">
        <v>195.5</v>
      </c>
      <c r="E178">
        <v>190.72</v>
      </c>
      <c r="F178" t="s">
        <v>440</v>
      </c>
      <c r="G178" s="2">
        <v>4.4000000000000003E-3</v>
      </c>
    </row>
    <row r="179" spans="1:7" x14ac:dyDescent="0.25">
      <c r="A179" s="1">
        <v>44824</v>
      </c>
      <c r="B179">
        <v>194.44</v>
      </c>
      <c r="C179">
        <v>194.95</v>
      </c>
      <c r="D179">
        <v>195.49</v>
      </c>
      <c r="E179">
        <v>193.2</v>
      </c>
      <c r="F179" t="s">
        <v>462</v>
      </c>
      <c r="G179" s="2">
        <v>8.8000000000000005E-3</v>
      </c>
    </row>
    <row r="180" spans="1:7" x14ac:dyDescent="0.25">
      <c r="A180" s="1">
        <v>44825</v>
      </c>
      <c r="B180">
        <v>193.5</v>
      </c>
      <c r="C180">
        <v>195.22</v>
      </c>
      <c r="D180">
        <v>195.22</v>
      </c>
      <c r="E180">
        <v>192.73</v>
      </c>
      <c r="F180" t="s">
        <v>461</v>
      </c>
      <c r="G180" s="2">
        <v>-4.7999999999999996E-3</v>
      </c>
    </row>
    <row r="181" spans="1:7" x14ac:dyDescent="0.25">
      <c r="A181" s="1">
        <v>44826</v>
      </c>
      <c r="B181">
        <v>192.92</v>
      </c>
      <c r="C181">
        <v>193.49</v>
      </c>
      <c r="D181">
        <v>193.91</v>
      </c>
      <c r="E181">
        <v>191.9</v>
      </c>
      <c r="F181" t="s">
        <v>256</v>
      </c>
      <c r="G181" s="2">
        <v>-3.0000000000000001E-3</v>
      </c>
    </row>
    <row r="182" spans="1:7" x14ac:dyDescent="0.25">
      <c r="A182" s="1">
        <v>44827</v>
      </c>
      <c r="B182">
        <v>189.64</v>
      </c>
      <c r="C182">
        <v>197.49</v>
      </c>
      <c r="D182">
        <v>197.49</v>
      </c>
      <c r="E182">
        <v>189.5</v>
      </c>
      <c r="F182" t="s">
        <v>38</v>
      </c>
      <c r="G182" s="2">
        <v>-1.7000000000000001E-2</v>
      </c>
    </row>
    <row r="183" spans="1:7" x14ac:dyDescent="0.25">
      <c r="A183" s="1">
        <v>44830</v>
      </c>
      <c r="B183">
        <v>186.21</v>
      </c>
      <c r="C183">
        <v>194.5</v>
      </c>
      <c r="D183">
        <v>194.5</v>
      </c>
      <c r="E183">
        <v>185.84</v>
      </c>
      <c r="F183" t="s">
        <v>71</v>
      </c>
      <c r="G183" s="2">
        <v>-1.8100000000000002E-2</v>
      </c>
    </row>
    <row r="184" spans="1:7" x14ac:dyDescent="0.25">
      <c r="A184" s="1">
        <v>44831</v>
      </c>
      <c r="B184">
        <v>186.05</v>
      </c>
      <c r="C184">
        <v>188.44</v>
      </c>
      <c r="D184">
        <v>188.44</v>
      </c>
      <c r="E184">
        <v>185.26</v>
      </c>
      <c r="F184" t="s">
        <v>460</v>
      </c>
      <c r="G184" s="2">
        <v>-8.9999999999999998E-4</v>
      </c>
    </row>
    <row r="185" spans="1:7" x14ac:dyDescent="0.25">
      <c r="A185" s="1">
        <v>44832</v>
      </c>
      <c r="B185">
        <v>184.47</v>
      </c>
      <c r="C185">
        <v>185.95</v>
      </c>
      <c r="D185">
        <v>186.22</v>
      </c>
      <c r="E185">
        <v>183.8</v>
      </c>
      <c r="F185" t="s">
        <v>114</v>
      </c>
      <c r="G185" s="2">
        <v>-8.5000000000000006E-3</v>
      </c>
    </row>
    <row r="186" spans="1:7" x14ac:dyDescent="0.25">
      <c r="A186" s="1">
        <v>44833</v>
      </c>
      <c r="B186">
        <v>184.07</v>
      </c>
      <c r="C186">
        <v>186.85</v>
      </c>
      <c r="D186">
        <v>186.85</v>
      </c>
      <c r="E186">
        <v>183.71</v>
      </c>
      <c r="F186" t="s">
        <v>251</v>
      </c>
      <c r="G186" s="2">
        <v>-2.2000000000000001E-3</v>
      </c>
    </row>
    <row r="187" spans="1:7" x14ac:dyDescent="0.25">
      <c r="A187" s="1">
        <v>44834</v>
      </c>
      <c r="B187">
        <v>186.83</v>
      </c>
      <c r="C187">
        <v>189.88</v>
      </c>
      <c r="D187">
        <v>189.88</v>
      </c>
      <c r="E187">
        <v>181.8</v>
      </c>
      <c r="F187" t="s">
        <v>459</v>
      </c>
      <c r="G187" s="2">
        <v>1.4999999999999999E-2</v>
      </c>
    </row>
    <row r="188" spans="1:7" x14ac:dyDescent="0.25">
      <c r="A188" s="1">
        <v>44837</v>
      </c>
      <c r="B188">
        <v>184.25</v>
      </c>
      <c r="C188">
        <v>184.6</v>
      </c>
      <c r="D188">
        <v>187.93</v>
      </c>
      <c r="E188">
        <v>183.97</v>
      </c>
      <c r="F188" t="s">
        <v>226</v>
      </c>
      <c r="G188" s="2">
        <v>-1.38E-2</v>
      </c>
    </row>
    <row r="189" spans="1:7" x14ac:dyDescent="0.25">
      <c r="A189" s="1">
        <v>44838</v>
      </c>
      <c r="B189">
        <v>188.29</v>
      </c>
      <c r="C189">
        <v>186.8</v>
      </c>
      <c r="D189">
        <v>188.5</v>
      </c>
      <c r="E189">
        <v>185.36</v>
      </c>
      <c r="F189" t="s">
        <v>370</v>
      </c>
      <c r="G189" s="2">
        <v>2.1899999999999999E-2</v>
      </c>
    </row>
    <row r="190" spans="1:7" x14ac:dyDescent="0.25">
      <c r="A190" s="1">
        <v>44840</v>
      </c>
      <c r="B190">
        <v>188.94</v>
      </c>
      <c r="C190">
        <v>188.31</v>
      </c>
      <c r="D190">
        <v>194.88</v>
      </c>
      <c r="E190">
        <v>188.31</v>
      </c>
      <c r="F190" t="s">
        <v>212</v>
      </c>
      <c r="G190" s="2">
        <v>3.5000000000000001E-3</v>
      </c>
    </row>
    <row r="191" spans="1:7" x14ac:dyDescent="0.25">
      <c r="A191" s="1">
        <v>44841</v>
      </c>
      <c r="B191">
        <v>189.19</v>
      </c>
      <c r="C191">
        <v>193.88</v>
      </c>
      <c r="D191">
        <v>193.88</v>
      </c>
      <c r="E191">
        <v>187.91</v>
      </c>
      <c r="F191" t="s">
        <v>392</v>
      </c>
      <c r="G191" s="2">
        <v>1.2999999999999999E-3</v>
      </c>
    </row>
    <row r="192" spans="1:7" x14ac:dyDescent="0.25">
      <c r="A192" s="1">
        <v>44844</v>
      </c>
      <c r="B192">
        <v>188.75</v>
      </c>
      <c r="C192">
        <v>188.94</v>
      </c>
      <c r="D192">
        <v>189.05</v>
      </c>
      <c r="E192">
        <v>186.63</v>
      </c>
      <c r="F192" t="s">
        <v>177</v>
      </c>
      <c r="G192" s="2">
        <v>-2.3E-3</v>
      </c>
    </row>
    <row r="193" spans="1:7" x14ac:dyDescent="0.25">
      <c r="A193" s="1">
        <v>44845</v>
      </c>
      <c r="B193">
        <v>185.87</v>
      </c>
      <c r="C193">
        <v>190.75</v>
      </c>
      <c r="D193">
        <v>190.75</v>
      </c>
      <c r="E193">
        <v>185.45</v>
      </c>
      <c r="F193" t="s">
        <v>421</v>
      </c>
      <c r="G193" s="2">
        <v>-1.5299999999999999E-2</v>
      </c>
    </row>
    <row r="194" spans="1:7" x14ac:dyDescent="0.25">
      <c r="A194" s="1">
        <v>44846</v>
      </c>
      <c r="B194">
        <v>187.21</v>
      </c>
      <c r="C194">
        <v>176.11</v>
      </c>
      <c r="D194">
        <v>187.69</v>
      </c>
      <c r="E194">
        <v>176.11</v>
      </c>
      <c r="F194" t="s">
        <v>345</v>
      </c>
      <c r="G194" s="2">
        <v>7.1999999999999998E-3</v>
      </c>
    </row>
    <row r="195" spans="1:7" x14ac:dyDescent="0.25">
      <c r="A195" s="1">
        <v>44847</v>
      </c>
      <c r="B195">
        <v>186.23</v>
      </c>
      <c r="C195">
        <v>187.59</v>
      </c>
      <c r="D195">
        <v>187.6</v>
      </c>
      <c r="E195">
        <v>185.61</v>
      </c>
      <c r="F195" t="s">
        <v>439</v>
      </c>
      <c r="G195" s="2">
        <v>-5.1999999999999998E-3</v>
      </c>
    </row>
    <row r="196" spans="1:7" x14ac:dyDescent="0.25">
      <c r="A196" s="1">
        <v>44848</v>
      </c>
      <c r="B196">
        <v>188.02</v>
      </c>
      <c r="C196">
        <v>192.2</v>
      </c>
      <c r="D196">
        <v>192.2</v>
      </c>
      <c r="E196">
        <v>187.7</v>
      </c>
      <c r="F196" t="s">
        <v>417</v>
      </c>
      <c r="G196" s="2">
        <v>9.5999999999999992E-3</v>
      </c>
    </row>
    <row r="197" spans="1:7" x14ac:dyDescent="0.25">
      <c r="A197" s="1">
        <v>44851</v>
      </c>
      <c r="B197">
        <v>188.83</v>
      </c>
      <c r="C197">
        <v>188.6</v>
      </c>
      <c r="D197">
        <v>189</v>
      </c>
      <c r="E197">
        <v>186.06</v>
      </c>
      <c r="F197" t="s">
        <v>458</v>
      </c>
      <c r="G197" s="2">
        <v>4.3E-3</v>
      </c>
    </row>
    <row r="198" spans="1:7" x14ac:dyDescent="0.25">
      <c r="A198" s="1">
        <v>44852</v>
      </c>
      <c r="B198">
        <v>190.64</v>
      </c>
      <c r="C198">
        <v>190.3</v>
      </c>
      <c r="D198">
        <v>190.99</v>
      </c>
      <c r="E198">
        <v>189.25</v>
      </c>
      <c r="F198" t="s">
        <v>379</v>
      </c>
      <c r="G198" s="2">
        <v>9.5999999999999992E-3</v>
      </c>
    </row>
    <row r="199" spans="1:7" x14ac:dyDescent="0.25">
      <c r="A199" s="1">
        <v>44853</v>
      </c>
      <c r="B199">
        <v>190.83</v>
      </c>
      <c r="C199">
        <v>194.5</v>
      </c>
      <c r="D199">
        <v>194.5</v>
      </c>
      <c r="E199">
        <v>190.18</v>
      </c>
      <c r="F199" t="s">
        <v>72</v>
      </c>
      <c r="G199" s="2">
        <v>1E-3</v>
      </c>
    </row>
    <row r="200" spans="1:7" x14ac:dyDescent="0.25">
      <c r="A200" s="1">
        <v>44854</v>
      </c>
      <c r="B200">
        <v>191.44</v>
      </c>
      <c r="C200">
        <v>191.5</v>
      </c>
      <c r="D200">
        <v>191.68</v>
      </c>
      <c r="E200">
        <v>188.91</v>
      </c>
      <c r="F200" t="s">
        <v>375</v>
      </c>
      <c r="G200" s="2">
        <v>3.2000000000000002E-3</v>
      </c>
    </row>
    <row r="201" spans="1:7" x14ac:dyDescent="0.25">
      <c r="A201" s="1">
        <v>44855</v>
      </c>
      <c r="B201">
        <v>191.52</v>
      </c>
      <c r="C201">
        <v>191.97</v>
      </c>
      <c r="D201">
        <v>192.55</v>
      </c>
      <c r="E201">
        <v>190.65</v>
      </c>
      <c r="F201" t="s">
        <v>238</v>
      </c>
      <c r="G201" s="2">
        <v>4.0000000000000002E-4</v>
      </c>
    </row>
    <row r="202" spans="1:7" x14ac:dyDescent="0.25">
      <c r="A202" s="1">
        <v>44858</v>
      </c>
      <c r="B202">
        <v>193.17</v>
      </c>
      <c r="C202">
        <v>194.3</v>
      </c>
      <c r="D202">
        <v>194.4</v>
      </c>
      <c r="E202">
        <v>192.51</v>
      </c>
      <c r="F202" t="s">
        <v>457</v>
      </c>
      <c r="G202" s="2">
        <v>8.6E-3</v>
      </c>
    </row>
    <row r="203" spans="1:7" x14ac:dyDescent="0.25">
      <c r="A203" s="1">
        <v>44859</v>
      </c>
      <c r="B203">
        <v>192.49</v>
      </c>
      <c r="C203">
        <v>195.17</v>
      </c>
      <c r="D203">
        <v>195.17</v>
      </c>
      <c r="E203">
        <v>191.57</v>
      </c>
      <c r="F203" t="s">
        <v>445</v>
      </c>
      <c r="G203" s="2">
        <v>-3.5000000000000001E-3</v>
      </c>
    </row>
    <row r="204" spans="1:7" x14ac:dyDescent="0.25">
      <c r="A204" s="1">
        <v>44861</v>
      </c>
      <c r="B204">
        <v>193.45</v>
      </c>
      <c r="C204">
        <v>192.61</v>
      </c>
      <c r="D204">
        <v>194.15</v>
      </c>
      <c r="E204">
        <v>192.61</v>
      </c>
      <c r="F204" t="s">
        <v>379</v>
      </c>
      <c r="G204" s="2">
        <v>5.0000000000000001E-3</v>
      </c>
    </row>
    <row r="205" spans="1:7" x14ac:dyDescent="0.25">
      <c r="A205" s="1">
        <v>44862</v>
      </c>
      <c r="B205">
        <v>193.96</v>
      </c>
      <c r="C205">
        <v>194.7</v>
      </c>
      <c r="D205">
        <v>194.7</v>
      </c>
      <c r="E205">
        <v>193.01</v>
      </c>
      <c r="F205" t="s">
        <v>340</v>
      </c>
      <c r="G205" s="2">
        <v>2.5999999999999999E-3</v>
      </c>
    </row>
    <row r="206" spans="1:7" x14ac:dyDescent="0.25">
      <c r="A206" s="1">
        <v>44865</v>
      </c>
      <c r="B206">
        <v>196.27</v>
      </c>
      <c r="C206">
        <v>195.7</v>
      </c>
      <c r="D206">
        <v>196.5</v>
      </c>
      <c r="E206">
        <v>194.5</v>
      </c>
      <c r="F206" t="s">
        <v>456</v>
      </c>
      <c r="G206" s="2">
        <v>1.1900000000000001E-2</v>
      </c>
    </row>
    <row r="207" spans="1:7" x14ac:dyDescent="0.25">
      <c r="A207" s="1">
        <v>44866</v>
      </c>
      <c r="B207">
        <v>197.98</v>
      </c>
      <c r="C207">
        <v>197.8</v>
      </c>
      <c r="D207">
        <v>198.24</v>
      </c>
      <c r="E207">
        <v>196.36</v>
      </c>
      <c r="F207" t="s">
        <v>31</v>
      </c>
      <c r="G207" s="2">
        <v>8.6999999999999994E-3</v>
      </c>
    </row>
    <row r="208" spans="1:7" x14ac:dyDescent="0.25">
      <c r="A208" s="1">
        <v>44867</v>
      </c>
      <c r="B208">
        <v>197.41</v>
      </c>
      <c r="C208">
        <v>198.8</v>
      </c>
      <c r="D208">
        <v>198.8</v>
      </c>
      <c r="E208">
        <v>197.07</v>
      </c>
      <c r="F208" t="s">
        <v>209</v>
      </c>
      <c r="G208" s="2">
        <v>-2.8999999999999998E-3</v>
      </c>
    </row>
    <row r="209" spans="1:7" x14ac:dyDescent="0.25">
      <c r="A209" s="1">
        <v>44868</v>
      </c>
      <c r="B209">
        <v>197.39</v>
      </c>
      <c r="C209">
        <v>197.4</v>
      </c>
      <c r="D209">
        <v>197.82</v>
      </c>
      <c r="E209">
        <v>194.6</v>
      </c>
      <c r="F209" t="s">
        <v>422</v>
      </c>
      <c r="G209" s="2">
        <v>-1E-4</v>
      </c>
    </row>
    <row r="210" spans="1:7" x14ac:dyDescent="0.25">
      <c r="A210" s="1">
        <v>44869</v>
      </c>
      <c r="B210">
        <v>197.77</v>
      </c>
      <c r="C210">
        <v>198.6</v>
      </c>
      <c r="D210">
        <v>198.6</v>
      </c>
      <c r="E210">
        <v>196.7</v>
      </c>
      <c r="F210" t="s">
        <v>389</v>
      </c>
      <c r="G210" s="2">
        <v>1.9E-3</v>
      </c>
    </row>
    <row r="211" spans="1:7" x14ac:dyDescent="0.25">
      <c r="A211" s="1">
        <v>44872</v>
      </c>
      <c r="B211">
        <v>198.62</v>
      </c>
      <c r="C211">
        <v>199</v>
      </c>
      <c r="D211">
        <v>199.4</v>
      </c>
      <c r="E211">
        <v>197.42</v>
      </c>
      <c r="F211" t="s">
        <v>388</v>
      </c>
      <c r="G211" s="2">
        <v>4.3E-3</v>
      </c>
    </row>
    <row r="212" spans="1:7" x14ac:dyDescent="0.25">
      <c r="A212" s="1">
        <v>44874</v>
      </c>
      <c r="B212">
        <v>198.32</v>
      </c>
      <c r="C212">
        <v>203.49</v>
      </c>
      <c r="D212">
        <v>203.49</v>
      </c>
      <c r="E212">
        <v>198.15</v>
      </c>
      <c r="F212" t="s">
        <v>385</v>
      </c>
      <c r="G212" s="2">
        <v>-1.5E-3</v>
      </c>
    </row>
    <row r="213" spans="1:7" x14ac:dyDescent="0.25">
      <c r="A213" s="1">
        <v>44875</v>
      </c>
      <c r="B213">
        <v>196.86</v>
      </c>
      <c r="C213">
        <v>198.2</v>
      </c>
      <c r="D213">
        <v>198.2</v>
      </c>
      <c r="E213">
        <v>196.25</v>
      </c>
      <c r="F213" t="s">
        <v>33</v>
      </c>
      <c r="G213" s="2">
        <v>-7.4000000000000003E-3</v>
      </c>
    </row>
    <row r="214" spans="1:7" x14ac:dyDescent="0.25">
      <c r="A214" s="1">
        <v>44876</v>
      </c>
      <c r="B214">
        <v>200.22</v>
      </c>
      <c r="C214">
        <v>199.37</v>
      </c>
      <c r="D214">
        <v>200.35</v>
      </c>
      <c r="E214">
        <v>198.45</v>
      </c>
      <c r="F214" t="s">
        <v>405</v>
      </c>
      <c r="G214" s="2">
        <v>1.7100000000000001E-2</v>
      </c>
    </row>
    <row r="215" spans="1:7" x14ac:dyDescent="0.25">
      <c r="A215" s="1">
        <v>44879</v>
      </c>
      <c r="B215">
        <v>200.17</v>
      </c>
      <c r="C215">
        <v>200.7</v>
      </c>
      <c r="D215">
        <v>200.96</v>
      </c>
      <c r="E215">
        <v>199.02</v>
      </c>
      <c r="F215" t="s">
        <v>265</v>
      </c>
      <c r="G215" s="2">
        <v>-2.0000000000000001E-4</v>
      </c>
    </row>
    <row r="216" spans="1:7" x14ac:dyDescent="0.25">
      <c r="A216" s="1">
        <v>44880</v>
      </c>
      <c r="B216">
        <v>200.91</v>
      </c>
      <c r="C216">
        <v>201.67</v>
      </c>
      <c r="D216">
        <v>201.67</v>
      </c>
      <c r="E216">
        <v>199.8</v>
      </c>
      <c r="F216" t="s">
        <v>455</v>
      </c>
      <c r="G216" s="2">
        <v>3.7000000000000002E-3</v>
      </c>
    </row>
    <row r="217" spans="1:7" x14ac:dyDescent="0.25">
      <c r="A217" s="1">
        <v>44881</v>
      </c>
      <c r="B217">
        <v>200.87</v>
      </c>
      <c r="C217">
        <v>201.95</v>
      </c>
      <c r="D217">
        <v>201.95</v>
      </c>
      <c r="E217">
        <v>200.28</v>
      </c>
      <c r="F217" t="s">
        <v>280</v>
      </c>
      <c r="G217" s="2">
        <v>-2.0000000000000001E-4</v>
      </c>
    </row>
    <row r="218" spans="1:7" x14ac:dyDescent="0.25">
      <c r="A218" s="1">
        <v>44882</v>
      </c>
      <c r="B218">
        <v>200.2</v>
      </c>
      <c r="C218">
        <v>201.25</v>
      </c>
      <c r="D218">
        <v>201.25</v>
      </c>
      <c r="E218">
        <v>199.45</v>
      </c>
      <c r="F218" t="s">
        <v>454</v>
      </c>
      <c r="G218" s="2">
        <v>-3.3E-3</v>
      </c>
    </row>
    <row r="219" spans="1:7" x14ac:dyDescent="0.25">
      <c r="A219" s="1">
        <v>44883</v>
      </c>
      <c r="B219">
        <v>199.92</v>
      </c>
      <c r="C219">
        <v>201.25</v>
      </c>
      <c r="D219">
        <v>201.25</v>
      </c>
      <c r="E219">
        <v>199.06</v>
      </c>
      <c r="F219" t="s">
        <v>448</v>
      </c>
      <c r="G219" s="2">
        <v>-1.4E-3</v>
      </c>
    </row>
    <row r="220" spans="1:7" x14ac:dyDescent="0.25">
      <c r="A220" s="1">
        <v>44886</v>
      </c>
      <c r="B220">
        <v>198.55</v>
      </c>
      <c r="C220">
        <v>199.99</v>
      </c>
      <c r="D220">
        <v>199.99</v>
      </c>
      <c r="E220">
        <v>198.4</v>
      </c>
      <c r="F220" t="s">
        <v>254</v>
      </c>
      <c r="G220" s="2">
        <v>-6.8999999999999999E-3</v>
      </c>
    </row>
    <row r="221" spans="1:7" x14ac:dyDescent="0.25">
      <c r="A221" s="1">
        <v>44887</v>
      </c>
      <c r="B221">
        <v>199.23</v>
      </c>
      <c r="C221">
        <v>199.73</v>
      </c>
      <c r="D221">
        <v>199.73</v>
      </c>
      <c r="E221">
        <v>198.01</v>
      </c>
      <c r="F221" t="s">
        <v>453</v>
      </c>
      <c r="G221" s="2">
        <v>3.3999999999999998E-3</v>
      </c>
    </row>
    <row r="222" spans="1:7" x14ac:dyDescent="0.25">
      <c r="A222" s="1">
        <v>44888</v>
      </c>
      <c r="B222">
        <v>199.51</v>
      </c>
      <c r="C222">
        <v>200.52</v>
      </c>
      <c r="D222">
        <v>200.52</v>
      </c>
      <c r="E222">
        <v>199.17</v>
      </c>
      <c r="F222" t="s">
        <v>452</v>
      </c>
      <c r="G222" s="2">
        <v>1.4E-3</v>
      </c>
    </row>
    <row r="223" spans="1:7" x14ac:dyDescent="0.25">
      <c r="A223" s="1">
        <v>44889</v>
      </c>
      <c r="B223">
        <v>201.72</v>
      </c>
      <c r="C223">
        <v>200.72</v>
      </c>
      <c r="D223">
        <v>202.22</v>
      </c>
      <c r="E223">
        <v>199.45</v>
      </c>
      <c r="F223" t="s">
        <v>313</v>
      </c>
      <c r="G223" s="2">
        <v>1.11E-2</v>
      </c>
    </row>
    <row r="224" spans="1:7" x14ac:dyDescent="0.25">
      <c r="A224" s="1">
        <v>44890</v>
      </c>
      <c r="B224">
        <v>202.35</v>
      </c>
      <c r="C224">
        <v>202.37</v>
      </c>
      <c r="D224">
        <v>202.64</v>
      </c>
      <c r="E224">
        <v>201.44</v>
      </c>
      <c r="F224" t="s">
        <v>334</v>
      </c>
      <c r="G224" s="2">
        <v>3.0999999999999999E-3</v>
      </c>
    </row>
    <row r="225" spans="1:7" x14ac:dyDescent="0.25">
      <c r="A225" s="1">
        <v>44893</v>
      </c>
      <c r="B225">
        <v>203.04</v>
      </c>
      <c r="C225">
        <v>203.52</v>
      </c>
      <c r="D225">
        <v>203.52</v>
      </c>
      <c r="E225">
        <v>200.91</v>
      </c>
      <c r="F225" t="s">
        <v>394</v>
      </c>
      <c r="G225" s="2">
        <v>3.3999999999999998E-3</v>
      </c>
    </row>
    <row r="226" spans="1:7" x14ac:dyDescent="0.25">
      <c r="A226" s="1">
        <v>44894</v>
      </c>
      <c r="B226">
        <v>203.43</v>
      </c>
      <c r="C226">
        <v>207.49</v>
      </c>
      <c r="D226">
        <v>207.49</v>
      </c>
      <c r="E226">
        <v>201.91</v>
      </c>
      <c r="F226" t="s">
        <v>451</v>
      </c>
      <c r="G226" s="2">
        <v>1.9E-3</v>
      </c>
    </row>
    <row r="227" spans="1:7" x14ac:dyDescent="0.25">
      <c r="A227" s="1">
        <v>44895</v>
      </c>
      <c r="B227">
        <v>204.7</v>
      </c>
      <c r="C227">
        <v>207.48</v>
      </c>
      <c r="D227">
        <v>207.48</v>
      </c>
      <c r="E227">
        <v>202.75</v>
      </c>
      <c r="F227" t="s">
        <v>200</v>
      </c>
      <c r="G227" s="2">
        <v>6.1999999999999998E-3</v>
      </c>
    </row>
    <row r="228" spans="1:7" x14ac:dyDescent="0.25">
      <c r="A228" s="1">
        <v>44896</v>
      </c>
      <c r="B228">
        <v>205.54</v>
      </c>
      <c r="C228">
        <v>207.49</v>
      </c>
      <c r="D228">
        <v>207.49</v>
      </c>
      <c r="E228">
        <v>204.73</v>
      </c>
      <c r="F228" t="s">
        <v>350</v>
      </c>
      <c r="G228" s="2">
        <v>4.1000000000000003E-3</v>
      </c>
    </row>
    <row r="229" spans="1:7" x14ac:dyDescent="0.25">
      <c r="A229" s="1">
        <v>44897</v>
      </c>
      <c r="B229">
        <v>204.81</v>
      </c>
      <c r="C229">
        <v>207.49</v>
      </c>
      <c r="D229">
        <v>207.49</v>
      </c>
      <c r="E229">
        <v>203.9</v>
      </c>
      <c r="F229" t="s">
        <v>385</v>
      </c>
      <c r="G229" s="2">
        <v>-3.5999999999999999E-3</v>
      </c>
    </row>
    <row r="230" spans="1:7" x14ac:dyDescent="0.25">
      <c r="A230" s="1">
        <v>44900</v>
      </c>
      <c r="B230">
        <v>204.44</v>
      </c>
      <c r="C230">
        <v>207.49</v>
      </c>
      <c r="D230">
        <v>207.49</v>
      </c>
      <c r="E230">
        <v>203.65</v>
      </c>
      <c r="F230" t="s">
        <v>450</v>
      </c>
      <c r="G230" s="2">
        <v>-1.8E-3</v>
      </c>
    </row>
    <row r="231" spans="1:7" x14ac:dyDescent="0.25">
      <c r="A231" s="1">
        <v>44901</v>
      </c>
      <c r="B231">
        <v>204.14</v>
      </c>
      <c r="C231">
        <v>206.48</v>
      </c>
      <c r="D231">
        <v>206.48</v>
      </c>
      <c r="E231">
        <v>203.5</v>
      </c>
      <c r="F231" t="s">
        <v>449</v>
      </c>
      <c r="G231" s="2">
        <v>-1.5E-3</v>
      </c>
    </row>
    <row r="232" spans="1:7" x14ac:dyDescent="0.25">
      <c r="A232" s="1">
        <v>44902</v>
      </c>
      <c r="B232">
        <v>202.87</v>
      </c>
      <c r="C232">
        <v>203.87</v>
      </c>
      <c r="D232">
        <v>207.24</v>
      </c>
      <c r="E232">
        <v>202.6</v>
      </c>
      <c r="F232" t="s">
        <v>410</v>
      </c>
      <c r="G232" s="2">
        <v>-6.1999999999999998E-3</v>
      </c>
    </row>
    <row r="233" spans="1:7" x14ac:dyDescent="0.25">
      <c r="A233" s="1">
        <v>44903</v>
      </c>
      <c r="B233">
        <v>203.62</v>
      </c>
      <c r="C233">
        <v>176.5</v>
      </c>
      <c r="D233">
        <v>203.8</v>
      </c>
      <c r="E233">
        <v>176.5</v>
      </c>
      <c r="F233" t="s">
        <v>435</v>
      </c>
      <c r="G233" s="2">
        <v>3.7000000000000002E-3</v>
      </c>
    </row>
    <row r="234" spans="1:7" x14ac:dyDescent="0.25">
      <c r="A234" s="1">
        <v>44904</v>
      </c>
      <c r="B234">
        <v>202.48</v>
      </c>
      <c r="C234">
        <v>207.49</v>
      </c>
      <c r="D234">
        <v>207.49</v>
      </c>
      <c r="E234">
        <v>201.71</v>
      </c>
      <c r="F234" t="s">
        <v>335</v>
      </c>
      <c r="G234" s="2">
        <v>-5.5999999999999999E-3</v>
      </c>
    </row>
    <row r="235" spans="1:7" x14ac:dyDescent="0.25">
      <c r="A235" s="1">
        <v>44907</v>
      </c>
      <c r="B235">
        <v>202.61</v>
      </c>
      <c r="C235">
        <v>204.8</v>
      </c>
      <c r="D235">
        <v>205.8</v>
      </c>
      <c r="E235">
        <v>200.55</v>
      </c>
      <c r="F235" t="s">
        <v>448</v>
      </c>
      <c r="G235" s="2">
        <v>5.9999999999999995E-4</v>
      </c>
    </row>
    <row r="236" spans="1:7" x14ac:dyDescent="0.25">
      <c r="A236" s="1">
        <v>44908</v>
      </c>
      <c r="B236">
        <v>203.77</v>
      </c>
      <c r="C236">
        <v>207.49</v>
      </c>
      <c r="D236">
        <v>207.49</v>
      </c>
      <c r="E236">
        <v>202.31</v>
      </c>
      <c r="F236" t="s">
        <v>447</v>
      </c>
      <c r="G236" s="2">
        <v>5.7000000000000002E-3</v>
      </c>
    </row>
    <row r="237" spans="1:7" x14ac:dyDescent="0.25">
      <c r="A237" s="1">
        <v>44909</v>
      </c>
      <c r="B237">
        <v>204.35</v>
      </c>
      <c r="C237">
        <v>204.99</v>
      </c>
      <c r="D237">
        <v>204.99</v>
      </c>
      <c r="E237">
        <v>203.77</v>
      </c>
      <c r="F237" t="s">
        <v>446</v>
      </c>
      <c r="G237" s="2">
        <v>2.8E-3</v>
      </c>
    </row>
    <row r="238" spans="1:7" x14ac:dyDescent="0.25">
      <c r="A238" s="1">
        <v>44910</v>
      </c>
      <c r="B238">
        <v>201.58</v>
      </c>
      <c r="C238">
        <v>204.75</v>
      </c>
      <c r="D238">
        <v>204.75</v>
      </c>
      <c r="E238">
        <v>201.32</v>
      </c>
      <c r="F238" t="s">
        <v>72</v>
      </c>
      <c r="G238" s="2">
        <v>-1.3599999999999999E-2</v>
      </c>
    </row>
    <row r="239" spans="1:7" x14ac:dyDescent="0.25">
      <c r="A239" s="1">
        <v>44911</v>
      </c>
      <c r="B239">
        <v>200.16</v>
      </c>
      <c r="C239">
        <v>202.35</v>
      </c>
      <c r="D239">
        <v>202.35</v>
      </c>
      <c r="E239">
        <v>200</v>
      </c>
      <c r="F239" t="s">
        <v>274</v>
      </c>
      <c r="G239" s="2">
        <v>-7.0000000000000001E-3</v>
      </c>
    </row>
    <row r="240" spans="1:7" x14ac:dyDescent="0.25">
      <c r="A240" s="1">
        <v>44914</v>
      </c>
      <c r="B240">
        <v>201.67</v>
      </c>
      <c r="C240">
        <v>201.42</v>
      </c>
      <c r="D240">
        <v>201.79</v>
      </c>
      <c r="E240">
        <v>198.66</v>
      </c>
      <c r="F240" t="s">
        <v>445</v>
      </c>
      <c r="G240" s="2">
        <v>7.4999999999999997E-3</v>
      </c>
    </row>
    <row r="241" spans="1:7" x14ac:dyDescent="0.25">
      <c r="A241" s="1">
        <v>44915</v>
      </c>
      <c r="B241">
        <v>201.21</v>
      </c>
      <c r="C241">
        <v>203.85</v>
      </c>
      <c r="D241">
        <v>203.85</v>
      </c>
      <c r="E241">
        <v>199.25</v>
      </c>
      <c r="F241" t="s">
        <v>380</v>
      </c>
      <c r="G241" s="2">
        <v>-2.3E-3</v>
      </c>
    </row>
    <row r="242" spans="1:7" x14ac:dyDescent="0.25">
      <c r="A242" s="1">
        <v>44916</v>
      </c>
      <c r="B242">
        <v>199.4</v>
      </c>
      <c r="C242">
        <v>203.95</v>
      </c>
      <c r="D242">
        <v>203.95</v>
      </c>
      <c r="E242">
        <v>199</v>
      </c>
      <c r="F242" t="s">
        <v>398</v>
      </c>
      <c r="G242" s="2">
        <v>-8.9999999999999993E-3</v>
      </c>
    </row>
    <row r="243" spans="1:7" x14ac:dyDescent="0.25">
      <c r="A243" s="1">
        <v>44917</v>
      </c>
      <c r="B243">
        <v>198.55</v>
      </c>
      <c r="C243">
        <v>199.4</v>
      </c>
      <c r="D243">
        <v>202.31</v>
      </c>
      <c r="E243">
        <v>197.9</v>
      </c>
      <c r="F243" t="s">
        <v>199</v>
      </c>
      <c r="G243" s="2">
        <v>-4.3E-3</v>
      </c>
    </row>
    <row r="244" spans="1:7" x14ac:dyDescent="0.25">
      <c r="A244" s="1">
        <v>44918</v>
      </c>
      <c r="B244">
        <v>195.15</v>
      </c>
      <c r="C244">
        <v>201.43</v>
      </c>
      <c r="D244">
        <v>201.43</v>
      </c>
      <c r="E244">
        <v>194.8</v>
      </c>
      <c r="F244" t="s">
        <v>98</v>
      </c>
      <c r="G244" s="2">
        <v>-1.7100000000000001E-2</v>
      </c>
    </row>
    <row r="245" spans="1:7" x14ac:dyDescent="0.25">
      <c r="A245" s="1">
        <v>44921</v>
      </c>
      <c r="B245">
        <v>197.23</v>
      </c>
      <c r="C245">
        <v>198.51</v>
      </c>
      <c r="D245">
        <v>198.51</v>
      </c>
      <c r="E245">
        <v>194.8</v>
      </c>
      <c r="F245" t="s">
        <v>252</v>
      </c>
      <c r="G245" s="2">
        <v>1.0699999999999999E-2</v>
      </c>
    </row>
    <row r="246" spans="1:7" x14ac:dyDescent="0.25">
      <c r="A246" s="1">
        <v>44922</v>
      </c>
      <c r="B246">
        <v>198</v>
      </c>
      <c r="C246">
        <v>198.91</v>
      </c>
      <c r="D246">
        <v>198.91</v>
      </c>
      <c r="E246">
        <v>196.58</v>
      </c>
      <c r="F246" t="s">
        <v>62</v>
      </c>
      <c r="G246" s="2">
        <v>3.8999999999999998E-3</v>
      </c>
    </row>
    <row r="247" spans="1:7" x14ac:dyDescent="0.25">
      <c r="A247" s="1">
        <v>44923</v>
      </c>
      <c r="B247">
        <v>197.99</v>
      </c>
      <c r="C247">
        <v>198.95</v>
      </c>
      <c r="D247">
        <v>198.95</v>
      </c>
      <c r="E247">
        <v>197.01</v>
      </c>
      <c r="F247" t="s">
        <v>230</v>
      </c>
      <c r="G247" s="2">
        <v>-1E-4</v>
      </c>
    </row>
    <row r="248" spans="1:7" x14ac:dyDescent="0.25">
      <c r="A248" s="1">
        <v>44924</v>
      </c>
      <c r="B248">
        <v>198.78</v>
      </c>
      <c r="C248">
        <v>197.9</v>
      </c>
      <c r="D248">
        <v>199.08</v>
      </c>
      <c r="E248">
        <v>196.76</v>
      </c>
      <c r="F248" t="s">
        <v>385</v>
      </c>
      <c r="G248" s="2">
        <v>4.0000000000000001E-3</v>
      </c>
    </row>
    <row r="249" spans="1:7" x14ac:dyDescent="0.25">
      <c r="A249" s="1">
        <v>44925</v>
      </c>
      <c r="B249">
        <v>198.04</v>
      </c>
      <c r="C249">
        <v>199.9</v>
      </c>
      <c r="D249">
        <v>200.14</v>
      </c>
      <c r="E249">
        <v>197.7</v>
      </c>
      <c r="F249" t="s">
        <v>254</v>
      </c>
      <c r="G249" s="2">
        <v>-3.7000000000000002E-3</v>
      </c>
    </row>
    <row r="250" spans="1:7" x14ac:dyDescent="0.25">
      <c r="A250" s="1">
        <v>44928</v>
      </c>
      <c r="B250">
        <v>199.34</v>
      </c>
      <c r="C250">
        <v>200.99</v>
      </c>
      <c r="D250">
        <v>201</v>
      </c>
      <c r="E250">
        <v>197.49</v>
      </c>
      <c r="F250" t="s">
        <v>310</v>
      </c>
      <c r="G250" s="2">
        <v>6.6E-3</v>
      </c>
    </row>
    <row r="251" spans="1:7" x14ac:dyDescent="0.25">
      <c r="A251" s="1">
        <v>44929</v>
      </c>
      <c r="B251">
        <v>199.68</v>
      </c>
      <c r="C251">
        <v>199.95</v>
      </c>
      <c r="D251">
        <v>199.95</v>
      </c>
      <c r="E251">
        <v>198.39</v>
      </c>
      <c r="F251" t="s">
        <v>444</v>
      </c>
      <c r="G251" s="2">
        <v>1.6999999999999999E-3</v>
      </c>
    </row>
    <row r="252" spans="1:7" x14ac:dyDescent="0.25">
      <c r="A252" s="1">
        <v>44930</v>
      </c>
      <c r="B252">
        <v>197.67</v>
      </c>
      <c r="C252">
        <v>200.9</v>
      </c>
      <c r="D252">
        <v>200.9</v>
      </c>
      <c r="E252">
        <v>197.4</v>
      </c>
      <c r="F252" t="s">
        <v>171</v>
      </c>
      <c r="G252" s="2">
        <v>-1.01E-2</v>
      </c>
    </row>
    <row r="253" spans="1:7" x14ac:dyDescent="0.25">
      <c r="A253" s="1">
        <v>44931</v>
      </c>
      <c r="B253">
        <v>197.07</v>
      </c>
      <c r="C253">
        <v>198.95</v>
      </c>
      <c r="D253">
        <v>198.95</v>
      </c>
      <c r="E253">
        <v>195</v>
      </c>
      <c r="F253" t="s">
        <v>320</v>
      </c>
      <c r="G253" s="2">
        <v>-3.0000000000000001E-3</v>
      </c>
    </row>
    <row r="254" spans="1:7" x14ac:dyDescent="0.25">
      <c r="A254" s="1">
        <v>44932</v>
      </c>
      <c r="B254">
        <v>195.72</v>
      </c>
      <c r="C254">
        <v>198.15</v>
      </c>
      <c r="D254">
        <v>198.15</v>
      </c>
      <c r="E254">
        <v>194.99</v>
      </c>
      <c r="F254" t="s">
        <v>443</v>
      </c>
      <c r="G254" s="2">
        <v>-6.8999999999999999E-3</v>
      </c>
    </row>
    <row r="255" spans="1:7" x14ac:dyDescent="0.25">
      <c r="A255" s="1">
        <v>44935</v>
      </c>
      <c r="B255">
        <v>198.28</v>
      </c>
      <c r="C255">
        <v>195.76</v>
      </c>
      <c r="D255">
        <v>199</v>
      </c>
      <c r="E255">
        <v>195.72</v>
      </c>
      <c r="F255" t="s">
        <v>442</v>
      </c>
      <c r="G255" s="2">
        <v>1.3100000000000001E-2</v>
      </c>
    </row>
    <row r="256" spans="1:7" x14ac:dyDescent="0.25">
      <c r="A256" s="1">
        <v>44936</v>
      </c>
      <c r="B256">
        <v>196.13</v>
      </c>
      <c r="C256">
        <v>198.28</v>
      </c>
      <c r="D256">
        <v>199.18</v>
      </c>
      <c r="E256">
        <v>195.62</v>
      </c>
      <c r="F256" t="s">
        <v>441</v>
      </c>
      <c r="G256" s="2">
        <v>-1.0800000000000001E-2</v>
      </c>
    </row>
    <row r="257" spans="1:7" x14ac:dyDescent="0.25">
      <c r="A257" s="1">
        <v>44937</v>
      </c>
      <c r="B257">
        <v>196.13</v>
      </c>
      <c r="C257">
        <v>195.88</v>
      </c>
      <c r="D257">
        <v>198.99</v>
      </c>
      <c r="E257">
        <v>195.25</v>
      </c>
      <c r="F257" t="s">
        <v>408</v>
      </c>
      <c r="G257" s="2">
        <v>0</v>
      </c>
    </row>
    <row r="258" spans="1:7" x14ac:dyDescent="0.25">
      <c r="A258" s="1">
        <v>44938</v>
      </c>
      <c r="B258">
        <v>195.61</v>
      </c>
      <c r="C258">
        <v>202</v>
      </c>
      <c r="D258">
        <v>202</v>
      </c>
      <c r="E258">
        <v>194.55</v>
      </c>
      <c r="F258" t="s">
        <v>372</v>
      </c>
      <c r="G258" s="2">
        <v>-2.7000000000000001E-3</v>
      </c>
    </row>
    <row r="259" spans="1:7" x14ac:dyDescent="0.25">
      <c r="A259" s="1">
        <v>44939</v>
      </c>
      <c r="B259">
        <v>196.61</v>
      </c>
      <c r="C259">
        <v>196.9</v>
      </c>
      <c r="D259">
        <v>197.15</v>
      </c>
      <c r="E259">
        <v>194.73</v>
      </c>
      <c r="F259" t="s">
        <v>180</v>
      </c>
      <c r="G259" s="2">
        <v>5.1000000000000004E-3</v>
      </c>
    </row>
    <row r="260" spans="1:7" x14ac:dyDescent="0.25">
      <c r="A260" s="1">
        <v>44942</v>
      </c>
      <c r="B260">
        <v>196.06</v>
      </c>
      <c r="C260">
        <v>196.61</v>
      </c>
      <c r="D260">
        <v>198.5</v>
      </c>
      <c r="E260">
        <v>195.6</v>
      </c>
      <c r="F260" t="s">
        <v>105</v>
      </c>
      <c r="G260" s="2">
        <v>-2.8E-3</v>
      </c>
    </row>
    <row r="261" spans="1:7" x14ac:dyDescent="0.25">
      <c r="A261" s="1">
        <v>44943</v>
      </c>
      <c r="B261">
        <v>197.47</v>
      </c>
      <c r="C261">
        <v>196</v>
      </c>
      <c r="D261">
        <v>198</v>
      </c>
      <c r="E261">
        <v>195.81</v>
      </c>
      <c r="F261" t="s">
        <v>257</v>
      </c>
      <c r="G261" s="2">
        <v>7.1999999999999998E-3</v>
      </c>
    </row>
    <row r="262" spans="1:7" x14ac:dyDescent="0.25">
      <c r="A262" s="1">
        <v>44944</v>
      </c>
      <c r="B262">
        <v>198.65</v>
      </c>
      <c r="C262">
        <v>199</v>
      </c>
      <c r="D262">
        <v>199</v>
      </c>
      <c r="E262">
        <v>197.18</v>
      </c>
      <c r="F262" t="s">
        <v>440</v>
      </c>
      <c r="G262" s="2">
        <v>6.0000000000000001E-3</v>
      </c>
    </row>
    <row r="263" spans="1:7" x14ac:dyDescent="0.25">
      <c r="A263" s="1">
        <v>44945</v>
      </c>
      <c r="B263">
        <v>198.43</v>
      </c>
      <c r="C263">
        <v>199.41</v>
      </c>
      <c r="D263">
        <v>199.41</v>
      </c>
      <c r="E263">
        <v>197.67</v>
      </c>
      <c r="F263" t="s">
        <v>256</v>
      </c>
      <c r="G263" s="2">
        <v>-1.1000000000000001E-3</v>
      </c>
    </row>
    <row r="264" spans="1:7" x14ac:dyDescent="0.25">
      <c r="A264" s="1">
        <v>44946</v>
      </c>
      <c r="B264">
        <v>197.45</v>
      </c>
      <c r="C264">
        <v>199.89</v>
      </c>
      <c r="D264">
        <v>199.89</v>
      </c>
      <c r="E264">
        <v>197.31</v>
      </c>
      <c r="F264" t="s">
        <v>402</v>
      </c>
      <c r="G264" s="2">
        <v>-4.8999999999999998E-3</v>
      </c>
    </row>
    <row r="265" spans="1:7" x14ac:dyDescent="0.25">
      <c r="A265" s="1">
        <v>44949</v>
      </c>
      <c r="B265">
        <v>198.44</v>
      </c>
      <c r="C265">
        <v>198.59</v>
      </c>
      <c r="D265">
        <v>199</v>
      </c>
      <c r="E265">
        <v>197.61</v>
      </c>
      <c r="F265" t="s">
        <v>419</v>
      </c>
      <c r="G265" s="2">
        <v>5.0000000000000001E-3</v>
      </c>
    </row>
    <row r="266" spans="1:7" x14ac:dyDescent="0.25">
      <c r="A266" s="1">
        <v>44950</v>
      </c>
      <c r="B266">
        <v>198.42</v>
      </c>
      <c r="C266">
        <v>199.94</v>
      </c>
      <c r="D266">
        <v>199.94</v>
      </c>
      <c r="E266">
        <v>198</v>
      </c>
      <c r="F266" t="s">
        <v>439</v>
      </c>
      <c r="G266" s="2">
        <v>-1E-4</v>
      </c>
    </row>
    <row r="267" spans="1:7" x14ac:dyDescent="0.25">
      <c r="A267" s="1">
        <v>44951</v>
      </c>
      <c r="B267">
        <v>196.04</v>
      </c>
      <c r="C267">
        <v>199.44</v>
      </c>
      <c r="D267">
        <v>199.44</v>
      </c>
      <c r="E267">
        <v>195.6</v>
      </c>
      <c r="F267" t="s">
        <v>104</v>
      </c>
      <c r="G267" s="2">
        <v>-1.2E-2</v>
      </c>
    </row>
    <row r="268" spans="1:7" x14ac:dyDescent="0.25">
      <c r="A268" s="1">
        <v>44953</v>
      </c>
      <c r="B268">
        <v>193</v>
      </c>
      <c r="C268">
        <v>196.95</v>
      </c>
      <c r="D268">
        <v>197.2</v>
      </c>
      <c r="E268">
        <v>191.59</v>
      </c>
      <c r="F268" t="s">
        <v>438</v>
      </c>
      <c r="G268" s="2">
        <v>-1.55E-2</v>
      </c>
    </row>
    <row r="269" spans="1:7" x14ac:dyDescent="0.25">
      <c r="A269" s="1">
        <v>44956</v>
      </c>
      <c r="B269">
        <v>193.25</v>
      </c>
      <c r="C269">
        <v>194.9</v>
      </c>
      <c r="D269">
        <v>194.9</v>
      </c>
      <c r="E269">
        <v>190.5</v>
      </c>
      <c r="F269" t="s">
        <v>113</v>
      </c>
      <c r="G269" s="2">
        <v>1.2999999999999999E-3</v>
      </c>
    </row>
    <row r="270" spans="1:7" x14ac:dyDescent="0.25">
      <c r="A270" s="1">
        <v>44957</v>
      </c>
      <c r="B270">
        <v>193.44</v>
      </c>
      <c r="C270">
        <v>196.49</v>
      </c>
      <c r="D270">
        <v>196.49</v>
      </c>
      <c r="E270">
        <v>192.21</v>
      </c>
      <c r="F270" t="s">
        <v>198</v>
      </c>
      <c r="G270" s="2">
        <v>1E-3</v>
      </c>
    </row>
    <row r="271" spans="1:7" x14ac:dyDescent="0.25">
      <c r="A271" s="1">
        <v>44958</v>
      </c>
      <c r="B271">
        <v>193.13</v>
      </c>
      <c r="C271">
        <v>196.99</v>
      </c>
      <c r="D271">
        <v>196.99</v>
      </c>
      <c r="E271">
        <v>190.6</v>
      </c>
      <c r="F271" t="s">
        <v>437</v>
      </c>
      <c r="G271" s="2">
        <v>-1.6000000000000001E-3</v>
      </c>
    </row>
    <row r="272" spans="1:7" x14ac:dyDescent="0.25">
      <c r="A272" s="1">
        <v>44959</v>
      </c>
      <c r="B272">
        <v>192.91</v>
      </c>
      <c r="C272">
        <v>194.6</v>
      </c>
      <c r="D272">
        <v>194.6</v>
      </c>
      <c r="E272">
        <v>191.11</v>
      </c>
      <c r="F272" t="s">
        <v>322</v>
      </c>
      <c r="G272" s="2">
        <v>-1.1000000000000001E-3</v>
      </c>
    </row>
    <row r="273" spans="1:7" x14ac:dyDescent="0.25">
      <c r="A273" s="1">
        <v>44960</v>
      </c>
      <c r="B273">
        <v>195.12</v>
      </c>
      <c r="C273">
        <v>198.7</v>
      </c>
      <c r="D273">
        <v>203.5</v>
      </c>
      <c r="E273">
        <v>190.01</v>
      </c>
      <c r="F273" t="s">
        <v>351</v>
      </c>
      <c r="G273" s="2">
        <v>1.15E-2</v>
      </c>
    </row>
    <row r="274" spans="1:7" x14ac:dyDescent="0.25">
      <c r="A274" s="1">
        <v>44963</v>
      </c>
      <c r="B274">
        <v>194.48</v>
      </c>
      <c r="C274">
        <v>199.9</v>
      </c>
      <c r="D274">
        <v>201</v>
      </c>
      <c r="E274">
        <v>193.91</v>
      </c>
      <c r="F274" t="s">
        <v>423</v>
      </c>
      <c r="G274" s="2">
        <v>-3.3E-3</v>
      </c>
    </row>
    <row r="275" spans="1:7" x14ac:dyDescent="0.25">
      <c r="A275" s="1">
        <v>44964</v>
      </c>
      <c r="B275">
        <v>194.04</v>
      </c>
      <c r="C275">
        <v>196.16</v>
      </c>
      <c r="D275">
        <v>196.16</v>
      </c>
      <c r="E275">
        <v>193.4</v>
      </c>
      <c r="F275" t="s">
        <v>197</v>
      </c>
      <c r="G275" s="2">
        <v>-2.3E-3</v>
      </c>
    </row>
    <row r="276" spans="1:7" x14ac:dyDescent="0.25">
      <c r="A276" s="1">
        <v>44965</v>
      </c>
      <c r="B276">
        <v>195.54</v>
      </c>
      <c r="C276">
        <v>194.2</v>
      </c>
      <c r="D276">
        <v>195.8</v>
      </c>
      <c r="E276">
        <v>189.1</v>
      </c>
      <c r="F276" t="s">
        <v>283</v>
      </c>
      <c r="G276" s="2">
        <v>7.7000000000000002E-3</v>
      </c>
    </row>
    <row r="277" spans="1:7" x14ac:dyDescent="0.25">
      <c r="A277" s="1">
        <v>44966</v>
      </c>
      <c r="B277">
        <v>195.89</v>
      </c>
      <c r="C277">
        <v>201.4</v>
      </c>
      <c r="D277">
        <v>201.4</v>
      </c>
      <c r="E277">
        <v>194.61</v>
      </c>
      <c r="F277" t="s">
        <v>391</v>
      </c>
      <c r="G277" s="2">
        <v>1.8E-3</v>
      </c>
    </row>
    <row r="278" spans="1:7" x14ac:dyDescent="0.25">
      <c r="A278" s="1">
        <v>44967</v>
      </c>
      <c r="B278">
        <v>195.49</v>
      </c>
      <c r="C278">
        <v>197.97</v>
      </c>
      <c r="D278">
        <v>197.97</v>
      </c>
      <c r="E278">
        <v>194.39</v>
      </c>
      <c r="F278" t="s">
        <v>406</v>
      </c>
      <c r="G278" s="2">
        <v>-2E-3</v>
      </c>
    </row>
    <row r="279" spans="1:7" x14ac:dyDescent="0.25">
      <c r="A279" s="1">
        <v>44970</v>
      </c>
      <c r="B279">
        <v>194.6</v>
      </c>
      <c r="C279">
        <v>195.49</v>
      </c>
      <c r="D279">
        <v>198.2</v>
      </c>
      <c r="E279">
        <v>193.93</v>
      </c>
      <c r="F279" t="s">
        <v>309</v>
      </c>
      <c r="G279" s="2">
        <v>-4.5999999999999999E-3</v>
      </c>
    </row>
    <row r="280" spans="1:7" x14ac:dyDescent="0.25">
      <c r="A280" s="1">
        <v>44971</v>
      </c>
      <c r="B280">
        <v>195.98</v>
      </c>
      <c r="C280">
        <v>197.89</v>
      </c>
      <c r="D280">
        <v>197.89</v>
      </c>
      <c r="E280">
        <v>194.6</v>
      </c>
      <c r="F280" t="s">
        <v>397</v>
      </c>
      <c r="G280" s="2">
        <v>7.1000000000000004E-3</v>
      </c>
    </row>
    <row r="281" spans="1:7" x14ac:dyDescent="0.25">
      <c r="A281" s="1">
        <v>44972</v>
      </c>
      <c r="B281">
        <v>197.08</v>
      </c>
      <c r="C281">
        <v>196.98</v>
      </c>
      <c r="D281">
        <v>197.37</v>
      </c>
      <c r="E281">
        <v>194.13</v>
      </c>
      <c r="F281" t="s">
        <v>225</v>
      </c>
      <c r="G281" s="2">
        <v>5.5999999999999999E-3</v>
      </c>
    </row>
    <row r="282" spans="1:7" x14ac:dyDescent="0.25">
      <c r="A282" s="1">
        <v>44973</v>
      </c>
      <c r="B282">
        <v>197.35</v>
      </c>
      <c r="C282">
        <v>198.48</v>
      </c>
      <c r="D282">
        <v>198.48</v>
      </c>
      <c r="E282">
        <v>196.6</v>
      </c>
      <c r="F282" t="s">
        <v>436</v>
      </c>
      <c r="G282" s="2">
        <v>1.4E-3</v>
      </c>
    </row>
    <row r="283" spans="1:7" x14ac:dyDescent="0.25">
      <c r="A283" s="1">
        <v>44974</v>
      </c>
      <c r="B283">
        <v>196.3</v>
      </c>
      <c r="C283">
        <v>198.89</v>
      </c>
      <c r="D283">
        <v>198.89</v>
      </c>
      <c r="E283">
        <v>195.75</v>
      </c>
      <c r="F283" t="s">
        <v>274</v>
      </c>
      <c r="G283" s="2">
        <v>-5.3E-3</v>
      </c>
    </row>
    <row r="284" spans="1:7" x14ac:dyDescent="0.25">
      <c r="A284" s="1">
        <v>44977</v>
      </c>
      <c r="B284">
        <v>195.59</v>
      </c>
      <c r="C284">
        <v>198.69</v>
      </c>
      <c r="D284">
        <v>198.69</v>
      </c>
      <c r="E284">
        <v>195.35</v>
      </c>
      <c r="F284" t="s">
        <v>329</v>
      </c>
      <c r="G284" s="2">
        <v>-3.5999999999999999E-3</v>
      </c>
    </row>
    <row r="285" spans="1:7" x14ac:dyDescent="0.25">
      <c r="A285" s="1">
        <v>44978</v>
      </c>
      <c r="B285">
        <v>195.26</v>
      </c>
      <c r="C285">
        <v>196.25</v>
      </c>
      <c r="D285">
        <v>196.52</v>
      </c>
      <c r="E285">
        <v>193.25</v>
      </c>
      <c r="F285" t="s">
        <v>435</v>
      </c>
      <c r="G285" s="2">
        <v>-1.6999999999999999E-3</v>
      </c>
    </row>
    <row r="286" spans="1:7" x14ac:dyDescent="0.25">
      <c r="A286" s="1">
        <v>44979</v>
      </c>
      <c r="B286">
        <v>192.51</v>
      </c>
      <c r="C286">
        <v>196.89</v>
      </c>
      <c r="D286">
        <v>196.89</v>
      </c>
      <c r="E286">
        <v>192.21</v>
      </c>
      <c r="F286" t="s">
        <v>434</v>
      </c>
      <c r="G286" s="2">
        <v>-1.41E-2</v>
      </c>
    </row>
    <row r="287" spans="1:7" x14ac:dyDescent="0.25">
      <c r="A287" s="1">
        <v>44980</v>
      </c>
      <c r="B287">
        <v>192.01</v>
      </c>
      <c r="C287">
        <v>194.49</v>
      </c>
      <c r="D287">
        <v>194.49</v>
      </c>
      <c r="E287">
        <v>191.44</v>
      </c>
      <c r="F287" t="s">
        <v>400</v>
      </c>
      <c r="G287" s="2">
        <v>-2.5999999999999999E-3</v>
      </c>
    </row>
    <row r="288" spans="1:7" x14ac:dyDescent="0.25">
      <c r="A288" s="1">
        <v>44981</v>
      </c>
      <c r="B288">
        <v>191.46</v>
      </c>
      <c r="C288">
        <v>193.99</v>
      </c>
      <c r="D288">
        <v>195</v>
      </c>
      <c r="E288">
        <v>191.05</v>
      </c>
      <c r="F288" t="s">
        <v>418</v>
      </c>
      <c r="G288" s="2">
        <v>-2.8999999999999998E-3</v>
      </c>
    </row>
    <row r="289" spans="1:7" x14ac:dyDescent="0.25">
      <c r="A289" s="1">
        <v>44984</v>
      </c>
      <c r="B289">
        <v>190.56</v>
      </c>
      <c r="C289">
        <v>192.87</v>
      </c>
      <c r="D289">
        <v>192.87</v>
      </c>
      <c r="E289">
        <v>189.73</v>
      </c>
      <c r="F289" t="s">
        <v>433</v>
      </c>
      <c r="G289" s="2">
        <v>-4.7000000000000002E-3</v>
      </c>
    </row>
    <row r="290" spans="1:7" x14ac:dyDescent="0.25">
      <c r="A290" s="1">
        <v>44985</v>
      </c>
      <c r="B290">
        <v>189.7</v>
      </c>
      <c r="C290">
        <v>192.48</v>
      </c>
      <c r="D290">
        <v>192.48</v>
      </c>
      <c r="E290">
        <v>189.2</v>
      </c>
      <c r="F290" t="s">
        <v>44</v>
      </c>
      <c r="G290" s="2">
        <v>-4.4999999999999997E-3</v>
      </c>
    </row>
    <row r="291" spans="1:7" x14ac:dyDescent="0.25">
      <c r="A291" s="1">
        <v>44986</v>
      </c>
      <c r="B291">
        <v>191.28</v>
      </c>
      <c r="C291">
        <v>191.89</v>
      </c>
      <c r="D291">
        <v>191.89</v>
      </c>
      <c r="E291">
        <v>189.81</v>
      </c>
      <c r="F291" t="s">
        <v>284</v>
      </c>
      <c r="G291" s="2">
        <v>8.3000000000000001E-3</v>
      </c>
    </row>
    <row r="292" spans="1:7" x14ac:dyDescent="0.25">
      <c r="A292" s="1">
        <v>44987</v>
      </c>
      <c r="B292">
        <v>189.93</v>
      </c>
      <c r="C292">
        <v>192.65</v>
      </c>
      <c r="D292">
        <v>196.5</v>
      </c>
      <c r="E292">
        <v>189.76</v>
      </c>
      <c r="F292" t="s">
        <v>225</v>
      </c>
      <c r="G292" s="2">
        <v>-7.1000000000000004E-3</v>
      </c>
    </row>
    <row r="293" spans="1:7" x14ac:dyDescent="0.25">
      <c r="A293" s="1">
        <v>44988</v>
      </c>
      <c r="B293">
        <v>192.51</v>
      </c>
      <c r="C293">
        <v>193.15</v>
      </c>
      <c r="D293">
        <v>193.15</v>
      </c>
      <c r="E293">
        <v>190.33</v>
      </c>
      <c r="F293" t="s">
        <v>62</v>
      </c>
      <c r="G293" s="2">
        <v>1.3599999999999999E-2</v>
      </c>
    </row>
    <row r="294" spans="1:7" x14ac:dyDescent="0.25">
      <c r="A294" s="1">
        <v>44991</v>
      </c>
      <c r="B294">
        <v>193.63</v>
      </c>
      <c r="C294">
        <v>193.89</v>
      </c>
      <c r="D294">
        <v>194.4</v>
      </c>
      <c r="E294">
        <v>192.61</v>
      </c>
      <c r="F294" t="s">
        <v>417</v>
      </c>
      <c r="G294" s="2">
        <v>5.7999999999999996E-3</v>
      </c>
    </row>
    <row r="295" spans="1:7" x14ac:dyDescent="0.25">
      <c r="A295" s="1">
        <v>44993</v>
      </c>
      <c r="B295">
        <v>193.95</v>
      </c>
      <c r="C295">
        <v>194.63</v>
      </c>
      <c r="D295">
        <v>194.63</v>
      </c>
      <c r="E295">
        <v>190.6</v>
      </c>
      <c r="F295" t="s">
        <v>328</v>
      </c>
      <c r="G295" s="2">
        <v>1.6999999999999999E-3</v>
      </c>
    </row>
    <row r="296" spans="1:7" x14ac:dyDescent="0.25">
      <c r="A296" s="1">
        <v>44994</v>
      </c>
      <c r="B296">
        <v>192.64</v>
      </c>
      <c r="C296">
        <v>188.15</v>
      </c>
      <c r="D296">
        <v>194.65</v>
      </c>
      <c r="E296">
        <v>188.15</v>
      </c>
      <c r="F296" t="s">
        <v>230</v>
      </c>
      <c r="G296" s="2">
        <v>-6.7999999999999996E-3</v>
      </c>
    </row>
    <row r="297" spans="1:7" x14ac:dyDescent="0.25">
      <c r="A297" s="1">
        <v>44995</v>
      </c>
      <c r="B297">
        <v>190.75</v>
      </c>
      <c r="C297">
        <v>191.91</v>
      </c>
      <c r="D297">
        <v>191.92</v>
      </c>
      <c r="E297">
        <v>190</v>
      </c>
      <c r="F297" t="s">
        <v>432</v>
      </c>
      <c r="G297" s="2">
        <v>-9.7999999999999997E-3</v>
      </c>
    </row>
    <row r="298" spans="1:7" x14ac:dyDescent="0.25">
      <c r="A298" s="1">
        <v>44998</v>
      </c>
      <c r="B298">
        <v>188.12</v>
      </c>
      <c r="C298">
        <v>192.65</v>
      </c>
      <c r="D298">
        <v>192.65</v>
      </c>
      <c r="E298">
        <v>187.65</v>
      </c>
      <c r="F298" t="s">
        <v>431</v>
      </c>
      <c r="G298" s="2">
        <v>-1.38E-2</v>
      </c>
    </row>
    <row r="299" spans="1:7" x14ac:dyDescent="0.25">
      <c r="A299" s="1">
        <v>44999</v>
      </c>
      <c r="B299">
        <v>186.91</v>
      </c>
      <c r="C299">
        <v>189.44</v>
      </c>
      <c r="D299">
        <v>189.7</v>
      </c>
      <c r="E299">
        <v>186.31</v>
      </c>
      <c r="F299" t="s">
        <v>430</v>
      </c>
      <c r="G299" s="2">
        <v>-6.4000000000000003E-3</v>
      </c>
    </row>
    <row r="300" spans="1:7" x14ac:dyDescent="0.25">
      <c r="A300" s="1">
        <v>45000</v>
      </c>
      <c r="B300">
        <v>186.1</v>
      </c>
      <c r="C300">
        <v>192.5</v>
      </c>
      <c r="D300">
        <v>192.5</v>
      </c>
      <c r="E300">
        <v>185.76</v>
      </c>
      <c r="F300" t="s">
        <v>429</v>
      </c>
      <c r="G300" s="2">
        <v>-4.3E-3</v>
      </c>
    </row>
    <row r="301" spans="1:7" x14ac:dyDescent="0.25">
      <c r="A301" s="1">
        <v>45001</v>
      </c>
      <c r="B301">
        <v>186.23</v>
      </c>
      <c r="C301">
        <v>188.52</v>
      </c>
      <c r="D301">
        <v>188.52</v>
      </c>
      <c r="E301">
        <v>184.8</v>
      </c>
      <c r="F301" t="s">
        <v>428</v>
      </c>
      <c r="G301" s="2">
        <v>6.9999999999999999E-4</v>
      </c>
    </row>
    <row r="302" spans="1:7" x14ac:dyDescent="0.25">
      <c r="A302" s="1">
        <v>45002</v>
      </c>
      <c r="B302">
        <v>187.42</v>
      </c>
      <c r="C302">
        <v>189.52</v>
      </c>
      <c r="D302">
        <v>189.52</v>
      </c>
      <c r="E302">
        <v>185.9</v>
      </c>
      <c r="F302" t="s">
        <v>153</v>
      </c>
      <c r="G302" s="2">
        <v>6.4000000000000003E-3</v>
      </c>
    </row>
    <row r="303" spans="1:7" x14ac:dyDescent="0.25">
      <c r="A303" s="1">
        <v>45005</v>
      </c>
      <c r="B303">
        <v>186.2</v>
      </c>
      <c r="C303">
        <v>188.4</v>
      </c>
      <c r="D303">
        <v>188.4</v>
      </c>
      <c r="E303">
        <v>184.51</v>
      </c>
      <c r="F303" t="s">
        <v>427</v>
      </c>
      <c r="G303" s="2">
        <v>-6.4999999999999997E-3</v>
      </c>
    </row>
    <row r="304" spans="1:7" x14ac:dyDescent="0.25">
      <c r="A304" s="1">
        <v>45006</v>
      </c>
      <c r="B304">
        <v>187.46</v>
      </c>
      <c r="C304">
        <v>187.89</v>
      </c>
      <c r="D304">
        <v>187.9</v>
      </c>
      <c r="E304">
        <v>186.01</v>
      </c>
      <c r="F304" t="s">
        <v>349</v>
      </c>
      <c r="G304" s="2">
        <v>6.7999999999999996E-3</v>
      </c>
    </row>
    <row r="305" spans="1:7" x14ac:dyDescent="0.25">
      <c r="A305" s="1">
        <v>45007</v>
      </c>
      <c r="B305">
        <v>187.88</v>
      </c>
      <c r="C305">
        <v>188.75</v>
      </c>
      <c r="D305">
        <v>188.75</v>
      </c>
      <c r="E305">
        <v>187.46</v>
      </c>
      <c r="F305" t="s">
        <v>342</v>
      </c>
      <c r="G305" s="2">
        <v>2.2000000000000001E-3</v>
      </c>
    </row>
    <row r="306" spans="1:7" x14ac:dyDescent="0.25">
      <c r="A306" s="1">
        <v>45008</v>
      </c>
      <c r="B306">
        <v>186.91</v>
      </c>
      <c r="C306">
        <v>189.79</v>
      </c>
      <c r="D306">
        <v>189.79</v>
      </c>
      <c r="E306">
        <v>186.67</v>
      </c>
      <c r="F306" t="s">
        <v>426</v>
      </c>
      <c r="G306" s="2">
        <v>-5.1999999999999998E-3</v>
      </c>
    </row>
    <row r="307" spans="1:7" x14ac:dyDescent="0.25">
      <c r="A307" s="1">
        <v>45009</v>
      </c>
      <c r="B307">
        <v>185.68</v>
      </c>
      <c r="C307">
        <v>187.9</v>
      </c>
      <c r="D307">
        <v>187.9</v>
      </c>
      <c r="E307">
        <v>185.36</v>
      </c>
      <c r="F307" t="s">
        <v>217</v>
      </c>
      <c r="G307" s="2">
        <v>-6.6E-3</v>
      </c>
    </row>
    <row r="308" spans="1:7" x14ac:dyDescent="0.25">
      <c r="A308" s="1">
        <v>45012</v>
      </c>
      <c r="B308">
        <v>186.18</v>
      </c>
      <c r="C308">
        <v>186.64</v>
      </c>
      <c r="D308">
        <v>187.15</v>
      </c>
      <c r="E308">
        <v>185.6</v>
      </c>
      <c r="F308" t="s">
        <v>425</v>
      </c>
      <c r="G308" s="2">
        <v>2.7000000000000001E-3</v>
      </c>
    </row>
    <row r="309" spans="1:7" x14ac:dyDescent="0.25">
      <c r="A309" s="1">
        <v>45013</v>
      </c>
      <c r="B309">
        <v>185.71</v>
      </c>
      <c r="C309">
        <v>187.53</v>
      </c>
      <c r="D309">
        <v>187.53</v>
      </c>
      <c r="E309">
        <v>185.25</v>
      </c>
      <c r="F309" t="s">
        <v>329</v>
      </c>
      <c r="G309" s="2">
        <v>-2.5000000000000001E-3</v>
      </c>
    </row>
    <row r="310" spans="1:7" x14ac:dyDescent="0.25">
      <c r="A310" s="1">
        <v>45014</v>
      </c>
      <c r="B310">
        <v>187.09</v>
      </c>
      <c r="C310">
        <v>187.49</v>
      </c>
      <c r="D310">
        <v>187.49</v>
      </c>
      <c r="E310">
        <v>185.01</v>
      </c>
      <c r="F310" t="s">
        <v>190</v>
      </c>
      <c r="G310" s="2">
        <v>7.4000000000000003E-3</v>
      </c>
    </row>
    <row r="311" spans="1:7" x14ac:dyDescent="0.25">
      <c r="A311" s="1">
        <v>45016</v>
      </c>
      <c r="B311">
        <v>189.86</v>
      </c>
      <c r="C311">
        <v>187.22</v>
      </c>
      <c r="D311">
        <v>190</v>
      </c>
      <c r="E311">
        <v>187.22</v>
      </c>
      <c r="F311" t="s">
        <v>176</v>
      </c>
      <c r="G311" s="2">
        <v>1.4800000000000001E-2</v>
      </c>
    </row>
    <row r="312" spans="1:7" x14ac:dyDescent="0.25">
      <c r="A312" s="1">
        <v>45019</v>
      </c>
      <c r="B312">
        <v>190.56</v>
      </c>
      <c r="C312">
        <v>191.49</v>
      </c>
      <c r="D312">
        <v>191.49</v>
      </c>
      <c r="E312">
        <v>189.44</v>
      </c>
      <c r="F312" t="s">
        <v>359</v>
      </c>
      <c r="G312" s="2">
        <v>3.7000000000000002E-3</v>
      </c>
    </row>
    <row r="313" spans="1:7" x14ac:dyDescent="0.25">
      <c r="A313" s="1">
        <v>45021</v>
      </c>
      <c r="B313">
        <v>192.19</v>
      </c>
      <c r="C313">
        <v>191.56</v>
      </c>
      <c r="D313">
        <v>192.47</v>
      </c>
      <c r="E313">
        <v>189.77</v>
      </c>
      <c r="F313" t="s">
        <v>424</v>
      </c>
      <c r="G313" s="2">
        <v>8.6E-3</v>
      </c>
    </row>
    <row r="314" spans="1:7" x14ac:dyDescent="0.25">
      <c r="A314" s="1">
        <v>45022</v>
      </c>
      <c r="B314">
        <v>192.94</v>
      </c>
      <c r="C314">
        <v>189.2</v>
      </c>
      <c r="D314">
        <v>193.25</v>
      </c>
      <c r="E314">
        <v>189.2</v>
      </c>
      <c r="F314" t="s">
        <v>161</v>
      </c>
      <c r="G314" s="2">
        <v>3.8999999999999998E-3</v>
      </c>
    </row>
    <row r="315" spans="1:7" x14ac:dyDescent="0.25">
      <c r="A315" s="1">
        <v>45026</v>
      </c>
      <c r="B315">
        <v>192.64</v>
      </c>
      <c r="C315">
        <v>194.39</v>
      </c>
      <c r="D315">
        <v>194.39</v>
      </c>
      <c r="E315">
        <v>192.45</v>
      </c>
      <c r="F315" t="s">
        <v>423</v>
      </c>
      <c r="G315" s="2">
        <v>-1.6000000000000001E-3</v>
      </c>
    </row>
    <row r="316" spans="1:7" x14ac:dyDescent="0.25">
      <c r="A316" s="1">
        <v>45027</v>
      </c>
      <c r="B316">
        <v>193.76</v>
      </c>
      <c r="C316">
        <v>193.91</v>
      </c>
      <c r="D316">
        <v>193.91</v>
      </c>
      <c r="E316">
        <v>192.7</v>
      </c>
      <c r="F316" t="s">
        <v>422</v>
      </c>
      <c r="G316" s="2">
        <v>5.7999999999999996E-3</v>
      </c>
    </row>
    <row r="317" spans="1:7" x14ac:dyDescent="0.25">
      <c r="A317" s="1">
        <v>45028</v>
      </c>
      <c r="B317">
        <v>194.64</v>
      </c>
      <c r="C317">
        <v>193.89</v>
      </c>
      <c r="D317">
        <v>194.8</v>
      </c>
      <c r="E317">
        <v>193.57</v>
      </c>
      <c r="F317" t="s">
        <v>421</v>
      </c>
      <c r="G317" s="2">
        <v>4.4999999999999997E-3</v>
      </c>
    </row>
    <row r="318" spans="1:7" x14ac:dyDescent="0.25">
      <c r="A318" s="1">
        <v>45029</v>
      </c>
      <c r="B318">
        <v>194.77</v>
      </c>
      <c r="C318">
        <v>194.63</v>
      </c>
      <c r="D318">
        <v>195.1</v>
      </c>
      <c r="E318">
        <v>193.8</v>
      </c>
      <c r="F318" t="s">
        <v>72</v>
      </c>
      <c r="G318" s="2">
        <v>6.9999999999999999E-4</v>
      </c>
    </row>
    <row r="319" spans="1:7" x14ac:dyDescent="0.25">
      <c r="A319" s="1">
        <v>45033</v>
      </c>
      <c r="B319">
        <v>193.91</v>
      </c>
      <c r="C319">
        <v>196</v>
      </c>
      <c r="D319">
        <v>196</v>
      </c>
      <c r="E319">
        <v>192.5</v>
      </c>
      <c r="F319" t="s">
        <v>51</v>
      </c>
      <c r="G319" s="2">
        <v>-4.4000000000000003E-3</v>
      </c>
    </row>
    <row r="320" spans="1:7" x14ac:dyDescent="0.25">
      <c r="A320" s="1">
        <v>45034</v>
      </c>
      <c r="B320">
        <v>193.24</v>
      </c>
      <c r="C320">
        <v>194.91</v>
      </c>
      <c r="D320">
        <v>194.91</v>
      </c>
      <c r="E320">
        <v>192.66</v>
      </c>
      <c r="F320" t="s">
        <v>401</v>
      </c>
      <c r="G320" s="2">
        <v>-3.5000000000000001E-3</v>
      </c>
    </row>
    <row r="321" spans="1:7" x14ac:dyDescent="0.25">
      <c r="A321" s="1">
        <v>45035</v>
      </c>
      <c r="B321">
        <v>192.86</v>
      </c>
      <c r="C321">
        <v>194</v>
      </c>
      <c r="D321">
        <v>194</v>
      </c>
      <c r="E321">
        <v>192.58</v>
      </c>
      <c r="F321" t="s">
        <v>420</v>
      </c>
      <c r="G321" s="2">
        <v>-2E-3</v>
      </c>
    </row>
    <row r="322" spans="1:7" x14ac:dyDescent="0.25">
      <c r="A322" s="1">
        <v>45036</v>
      </c>
      <c r="B322">
        <v>192.99</v>
      </c>
      <c r="C322">
        <v>194</v>
      </c>
      <c r="D322">
        <v>194</v>
      </c>
      <c r="E322">
        <v>192.48</v>
      </c>
      <c r="F322" t="s">
        <v>399</v>
      </c>
      <c r="G322" s="2">
        <v>6.9999999999999999E-4</v>
      </c>
    </row>
    <row r="323" spans="1:7" x14ac:dyDescent="0.25">
      <c r="A323" s="1">
        <v>45037</v>
      </c>
      <c r="B323">
        <v>192.85</v>
      </c>
      <c r="C323">
        <v>192.5</v>
      </c>
      <c r="D323">
        <v>194.2</v>
      </c>
      <c r="E323">
        <v>192.4</v>
      </c>
      <c r="F323" t="s">
        <v>401</v>
      </c>
      <c r="G323" s="2">
        <v>-6.9999999999999999E-4</v>
      </c>
    </row>
    <row r="324" spans="1:7" x14ac:dyDescent="0.25">
      <c r="A324" s="1">
        <v>45040</v>
      </c>
      <c r="B324">
        <v>193.95</v>
      </c>
      <c r="C324">
        <v>194.4</v>
      </c>
      <c r="D324">
        <v>194.4</v>
      </c>
      <c r="E324">
        <v>192.8</v>
      </c>
      <c r="F324" t="s">
        <v>407</v>
      </c>
      <c r="G324" s="2">
        <v>5.7000000000000002E-3</v>
      </c>
    </row>
    <row r="325" spans="1:7" x14ac:dyDescent="0.25">
      <c r="A325" s="1">
        <v>45041</v>
      </c>
      <c r="B325">
        <v>194.13</v>
      </c>
      <c r="C325">
        <v>194.59</v>
      </c>
      <c r="D325">
        <v>194.6</v>
      </c>
      <c r="E325">
        <v>193.59</v>
      </c>
      <c r="F325" t="s">
        <v>200</v>
      </c>
      <c r="G325" s="2">
        <v>8.9999999999999998E-4</v>
      </c>
    </row>
    <row r="326" spans="1:7" x14ac:dyDescent="0.25">
      <c r="A326" s="1">
        <v>45042</v>
      </c>
      <c r="B326">
        <v>194.62</v>
      </c>
      <c r="C326">
        <v>194.5</v>
      </c>
      <c r="D326">
        <v>194.75</v>
      </c>
      <c r="E326">
        <v>193.5</v>
      </c>
      <c r="F326" t="s">
        <v>419</v>
      </c>
      <c r="G326" s="2">
        <v>2.5000000000000001E-3</v>
      </c>
    </row>
    <row r="327" spans="1:7" x14ac:dyDescent="0.25">
      <c r="A327" s="1">
        <v>45043</v>
      </c>
      <c r="B327">
        <v>195.93</v>
      </c>
      <c r="C327">
        <v>195.2</v>
      </c>
      <c r="D327">
        <v>196.35</v>
      </c>
      <c r="E327">
        <v>193.86</v>
      </c>
      <c r="F327" t="s">
        <v>225</v>
      </c>
      <c r="G327" s="2">
        <v>6.7000000000000002E-3</v>
      </c>
    </row>
    <row r="328" spans="1:7" x14ac:dyDescent="0.25">
      <c r="A328" s="1">
        <v>45044</v>
      </c>
      <c r="B328">
        <v>197.29</v>
      </c>
      <c r="C328">
        <v>196.8</v>
      </c>
      <c r="D328">
        <v>197.72</v>
      </c>
      <c r="E328">
        <v>195.74</v>
      </c>
      <c r="F328" t="s">
        <v>418</v>
      </c>
      <c r="G328" s="2">
        <v>6.8999999999999999E-3</v>
      </c>
    </row>
    <row r="329" spans="1:7" x14ac:dyDescent="0.25">
      <c r="A329" s="1">
        <v>45048</v>
      </c>
      <c r="B329">
        <v>198.39</v>
      </c>
      <c r="C329">
        <v>198.5</v>
      </c>
      <c r="D329">
        <v>199.7</v>
      </c>
      <c r="E329">
        <v>196.11</v>
      </c>
      <c r="F329" t="s">
        <v>417</v>
      </c>
      <c r="G329" s="2">
        <v>5.5999999999999999E-3</v>
      </c>
    </row>
    <row r="330" spans="1:7" x14ac:dyDescent="0.25">
      <c r="A330" s="1">
        <v>45049</v>
      </c>
      <c r="B330">
        <v>197.68</v>
      </c>
      <c r="C330">
        <v>199.79</v>
      </c>
      <c r="D330">
        <v>199.79</v>
      </c>
      <c r="E330">
        <v>197.28</v>
      </c>
      <c r="F330" t="s">
        <v>407</v>
      </c>
      <c r="G330" s="2">
        <v>-3.5999999999999999E-3</v>
      </c>
    </row>
    <row r="331" spans="1:7" x14ac:dyDescent="0.25">
      <c r="A331" s="1">
        <v>45050</v>
      </c>
      <c r="B331">
        <v>199.44</v>
      </c>
      <c r="C331">
        <v>199.45</v>
      </c>
      <c r="D331">
        <v>199.61</v>
      </c>
      <c r="E331">
        <v>197.03</v>
      </c>
      <c r="F331" t="s">
        <v>77</v>
      </c>
      <c r="G331" s="2">
        <v>8.8999999999999999E-3</v>
      </c>
    </row>
    <row r="332" spans="1:7" x14ac:dyDescent="0.25">
      <c r="A332" s="1">
        <v>45051</v>
      </c>
      <c r="B332">
        <v>197.84</v>
      </c>
      <c r="C332">
        <v>199.89</v>
      </c>
      <c r="D332">
        <v>199.89</v>
      </c>
      <c r="E332">
        <v>197.67</v>
      </c>
      <c r="F332" t="s">
        <v>416</v>
      </c>
      <c r="G332" s="2">
        <v>-8.0000000000000002E-3</v>
      </c>
    </row>
    <row r="333" spans="1:7" x14ac:dyDescent="0.25">
      <c r="A333" s="1">
        <v>45054</v>
      </c>
      <c r="B333">
        <v>199.71</v>
      </c>
      <c r="C333">
        <v>197.95</v>
      </c>
      <c r="D333">
        <v>199.99</v>
      </c>
      <c r="E333">
        <v>197.84</v>
      </c>
      <c r="F333" t="s">
        <v>12</v>
      </c>
      <c r="G333" s="2">
        <v>9.4999999999999998E-3</v>
      </c>
    </row>
    <row r="334" spans="1:7" x14ac:dyDescent="0.25">
      <c r="A334" s="1">
        <v>45055</v>
      </c>
      <c r="B334">
        <v>199.7</v>
      </c>
      <c r="C334">
        <v>200.4</v>
      </c>
      <c r="D334">
        <v>200.49</v>
      </c>
      <c r="E334">
        <v>199.05</v>
      </c>
      <c r="F334" t="s">
        <v>256</v>
      </c>
      <c r="G334" s="2">
        <v>-1E-4</v>
      </c>
    </row>
    <row r="335" spans="1:7" x14ac:dyDescent="0.25">
      <c r="A335" s="1">
        <v>45056</v>
      </c>
      <c r="B335">
        <v>200</v>
      </c>
      <c r="C335">
        <v>200.2</v>
      </c>
      <c r="D335">
        <v>200.37</v>
      </c>
      <c r="E335">
        <v>199.08</v>
      </c>
      <c r="F335" t="s">
        <v>258</v>
      </c>
      <c r="G335" s="2">
        <v>1.5E-3</v>
      </c>
    </row>
    <row r="336" spans="1:7" x14ac:dyDescent="0.25">
      <c r="A336" s="1">
        <v>45057</v>
      </c>
      <c r="B336">
        <v>200.35</v>
      </c>
      <c r="C336">
        <v>200.99</v>
      </c>
      <c r="D336">
        <v>200.99</v>
      </c>
      <c r="E336">
        <v>199.96</v>
      </c>
      <c r="F336" t="s">
        <v>385</v>
      </c>
      <c r="G336" s="2">
        <v>1.8E-3</v>
      </c>
    </row>
    <row r="337" spans="1:7" x14ac:dyDescent="0.25">
      <c r="A337" s="1">
        <v>45058</v>
      </c>
      <c r="B337">
        <v>200.26</v>
      </c>
      <c r="C337">
        <v>200.27</v>
      </c>
      <c r="D337">
        <v>200.45</v>
      </c>
      <c r="E337">
        <v>199.06</v>
      </c>
      <c r="F337" t="s">
        <v>415</v>
      </c>
      <c r="G337" s="2">
        <v>-4.0000000000000002E-4</v>
      </c>
    </row>
    <row r="338" spans="1:7" x14ac:dyDescent="0.25">
      <c r="A338" s="1">
        <v>45061</v>
      </c>
      <c r="B338">
        <v>201.34</v>
      </c>
      <c r="C338">
        <v>200.26</v>
      </c>
      <c r="D338">
        <v>201.79</v>
      </c>
      <c r="E338">
        <v>199.94</v>
      </c>
      <c r="F338" t="s">
        <v>414</v>
      </c>
      <c r="G338" s="2">
        <v>5.4000000000000003E-3</v>
      </c>
    </row>
    <row r="339" spans="1:7" x14ac:dyDescent="0.25">
      <c r="A339" s="1">
        <v>45062</v>
      </c>
      <c r="B339">
        <v>200.51</v>
      </c>
      <c r="C339">
        <v>200.25</v>
      </c>
      <c r="D339">
        <v>202.25</v>
      </c>
      <c r="E339">
        <v>200.25</v>
      </c>
      <c r="F339" t="s">
        <v>101</v>
      </c>
      <c r="G339" s="2">
        <v>-4.1000000000000003E-3</v>
      </c>
    </row>
    <row r="340" spans="1:7" x14ac:dyDescent="0.25">
      <c r="A340" s="1">
        <v>45063</v>
      </c>
      <c r="B340">
        <v>199.76</v>
      </c>
      <c r="C340">
        <v>201.25</v>
      </c>
      <c r="D340">
        <v>201.49</v>
      </c>
      <c r="E340">
        <v>199</v>
      </c>
      <c r="F340" t="s">
        <v>168</v>
      </c>
      <c r="G340" s="2">
        <v>-3.7000000000000002E-3</v>
      </c>
    </row>
    <row r="341" spans="1:7" x14ac:dyDescent="0.25">
      <c r="A341" s="1">
        <v>45064</v>
      </c>
      <c r="B341">
        <v>199.05</v>
      </c>
      <c r="C341">
        <v>201.39</v>
      </c>
      <c r="D341">
        <v>201.49</v>
      </c>
      <c r="E341">
        <v>198.8</v>
      </c>
      <c r="F341" t="s">
        <v>321</v>
      </c>
      <c r="G341" s="2">
        <v>-3.5999999999999999E-3</v>
      </c>
    </row>
    <row r="342" spans="1:7" x14ac:dyDescent="0.25">
      <c r="A342" s="1">
        <v>45065</v>
      </c>
      <c r="B342">
        <v>199.82</v>
      </c>
      <c r="C342">
        <v>205</v>
      </c>
      <c r="D342">
        <v>205</v>
      </c>
      <c r="E342">
        <v>198.25</v>
      </c>
      <c r="F342" t="s">
        <v>353</v>
      </c>
      <c r="G342" s="2">
        <v>3.8999999999999998E-3</v>
      </c>
    </row>
    <row r="343" spans="1:7" x14ac:dyDescent="0.25">
      <c r="A343" s="1">
        <v>45068</v>
      </c>
      <c r="B343">
        <v>200.74</v>
      </c>
      <c r="C343">
        <v>200.49</v>
      </c>
      <c r="D343">
        <v>200.93</v>
      </c>
      <c r="E343">
        <v>199.05</v>
      </c>
      <c r="F343" t="s">
        <v>72</v>
      </c>
      <c r="G343" s="2">
        <v>4.5999999999999999E-3</v>
      </c>
    </row>
    <row r="344" spans="1:7" x14ac:dyDescent="0.25">
      <c r="A344" s="1">
        <v>45069</v>
      </c>
      <c r="B344">
        <v>201.02</v>
      </c>
      <c r="C344">
        <v>200.05</v>
      </c>
      <c r="D344">
        <v>201.7</v>
      </c>
      <c r="E344">
        <v>200.05</v>
      </c>
      <c r="F344" t="s">
        <v>283</v>
      </c>
      <c r="G344" s="2">
        <v>1.4E-3</v>
      </c>
    </row>
    <row r="345" spans="1:7" x14ac:dyDescent="0.25">
      <c r="A345" s="1">
        <v>45070</v>
      </c>
      <c r="B345">
        <v>200.24</v>
      </c>
      <c r="C345">
        <v>201.49</v>
      </c>
      <c r="D345">
        <v>201.5</v>
      </c>
      <c r="E345">
        <v>199.81</v>
      </c>
      <c r="F345" t="s">
        <v>333</v>
      </c>
      <c r="G345" s="2">
        <v>-3.8999999999999998E-3</v>
      </c>
    </row>
    <row r="346" spans="1:7" x14ac:dyDescent="0.25">
      <c r="A346" s="1">
        <v>45071</v>
      </c>
      <c r="B346">
        <v>200.7</v>
      </c>
      <c r="C346">
        <v>200.95</v>
      </c>
      <c r="D346">
        <v>200.95</v>
      </c>
      <c r="E346">
        <v>199.26</v>
      </c>
      <c r="F346" t="s">
        <v>413</v>
      </c>
      <c r="G346" s="2">
        <v>2.3E-3</v>
      </c>
    </row>
    <row r="347" spans="1:7" x14ac:dyDescent="0.25">
      <c r="A347" s="1">
        <v>45072</v>
      </c>
      <c r="B347">
        <v>202.85</v>
      </c>
      <c r="C347">
        <v>201.89</v>
      </c>
      <c r="D347">
        <v>203.27</v>
      </c>
      <c r="E347">
        <v>200.05</v>
      </c>
      <c r="F347" t="s">
        <v>412</v>
      </c>
      <c r="G347" s="2">
        <v>1.0699999999999999E-2</v>
      </c>
    </row>
    <row r="348" spans="1:7" x14ac:dyDescent="0.25">
      <c r="A348" s="1">
        <v>45075</v>
      </c>
      <c r="B348">
        <v>204.14</v>
      </c>
      <c r="C348">
        <v>202.85</v>
      </c>
      <c r="D348">
        <v>204.8</v>
      </c>
      <c r="E348">
        <v>202.85</v>
      </c>
      <c r="F348" t="s">
        <v>411</v>
      </c>
      <c r="G348" s="2">
        <v>6.4000000000000003E-3</v>
      </c>
    </row>
    <row r="349" spans="1:7" x14ac:dyDescent="0.25">
      <c r="A349" s="1">
        <v>45076</v>
      </c>
      <c r="B349">
        <v>204.36</v>
      </c>
      <c r="C349">
        <v>205.49</v>
      </c>
      <c r="D349">
        <v>205.49</v>
      </c>
      <c r="E349">
        <v>202.53</v>
      </c>
      <c r="F349" t="s">
        <v>283</v>
      </c>
      <c r="G349" s="2">
        <v>1.1000000000000001E-3</v>
      </c>
    </row>
    <row r="350" spans="1:7" x14ac:dyDescent="0.25">
      <c r="A350" s="1">
        <v>45077</v>
      </c>
      <c r="B350">
        <v>203.66</v>
      </c>
      <c r="C350">
        <v>205.49</v>
      </c>
      <c r="D350">
        <v>205.49</v>
      </c>
      <c r="E350">
        <v>203.06</v>
      </c>
      <c r="F350" t="s">
        <v>352</v>
      </c>
      <c r="G350" s="2">
        <v>-3.3999999999999998E-3</v>
      </c>
    </row>
    <row r="351" spans="1:7" x14ac:dyDescent="0.25">
      <c r="A351" s="1">
        <v>45078</v>
      </c>
      <c r="B351">
        <v>202.99</v>
      </c>
      <c r="C351">
        <v>205.39</v>
      </c>
      <c r="D351">
        <v>205.39</v>
      </c>
      <c r="E351">
        <v>202.11</v>
      </c>
      <c r="F351" t="s">
        <v>198</v>
      </c>
      <c r="G351" s="2">
        <v>-3.3E-3</v>
      </c>
    </row>
    <row r="352" spans="1:7" x14ac:dyDescent="0.25">
      <c r="A352" s="1">
        <v>45079</v>
      </c>
      <c r="B352">
        <v>203.84</v>
      </c>
      <c r="C352">
        <v>204.9</v>
      </c>
      <c r="D352">
        <v>204.9</v>
      </c>
      <c r="E352">
        <v>203.08</v>
      </c>
      <c r="F352" t="s">
        <v>274</v>
      </c>
      <c r="G352" s="2">
        <v>4.1999999999999997E-3</v>
      </c>
    </row>
    <row r="353" spans="1:7" x14ac:dyDescent="0.25">
      <c r="A353" s="1">
        <v>45082</v>
      </c>
      <c r="B353">
        <v>204.28</v>
      </c>
      <c r="C353">
        <v>205.39</v>
      </c>
      <c r="D353">
        <v>205.48</v>
      </c>
      <c r="E353">
        <v>203.99</v>
      </c>
      <c r="F353" t="s">
        <v>410</v>
      </c>
      <c r="G353" s="2">
        <v>2.2000000000000001E-3</v>
      </c>
    </row>
    <row r="354" spans="1:7" x14ac:dyDescent="0.25">
      <c r="A354" s="1">
        <v>45083</v>
      </c>
      <c r="B354">
        <v>204.04</v>
      </c>
      <c r="C354">
        <v>205.39</v>
      </c>
      <c r="D354">
        <v>205.39</v>
      </c>
      <c r="E354">
        <v>203.45</v>
      </c>
      <c r="F354" t="s">
        <v>338</v>
      </c>
      <c r="G354" s="2">
        <v>-1.1999999999999999E-3</v>
      </c>
    </row>
    <row r="355" spans="1:7" x14ac:dyDescent="0.25">
      <c r="A355" s="1">
        <v>45084</v>
      </c>
      <c r="B355">
        <v>205.34</v>
      </c>
      <c r="C355">
        <v>205.39</v>
      </c>
      <c r="D355">
        <v>205.45</v>
      </c>
      <c r="E355">
        <v>203.92</v>
      </c>
      <c r="F355" t="s">
        <v>407</v>
      </c>
      <c r="G355" s="2">
        <v>6.4000000000000003E-3</v>
      </c>
    </row>
    <row r="356" spans="1:7" x14ac:dyDescent="0.25">
      <c r="A356" s="1">
        <v>45085</v>
      </c>
      <c r="B356">
        <v>204.51</v>
      </c>
      <c r="C356">
        <v>203.92</v>
      </c>
      <c r="D356">
        <v>206.21</v>
      </c>
      <c r="E356">
        <v>203.92</v>
      </c>
      <c r="F356" t="s">
        <v>19</v>
      </c>
      <c r="G356" s="2">
        <v>-4.0000000000000001E-3</v>
      </c>
    </row>
    <row r="357" spans="1:7" x14ac:dyDescent="0.25">
      <c r="A357" s="1">
        <v>45086</v>
      </c>
      <c r="B357">
        <v>204.03</v>
      </c>
      <c r="C357">
        <v>205.9</v>
      </c>
      <c r="D357">
        <v>205.9</v>
      </c>
      <c r="E357">
        <v>203.85</v>
      </c>
      <c r="F357" t="s">
        <v>397</v>
      </c>
      <c r="G357" s="2">
        <v>-2.3E-3</v>
      </c>
    </row>
    <row r="358" spans="1:7" x14ac:dyDescent="0.25">
      <c r="A358" s="1">
        <v>45089</v>
      </c>
      <c r="B358">
        <v>204.46</v>
      </c>
      <c r="C358">
        <v>204.9</v>
      </c>
      <c r="D358">
        <v>205.45</v>
      </c>
      <c r="E358">
        <v>203.83</v>
      </c>
      <c r="F358" t="s">
        <v>409</v>
      </c>
      <c r="G358" s="2">
        <v>2.0999999999999999E-3</v>
      </c>
    </row>
    <row r="359" spans="1:7" x14ac:dyDescent="0.25">
      <c r="A359" s="1">
        <v>45090</v>
      </c>
      <c r="B359">
        <v>205.45</v>
      </c>
      <c r="C359">
        <v>205.48</v>
      </c>
      <c r="D359">
        <v>205.52</v>
      </c>
      <c r="E359">
        <v>204.3</v>
      </c>
      <c r="F359" t="s">
        <v>347</v>
      </c>
      <c r="G359" s="2">
        <v>4.7999999999999996E-3</v>
      </c>
    </row>
    <row r="360" spans="1:7" x14ac:dyDescent="0.25">
      <c r="A360" s="1">
        <v>45091</v>
      </c>
      <c r="B360">
        <v>205.85</v>
      </c>
      <c r="C360">
        <v>211.6</v>
      </c>
      <c r="D360">
        <v>211.6</v>
      </c>
      <c r="E360">
        <v>205.08</v>
      </c>
      <c r="F360" t="s">
        <v>230</v>
      </c>
      <c r="G360" s="2">
        <v>1.9E-3</v>
      </c>
    </row>
    <row r="361" spans="1:7" x14ac:dyDescent="0.25">
      <c r="A361" s="1">
        <v>45092</v>
      </c>
      <c r="B361">
        <v>205.31</v>
      </c>
      <c r="C361">
        <v>206.39</v>
      </c>
      <c r="D361">
        <v>206.39</v>
      </c>
      <c r="E361">
        <v>204.69</v>
      </c>
      <c r="F361" t="s">
        <v>62</v>
      </c>
      <c r="G361" s="2">
        <v>-2.5999999999999999E-3</v>
      </c>
    </row>
    <row r="362" spans="1:7" x14ac:dyDescent="0.25">
      <c r="A362" s="1">
        <v>45093</v>
      </c>
      <c r="B362">
        <v>206.69</v>
      </c>
      <c r="C362">
        <v>206.39</v>
      </c>
      <c r="D362">
        <v>207.1</v>
      </c>
      <c r="E362">
        <v>205.41</v>
      </c>
      <c r="F362" t="s">
        <v>379</v>
      </c>
      <c r="G362" s="2">
        <v>6.7000000000000002E-3</v>
      </c>
    </row>
    <row r="363" spans="1:7" x14ac:dyDescent="0.25">
      <c r="A363" s="1">
        <v>45096</v>
      </c>
      <c r="B363">
        <v>205.87</v>
      </c>
      <c r="C363">
        <v>206.69</v>
      </c>
      <c r="D363">
        <v>208.98</v>
      </c>
      <c r="E363">
        <v>205.51</v>
      </c>
      <c r="F363" t="s">
        <v>408</v>
      </c>
      <c r="G363" s="2">
        <v>-4.0000000000000001E-3</v>
      </c>
    </row>
    <row r="364" spans="1:7" x14ac:dyDescent="0.25">
      <c r="A364" s="1">
        <v>45097</v>
      </c>
      <c r="B364">
        <v>206.5</v>
      </c>
      <c r="C364">
        <v>205.75</v>
      </c>
      <c r="D364">
        <v>206.75</v>
      </c>
      <c r="E364">
        <v>204.94</v>
      </c>
      <c r="F364" t="s">
        <v>84</v>
      </c>
      <c r="G364" s="2">
        <v>3.0999999999999999E-3</v>
      </c>
    </row>
    <row r="365" spans="1:7" x14ac:dyDescent="0.25">
      <c r="A365" s="1">
        <v>45098</v>
      </c>
      <c r="B365">
        <v>206.87</v>
      </c>
      <c r="C365">
        <v>206.04</v>
      </c>
      <c r="D365">
        <v>207.46</v>
      </c>
      <c r="E365">
        <v>206.04</v>
      </c>
      <c r="F365" t="s">
        <v>333</v>
      </c>
      <c r="G365" s="2">
        <v>1.8E-3</v>
      </c>
    </row>
    <row r="366" spans="1:7" x14ac:dyDescent="0.25">
      <c r="A366" s="1">
        <v>45099</v>
      </c>
      <c r="B366">
        <v>206.24</v>
      </c>
      <c r="C366">
        <v>206.87</v>
      </c>
      <c r="D366">
        <v>207.47</v>
      </c>
      <c r="E366">
        <v>206.08</v>
      </c>
      <c r="F366" t="s">
        <v>269</v>
      </c>
      <c r="G366" s="2">
        <v>-3.0000000000000001E-3</v>
      </c>
    </row>
    <row r="367" spans="1:7" x14ac:dyDescent="0.25">
      <c r="A367" s="1">
        <v>45100</v>
      </c>
      <c r="B367">
        <v>204.98</v>
      </c>
      <c r="C367">
        <v>212.45</v>
      </c>
      <c r="D367">
        <v>212.45</v>
      </c>
      <c r="E367">
        <v>204.8</v>
      </c>
      <c r="F367" t="s">
        <v>407</v>
      </c>
      <c r="G367" s="2">
        <v>-6.1000000000000004E-3</v>
      </c>
    </row>
    <row r="368" spans="1:7" x14ac:dyDescent="0.25">
      <c r="A368" s="1">
        <v>45103</v>
      </c>
      <c r="B368">
        <v>205.17</v>
      </c>
      <c r="C368">
        <v>206.25</v>
      </c>
      <c r="D368">
        <v>206.25</v>
      </c>
      <c r="E368">
        <v>204.52</v>
      </c>
      <c r="F368" t="s">
        <v>402</v>
      </c>
      <c r="G368" s="2">
        <v>8.9999999999999998E-4</v>
      </c>
    </row>
    <row r="369" spans="1:7" x14ac:dyDescent="0.25">
      <c r="A369" s="1">
        <v>45104</v>
      </c>
      <c r="B369">
        <v>206.46</v>
      </c>
      <c r="C369">
        <v>207.36</v>
      </c>
      <c r="D369">
        <v>207.36</v>
      </c>
      <c r="E369">
        <v>205.36</v>
      </c>
      <c r="F369" t="s">
        <v>406</v>
      </c>
      <c r="G369" s="2">
        <v>6.3E-3</v>
      </c>
    </row>
    <row r="370" spans="1:7" x14ac:dyDescent="0.25">
      <c r="A370" s="1">
        <v>45105</v>
      </c>
      <c r="B370">
        <v>208.18</v>
      </c>
      <c r="C370">
        <v>207.4</v>
      </c>
      <c r="D370">
        <v>208.56</v>
      </c>
      <c r="E370">
        <v>206.28</v>
      </c>
      <c r="F370" t="s">
        <v>33</v>
      </c>
      <c r="G370" s="2">
        <v>8.3000000000000001E-3</v>
      </c>
    </row>
    <row r="371" spans="1:7" x14ac:dyDescent="0.25">
      <c r="A371" s="1">
        <v>45107</v>
      </c>
      <c r="B371">
        <v>210.61</v>
      </c>
      <c r="C371">
        <v>209.6</v>
      </c>
      <c r="D371">
        <v>210.91</v>
      </c>
      <c r="E371">
        <v>208.09</v>
      </c>
      <c r="F371" t="s">
        <v>196</v>
      </c>
      <c r="G371" s="2">
        <v>1.17E-2</v>
      </c>
    </row>
    <row r="372" spans="1:7" x14ac:dyDescent="0.25">
      <c r="A372" s="1">
        <v>45110</v>
      </c>
      <c r="B372">
        <v>212.3</v>
      </c>
      <c r="C372">
        <v>213.45</v>
      </c>
      <c r="D372">
        <v>213.45</v>
      </c>
      <c r="E372">
        <v>210.9</v>
      </c>
      <c r="F372" t="s">
        <v>405</v>
      </c>
      <c r="G372" s="2">
        <v>8.0000000000000002E-3</v>
      </c>
    </row>
    <row r="373" spans="1:7" x14ac:dyDescent="0.25">
      <c r="A373" s="1">
        <v>45111</v>
      </c>
      <c r="B373">
        <v>213.06</v>
      </c>
      <c r="C373">
        <v>218.65</v>
      </c>
      <c r="D373">
        <v>218.65</v>
      </c>
      <c r="E373">
        <v>212</v>
      </c>
      <c r="F373" t="s">
        <v>387</v>
      </c>
      <c r="G373" s="2">
        <v>3.5999999999999999E-3</v>
      </c>
    </row>
    <row r="374" spans="1:7" x14ac:dyDescent="0.25">
      <c r="A374" s="1">
        <v>45112</v>
      </c>
      <c r="B374">
        <v>212.92</v>
      </c>
      <c r="C374">
        <v>218</v>
      </c>
      <c r="D374">
        <v>218</v>
      </c>
      <c r="E374">
        <v>212.3</v>
      </c>
      <c r="F374" t="s">
        <v>254</v>
      </c>
      <c r="G374" s="2">
        <v>-6.9999999999999999E-4</v>
      </c>
    </row>
    <row r="375" spans="1:7" x14ac:dyDescent="0.25">
      <c r="A375" s="1">
        <v>45113</v>
      </c>
      <c r="B375">
        <v>213.96</v>
      </c>
      <c r="C375">
        <v>218</v>
      </c>
      <c r="D375">
        <v>219.3</v>
      </c>
      <c r="E375">
        <v>212.05</v>
      </c>
      <c r="F375" t="s">
        <v>200</v>
      </c>
      <c r="G375" s="2">
        <v>4.8999999999999998E-3</v>
      </c>
    </row>
    <row r="376" spans="1:7" x14ac:dyDescent="0.25">
      <c r="A376" s="1">
        <v>45114</v>
      </c>
      <c r="B376">
        <v>212.72</v>
      </c>
      <c r="C376">
        <v>220.4</v>
      </c>
      <c r="D376">
        <v>220.4</v>
      </c>
      <c r="E376">
        <v>212.5</v>
      </c>
      <c r="F376" t="s">
        <v>198</v>
      </c>
      <c r="G376" s="2">
        <v>-5.7999999999999996E-3</v>
      </c>
    </row>
    <row r="377" spans="1:7" x14ac:dyDescent="0.25">
      <c r="A377" s="1">
        <v>45117</v>
      </c>
      <c r="B377">
        <v>212.64</v>
      </c>
      <c r="C377">
        <v>218.4</v>
      </c>
      <c r="D377">
        <v>218.4</v>
      </c>
      <c r="E377">
        <v>210.15</v>
      </c>
      <c r="F377" t="s">
        <v>388</v>
      </c>
      <c r="G377" s="2">
        <v>-4.0000000000000002E-4</v>
      </c>
    </row>
    <row r="378" spans="1:7" x14ac:dyDescent="0.25">
      <c r="A378" s="1">
        <v>45118</v>
      </c>
      <c r="B378">
        <v>213.45</v>
      </c>
      <c r="C378">
        <v>219</v>
      </c>
      <c r="D378">
        <v>219</v>
      </c>
      <c r="E378">
        <v>212.66</v>
      </c>
      <c r="F378" t="s">
        <v>257</v>
      </c>
      <c r="G378" s="2">
        <v>3.8E-3</v>
      </c>
    </row>
    <row r="379" spans="1:7" x14ac:dyDescent="0.25">
      <c r="A379" s="1">
        <v>45119</v>
      </c>
      <c r="B379">
        <v>213.25</v>
      </c>
      <c r="C379">
        <v>214.95</v>
      </c>
      <c r="D379">
        <v>214.95</v>
      </c>
      <c r="E379">
        <v>213</v>
      </c>
      <c r="F379" t="s">
        <v>404</v>
      </c>
      <c r="G379" s="2">
        <v>-8.9999999999999998E-4</v>
      </c>
    </row>
    <row r="380" spans="1:7" x14ac:dyDescent="0.25">
      <c r="A380" s="1">
        <v>45120</v>
      </c>
      <c r="B380">
        <v>213.69</v>
      </c>
      <c r="C380">
        <v>215</v>
      </c>
      <c r="D380">
        <v>215</v>
      </c>
      <c r="E380">
        <v>213.25</v>
      </c>
      <c r="F380" t="s">
        <v>401</v>
      </c>
      <c r="G380" s="2">
        <v>2.0999999999999999E-3</v>
      </c>
    </row>
    <row r="381" spans="1:7" x14ac:dyDescent="0.25">
      <c r="A381" s="1">
        <v>45121</v>
      </c>
      <c r="B381">
        <v>214.83</v>
      </c>
      <c r="C381">
        <v>215.46</v>
      </c>
      <c r="D381">
        <v>215.46</v>
      </c>
      <c r="E381">
        <v>213.56</v>
      </c>
      <c r="F381" t="s">
        <v>403</v>
      </c>
      <c r="G381" s="2">
        <v>5.3E-3</v>
      </c>
    </row>
    <row r="382" spans="1:7" x14ac:dyDescent="0.25">
      <c r="A382" s="1">
        <v>45124</v>
      </c>
      <c r="B382">
        <v>216.53</v>
      </c>
      <c r="C382">
        <v>216.14</v>
      </c>
      <c r="D382">
        <v>216.9</v>
      </c>
      <c r="E382">
        <v>214.82</v>
      </c>
      <c r="F382" t="s">
        <v>402</v>
      </c>
      <c r="G382" s="2">
        <v>7.9000000000000008E-3</v>
      </c>
    </row>
    <row r="383" spans="1:7" x14ac:dyDescent="0.25">
      <c r="A383" s="1">
        <v>45125</v>
      </c>
      <c r="B383">
        <v>217.02</v>
      </c>
      <c r="C383">
        <v>216.91</v>
      </c>
      <c r="D383">
        <v>217.8</v>
      </c>
      <c r="E383">
        <v>216.1</v>
      </c>
      <c r="F383" t="s">
        <v>401</v>
      </c>
      <c r="G383" s="2">
        <v>2.3E-3</v>
      </c>
    </row>
    <row r="384" spans="1:7" x14ac:dyDescent="0.25">
      <c r="A384" s="1">
        <v>45126</v>
      </c>
      <c r="B384">
        <v>217.97</v>
      </c>
      <c r="C384">
        <v>219.95</v>
      </c>
      <c r="D384">
        <v>219.95</v>
      </c>
      <c r="E384">
        <v>216.76</v>
      </c>
      <c r="F384" t="s">
        <v>340</v>
      </c>
      <c r="G384" s="2">
        <v>4.4000000000000003E-3</v>
      </c>
    </row>
    <row r="385" spans="1:7" x14ac:dyDescent="0.25">
      <c r="A385" s="1">
        <v>45127</v>
      </c>
      <c r="B385">
        <v>219.51</v>
      </c>
      <c r="C385">
        <v>219.9</v>
      </c>
      <c r="D385">
        <v>219.9</v>
      </c>
      <c r="E385">
        <v>217.16</v>
      </c>
      <c r="F385" t="s">
        <v>400</v>
      </c>
      <c r="G385" s="2">
        <v>7.1000000000000004E-3</v>
      </c>
    </row>
    <row r="386" spans="1:7" x14ac:dyDescent="0.25">
      <c r="A386" s="1">
        <v>45128</v>
      </c>
      <c r="B386">
        <v>217.48</v>
      </c>
      <c r="C386">
        <v>219.44</v>
      </c>
      <c r="D386">
        <v>219.44</v>
      </c>
      <c r="E386">
        <v>216.99</v>
      </c>
      <c r="F386" t="s">
        <v>51</v>
      </c>
      <c r="G386" s="2">
        <v>-9.1999999999999998E-3</v>
      </c>
    </row>
    <row r="387" spans="1:7" x14ac:dyDescent="0.25">
      <c r="A387" s="1">
        <v>45131</v>
      </c>
      <c r="B387">
        <v>216.73</v>
      </c>
      <c r="C387">
        <v>219.38</v>
      </c>
      <c r="D387">
        <v>219.38</v>
      </c>
      <c r="E387">
        <v>216.54</v>
      </c>
      <c r="F387" t="s">
        <v>269</v>
      </c>
      <c r="G387" s="2">
        <v>-3.3999999999999998E-3</v>
      </c>
    </row>
    <row r="388" spans="1:7" x14ac:dyDescent="0.25">
      <c r="A388" s="1">
        <v>45132</v>
      </c>
      <c r="B388">
        <v>216.64</v>
      </c>
      <c r="C388">
        <v>219.95</v>
      </c>
      <c r="D388">
        <v>219.95</v>
      </c>
      <c r="E388">
        <v>216.06</v>
      </c>
      <c r="F388" t="s">
        <v>399</v>
      </c>
      <c r="G388" s="2">
        <v>-4.0000000000000002E-4</v>
      </c>
    </row>
    <row r="389" spans="1:7" x14ac:dyDescent="0.25">
      <c r="A389" s="1">
        <v>45133</v>
      </c>
      <c r="B389">
        <v>217.72</v>
      </c>
      <c r="C389">
        <v>219.7</v>
      </c>
      <c r="D389">
        <v>219.7</v>
      </c>
      <c r="E389">
        <v>213.65</v>
      </c>
      <c r="F389" t="s">
        <v>160</v>
      </c>
      <c r="G389" s="2">
        <v>5.0000000000000001E-3</v>
      </c>
    </row>
    <row r="390" spans="1:7" x14ac:dyDescent="0.25">
      <c r="A390" s="1">
        <v>45134</v>
      </c>
      <c r="B390">
        <v>216.63</v>
      </c>
      <c r="C390">
        <v>219.7</v>
      </c>
      <c r="D390">
        <v>219.7</v>
      </c>
      <c r="E390">
        <v>211.2</v>
      </c>
      <c r="F390" t="s">
        <v>357</v>
      </c>
      <c r="G390" s="2">
        <v>-5.0000000000000001E-3</v>
      </c>
    </row>
    <row r="391" spans="1:7" x14ac:dyDescent="0.25">
      <c r="A391" s="1">
        <v>45135</v>
      </c>
      <c r="B391">
        <v>216.34</v>
      </c>
      <c r="C391">
        <v>218.78</v>
      </c>
      <c r="D391">
        <v>218.78</v>
      </c>
      <c r="E391">
        <v>215.5</v>
      </c>
      <c r="F391" t="s">
        <v>398</v>
      </c>
      <c r="G391" s="2">
        <v>-1.2999999999999999E-3</v>
      </c>
    </row>
    <row r="392" spans="1:7" x14ac:dyDescent="0.25">
      <c r="A392" s="1">
        <v>45138</v>
      </c>
      <c r="B392">
        <v>217.58</v>
      </c>
      <c r="C392">
        <v>218.78</v>
      </c>
      <c r="D392">
        <v>218.78</v>
      </c>
      <c r="E392">
        <v>216</v>
      </c>
      <c r="F392" t="s">
        <v>397</v>
      </c>
      <c r="G392" s="2">
        <v>5.7000000000000002E-3</v>
      </c>
    </row>
    <row r="393" spans="1:7" x14ac:dyDescent="0.25">
      <c r="A393" s="1">
        <v>45139</v>
      </c>
      <c r="B393">
        <v>217.23</v>
      </c>
      <c r="C393">
        <v>218</v>
      </c>
      <c r="D393">
        <v>218.4</v>
      </c>
      <c r="E393">
        <v>217.02</v>
      </c>
      <c r="F393" t="s">
        <v>209</v>
      </c>
      <c r="G393" s="2">
        <v>-1.6000000000000001E-3</v>
      </c>
    </row>
    <row r="394" spans="1:7" x14ac:dyDescent="0.25">
      <c r="A394" s="1">
        <v>45140</v>
      </c>
      <c r="B394">
        <v>215.1</v>
      </c>
      <c r="C394">
        <v>217.22</v>
      </c>
      <c r="D394">
        <v>217.45</v>
      </c>
      <c r="E394">
        <v>214</v>
      </c>
      <c r="F394" t="s">
        <v>396</v>
      </c>
      <c r="G394" s="2">
        <v>-9.7999999999999997E-3</v>
      </c>
    </row>
    <row r="395" spans="1:7" x14ac:dyDescent="0.25">
      <c r="A395" s="1">
        <v>45141</v>
      </c>
      <c r="B395">
        <v>213.56</v>
      </c>
      <c r="C395">
        <v>216.52</v>
      </c>
      <c r="D395">
        <v>216.52</v>
      </c>
      <c r="E395">
        <v>212.15</v>
      </c>
      <c r="F395" t="s">
        <v>75</v>
      </c>
      <c r="G395" s="2">
        <v>-7.1999999999999998E-3</v>
      </c>
    </row>
    <row r="396" spans="1:7" x14ac:dyDescent="0.25">
      <c r="A396" s="1">
        <v>45142</v>
      </c>
      <c r="B396">
        <v>215.04</v>
      </c>
      <c r="C396">
        <v>215.85</v>
      </c>
      <c r="D396">
        <v>215.85</v>
      </c>
      <c r="E396">
        <v>212.77</v>
      </c>
      <c r="F396" t="s">
        <v>395</v>
      </c>
      <c r="G396" s="2">
        <v>6.8999999999999999E-3</v>
      </c>
    </row>
    <row r="397" spans="1:7" x14ac:dyDescent="0.25">
      <c r="A397" s="1">
        <v>45145</v>
      </c>
      <c r="B397">
        <v>215.95</v>
      </c>
      <c r="C397">
        <v>216.21</v>
      </c>
      <c r="D397">
        <v>216.21</v>
      </c>
      <c r="E397">
        <v>215.05</v>
      </c>
      <c r="F397" t="s">
        <v>341</v>
      </c>
      <c r="G397" s="2">
        <v>4.1999999999999997E-3</v>
      </c>
    </row>
    <row r="398" spans="1:7" x14ac:dyDescent="0.25">
      <c r="A398" s="1">
        <v>45146</v>
      </c>
      <c r="B398">
        <v>215.79</v>
      </c>
      <c r="C398">
        <v>216.47</v>
      </c>
      <c r="D398">
        <v>216.7</v>
      </c>
      <c r="E398">
        <v>209.45</v>
      </c>
      <c r="F398" t="s">
        <v>262</v>
      </c>
      <c r="G398" s="2">
        <v>-6.9999999999999999E-4</v>
      </c>
    </row>
    <row r="399" spans="1:7" x14ac:dyDescent="0.25">
      <c r="A399" s="1">
        <v>45147</v>
      </c>
      <c r="B399">
        <v>216.49</v>
      </c>
      <c r="C399">
        <v>216.85</v>
      </c>
      <c r="D399">
        <v>216.85</v>
      </c>
      <c r="E399">
        <v>212.8</v>
      </c>
      <c r="F399" t="s">
        <v>264</v>
      </c>
      <c r="G399" s="2">
        <v>3.2000000000000002E-3</v>
      </c>
    </row>
    <row r="400" spans="1:7" x14ac:dyDescent="0.25">
      <c r="A400" s="1">
        <v>45148</v>
      </c>
      <c r="B400">
        <v>215.33</v>
      </c>
      <c r="C400">
        <v>217.27</v>
      </c>
      <c r="D400">
        <v>217.27</v>
      </c>
      <c r="E400">
        <v>215.01</v>
      </c>
      <c r="F400" t="s">
        <v>282</v>
      </c>
      <c r="G400" s="2">
        <v>-5.4000000000000003E-3</v>
      </c>
    </row>
    <row r="401" spans="1:7" x14ac:dyDescent="0.25">
      <c r="A401" s="1">
        <v>45149</v>
      </c>
      <c r="B401">
        <v>214.4</v>
      </c>
      <c r="C401">
        <v>217.21</v>
      </c>
      <c r="D401">
        <v>217.21</v>
      </c>
      <c r="E401">
        <v>214.25</v>
      </c>
      <c r="F401" t="s">
        <v>367</v>
      </c>
      <c r="G401" s="2">
        <v>-4.3E-3</v>
      </c>
    </row>
    <row r="402" spans="1:7" x14ac:dyDescent="0.25">
      <c r="A402" s="1">
        <v>45152</v>
      </c>
      <c r="B402">
        <v>214.51</v>
      </c>
      <c r="C402">
        <v>217.82</v>
      </c>
      <c r="D402">
        <v>217.82</v>
      </c>
      <c r="E402">
        <v>211.65</v>
      </c>
      <c r="F402" t="s">
        <v>311</v>
      </c>
      <c r="G402" s="2">
        <v>5.0000000000000001E-4</v>
      </c>
    </row>
    <row r="403" spans="1:7" x14ac:dyDescent="0.25">
      <c r="A403" s="1">
        <v>45154</v>
      </c>
      <c r="B403">
        <v>214.57</v>
      </c>
      <c r="C403">
        <v>218.47</v>
      </c>
      <c r="D403">
        <v>218.47</v>
      </c>
      <c r="E403">
        <v>212.68</v>
      </c>
      <c r="F403" t="s">
        <v>368</v>
      </c>
      <c r="G403" s="2">
        <v>2.9999999999999997E-4</v>
      </c>
    </row>
    <row r="404" spans="1:7" x14ac:dyDescent="0.25">
      <c r="A404" s="1">
        <v>45155</v>
      </c>
      <c r="B404">
        <v>213.7</v>
      </c>
      <c r="C404">
        <v>218.17</v>
      </c>
      <c r="D404">
        <v>218.17</v>
      </c>
      <c r="E404">
        <v>208.15</v>
      </c>
      <c r="F404" t="s">
        <v>389</v>
      </c>
      <c r="G404" s="2">
        <v>-4.1000000000000003E-3</v>
      </c>
    </row>
    <row r="405" spans="1:7" x14ac:dyDescent="0.25">
      <c r="A405" s="1">
        <v>45156</v>
      </c>
      <c r="B405">
        <v>213</v>
      </c>
      <c r="C405">
        <v>218.19</v>
      </c>
      <c r="D405">
        <v>218.19</v>
      </c>
      <c r="E405">
        <v>212.31</v>
      </c>
      <c r="F405" t="s">
        <v>310</v>
      </c>
      <c r="G405" s="2">
        <v>-3.3E-3</v>
      </c>
    </row>
    <row r="406" spans="1:7" x14ac:dyDescent="0.25">
      <c r="A406" s="1">
        <v>45159</v>
      </c>
      <c r="B406">
        <v>213.5</v>
      </c>
      <c r="C406">
        <v>213.69</v>
      </c>
      <c r="D406">
        <v>213.98</v>
      </c>
      <c r="E406">
        <v>212</v>
      </c>
      <c r="F406" t="s">
        <v>266</v>
      </c>
      <c r="G406" s="2">
        <v>2.3E-3</v>
      </c>
    </row>
    <row r="407" spans="1:7" x14ac:dyDescent="0.25">
      <c r="A407" s="1">
        <v>45160</v>
      </c>
      <c r="B407">
        <v>213.43</v>
      </c>
      <c r="C407">
        <v>218.11</v>
      </c>
      <c r="D407">
        <v>218.11</v>
      </c>
      <c r="E407">
        <v>213.1</v>
      </c>
      <c r="F407" t="s">
        <v>394</v>
      </c>
      <c r="G407" s="2">
        <v>-2.9999999999999997E-4</v>
      </c>
    </row>
    <row r="408" spans="1:7" x14ac:dyDescent="0.25">
      <c r="A408" s="1">
        <v>45161</v>
      </c>
      <c r="B408">
        <v>214.37</v>
      </c>
      <c r="C408">
        <v>216.4</v>
      </c>
      <c r="D408">
        <v>216.4</v>
      </c>
      <c r="E408">
        <v>212.78</v>
      </c>
      <c r="F408" t="s">
        <v>391</v>
      </c>
      <c r="G408" s="2">
        <v>4.4000000000000003E-3</v>
      </c>
    </row>
    <row r="409" spans="1:7" x14ac:dyDescent="0.25">
      <c r="A409" s="1">
        <v>45162</v>
      </c>
      <c r="B409">
        <v>213.77</v>
      </c>
      <c r="C409">
        <v>218.47</v>
      </c>
      <c r="D409">
        <v>218.47</v>
      </c>
      <c r="E409">
        <v>213.33</v>
      </c>
      <c r="F409" t="s">
        <v>393</v>
      </c>
      <c r="G409" s="2">
        <v>-2.8E-3</v>
      </c>
    </row>
    <row r="410" spans="1:7" x14ac:dyDescent="0.25">
      <c r="A410" s="1">
        <v>45163</v>
      </c>
      <c r="B410">
        <v>212.76</v>
      </c>
      <c r="C410">
        <v>207.35</v>
      </c>
      <c r="D410">
        <v>214.48</v>
      </c>
      <c r="E410">
        <v>207.35</v>
      </c>
      <c r="F410" t="s">
        <v>392</v>
      </c>
      <c r="G410" s="2">
        <v>-4.7000000000000002E-3</v>
      </c>
    </row>
    <row r="411" spans="1:7" x14ac:dyDescent="0.25">
      <c r="A411" s="1">
        <v>45166</v>
      </c>
      <c r="B411">
        <v>212.87</v>
      </c>
      <c r="C411">
        <v>217.47</v>
      </c>
      <c r="D411">
        <v>217.47</v>
      </c>
      <c r="E411">
        <v>211</v>
      </c>
      <c r="F411" t="s">
        <v>391</v>
      </c>
      <c r="G411" s="2">
        <v>5.0000000000000001E-4</v>
      </c>
    </row>
    <row r="412" spans="1:7" x14ac:dyDescent="0.25">
      <c r="A412" s="1">
        <v>45167</v>
      </c>
      <c r="B412">
        <v>213.16</v>
      </c>
      <c r="C412">
        <v>217.47</v>
      </c>
      <c r="D412">
        <v>217.47</v>
      </c>
      <c r="E412">
        <v>212.8</v>
      </c>
      <c r="F412" t="s">
        <v>390</v>
      </c>
      <c r="G412" s="2">
        <v>1.4E-3</v>
      </c>
    </row>
    <row r="413" spans="1:7" x14ac:dyDescent="0.25">
      <c r="A413" s="1">
        <v>45168</v>
      </c>
      <c r="B413">
        <v>213.54</v>
      </c>
      <c r="C413">
        <v>217.47</v>
      </c>
      <c r="D413">
        <v>217.47</v>
      </c>
      <c r="E413">
        <v>207.65</v>
      </c>
      <c r="F413" t="s">
        <v>389</v>
      </c>
      <c r="G413" s="2">
        <v>1.8E-3</v>
      </c>
    </row>
    <row r="414" spans="1:7" x14ac:dyDescent="0.25">
      <c r="A414" s="1">
        <v>45169</v>
      </c>
      <c r="B414">
        <v>212.77</v>
      </c>
      <c r="C414">
        <v>207.15</v>
      </c>
      <c r="D414">
        <v>217.47</v>
      </c>
      <c r="E414">
        <v>207.15</v>
      </c>
      <c r="F414" t="s">
        <v>388</v>
      </c>
      <c r="G414" s="2">
        <v>-3.5999999999999999E-3</v>
      </c>
    </row>
    <row r="415" spans="1:7" x14ac:dyDescent="0.25">
      <c r="A415" s="1">
        <v>45170</v>
      </c>
      <c r="B415">
        <v>214.27</v>
      </c>
      <c r="C415">
        <v>216.87</v>
      </c>
      <c r="D415">
        <v>216.87</v>
      </c>
      <c r="E415">
        <v>212</v>
      </c>
      <c r="F415" t="s">
        <v>334</v>
      </c>
      <c r="G415" s="2">
        <v>7.0000000000000001E-3</v>
      </c>
    </row>
    <row r="416" spans="1:7" x14ac:dyDescent="0.25">
      <c r="A416" s="1">
        <v>45173</v>
      </c>
      <c r="B416">
        <v>215.59</v>
      </c>
      <c r="C416">
        <v>217.47</v>
      </c>
      <c r="D416">
        <v>217.47</v>
      </c>
      <c r="E416">
        <v>207.85</v>
      </c>
      <c r="F416" t="s">
        <v>334</v>
      </c>
      <c r="G416" s="2">
        <v>6.1999999999999998E-3</v>
      </c>
    </row>
    <row r="417" spans="1:7" x14ac:dyDescent="0.25">
      <c r="A417" s="1">
        <v>45174</v>
      </c>
      <c r="B417">
        <v>215.84</v>
      </c>
      <c r="C417">
        <v>216.98</v>
      </c>
      <c r="D417">
        <v>216.98</v>
      </c>
      <c r="E417">
        <v>215.13</v>
      </c>
      <c r="F417" t="s">
        <v>72</v>
      </c>
      <c r="G417" s="2">
        <v>1.1999999999999999E-3</v>
      </c>
    </row>
    <row r="418" spans="1:7" x14ac:dyDescent="0.25">
      <c r="A418" s="1">
        <v>45175</v>
      </c>
      <c r="B418">
        <v>216.22</v>
      </c>
      <c r="C418">
        <v>217.17</v>
      </c>
      <c r="D418">
        <v>217.17</v>
      </c>
      <c r="E418">
        <v>215.08</v>
      </c>
      <c r="F418" t="s">
        <v>387</v>
      </c>
      <c r="G418" s="2">
        <v>1.8E-3</v>
      </c>
    </row>
    <row r="419" spans="1:7" x14ac:dyDescent="0.25">
      <c r="A419" s="1">
        <v>45176</v>
      </c>
      <c r="B419">
        <v>217.29</v>
      </c>
      <c r="C419">
        <v>217.17</v>
      </c>
      <c r="D419">
        <v>217.5</v>
      </c>
      <c r="E419">
        <v>209.75</v>
      </c>
      <c r="F419" t="s">
        <v>386</v>
      </c>
      <c r="G419" s="2">
        <v>4.8999999999999998E-3</v>
      </c>
    </row>
    <row r="420" spans="1:7" x14ac:dyDescent="0.25">
      <c r="A420" s="1">
        <v>45177</v>
      </c>
      <c r="B420">
        <v>218.41</v>
      </c>
      <c r="C420">
        <v>218.47</v>
      </c>
      <c r="D420">
        <v>218.78</v>
      </c>
      <c r="E420">
        <v>215.42</v>
      </c>
      <c r="F420" t="s">
        <v>280</v>
      </c>
      <c r="G420" s="2">
        <v>5.1999999999999998E-3</v>
      </c>
    </row>
    <row r="421" spans="1:7" x14ac:dyDescent="0.25">
      <c r="A421" s="1">
        <v>45180</v>
      </c>
      <c r="B421">
        <v>220.38</v>
      </c>
      <c r="C421">
        <v>219.55</v>
      </c>
      <c r="D421">
        <v>220.5</v>
      </c>
      <c r="E421">
        <v>217.18</v>
      </c>
      <c r="F421" t="s">
        <v>207</v>
      </c>
      <c r="G421" s="2">
        <v>8.9999999999999993E-3</v>
      </c>
    </row>
    <row r="422" spans="1:7" x14ac:dyDescent="0.25">
      <c r="A422" s="1">
        <v>45181</v>
      </c>
      <c r="B422">
        <v>220.19</v>
      </c>
      <c r="C422">
        <v>221.98</v>
      </c>
      <c r="D422">
        <v>221.98</v>
      </c>
      <c r="E422">
        <v>219.4</v>
      </c>
      <c r="F422" t="s">
        <v>278</v>
      </c>
      <c r="G422" s="2">
        <v>-8.9999999999999998E-4</v>
      </c>
    </row>
    <row r="423" spans="1:7" x14ac:dyDescent="0.25">
      <c r="A423" s="1">
        <v>45182</v>
      </c>
      <c r="B423">
        <v>221.43</v>
      </c>
      <c r="C423">
        <v>221.59</v>
      </c>
      <c r="D423">
        <v>221.8</v>
      </c>
      <c r="E423">
        <v>219.45</v>
      </c>
      <c r="F423" t="s">
        <v>63</v>
      </c>
      <c r="G423" s="2">
        <v>5.5999999999999999E-3</v>
      </c>
    </row>
    <row r="424" spans="1:7" x14ac:dyDescent="0.25">
      <c r="A424" s="1">
        <v>45183</v>
      </c>
      <c r="B424">
        <v>221.53</v>
      </c>
      <c r="C424">
        <v>222.73</v>
      </c>
      <c r="D424">
        <v>222.73</v>
      </c>
      <c r="E424">
        <v>221</v>
      </c>
      <c r="F424" t="s">
        <v>33</v>
      </c>
      <c r="G424" s="2">
        <v>5.0000000000000001E-4</v>
      </c>
    </row>
    <row r="425" spans="1:7" x14ac:dyDescent="0.25">
      <c r="A425" s="1">
        <v>45184</v>
      </c>
      <c r="B425">
        <v>222.57</v>
      </c>
      <c r="C425">
        <v>222.73</v>
      </c>
      <c r="D425">
        <v>222.81</v>
      </c>
      <c r="E425">
        <v>221.11</v>
      </c>
      <c r="F425" t="s">
        <v>385</v>
      </c>
      <c r="G425" s="2">
        <v>4.7000000000000002E-3</v>
      </c>
    </row>
    <row r="426" spans="1:7" x14ac:dyDescent="0.25">
      <c r="A426" s="1">
        <v>45187</v>
      </c>
      <c r="B426">
        <v>221.92</v>
      </c>
      <c r="C426">
        <v>222.25</v>
      </c>
      <c r="D426">
        <v>222.57</v>
      </c>
      <c r="E426">
        <v>216</v>
      </c>
      <c r="F426" t="s">
        <v>276</v>
      </c>
      <c r="G426" s="2">
        <v>-2.8999999999999998E-3</v>
      </c>
    </row>
    <row r="427" spans="1:7" x14ac:dyDescent="0.25">
      <c r="A427" s="1">
        <v>45189</v>
      </c>
      <c r="B427">
        <v>219.6</v>
      </c>
      <c r="C427">
        <v>220.99</v>
      </c>
      <c r="D427">
        <v>221</v>
      </c>
      <c r="E427">
        <v>219.3</v>
      </c>
      <c r="F427" t="s">
        <v>277</v>
      </c>
      <c r="G427" s="2">
        <v>-1.0500000000000001E-2</v>
      </c>
    </row>
    <row r="428" spans="1:7" x14ac:dyDescent="0.25">
      <c r="A428" s="1">
        <v>45190</v>
      </c>
      <c r="B428">
        <v>217.63</v>
      </c>
      <c r="C428">
        <v>213</v>
      </c>
      <c r="D428">
        <v>226.2</v>
      </c>
      <c r="E428">
        <v>213</v>
      </c>
      <c r="F428" t="s">
        <v>369</v>
      </c>
      <c r="G428" s="2">
        <v>-8.9999999999999993E-3</v>
      </c>
    </row>
    <row r="429" spans="1:7" x14ac:dyDescent="0.25">
      <c r="A429" s="1">
        <v>45191</v>
      </c>
      <c r="B429">
        <v>216.81</v>
      </c>
      <c r="C429">
        <v>219.63</v>
      </c>
      <c r="D429">
        <v>219.63</v>
      </c>
      <c r="E429">
        <v>216.38</v>
      </c>
      <c r="F429" t="s">
        <v>384</v>
      </c>
      <c r="G429" s="2">
        <v>-3.8E-3</v>
      </c>
    </row>
    <row r="430" spans="1:7" x14ac:dyDescent="0.25">
      <c r="A430" s="1">
        <v>45194</v>
      </c>
      <c r="B430">
        <v>216.8</v>
      </c>
      <c r="C430">
        <v>218.79</v>
      </c>
      <c r="D430">
        <v>218.79</v>
      </c>
      <c r="E430">
        <v>216.08</v>
      </c>
      <c r="F430" t="s">
        <v>341</v>
      </c>
      <c r="G430" s="2">
        <v>0</v>
      </c>
    </row>
    <row r="431" spans="1:7" x14ac:dyDescent="0.25">
      <c r="A431" s="1">
        <v>45195</v>
      </c>
      <c r="B431">
        <v>216.57</v>
      </c>
      <c r="C431">
        <v>217.92</v>
      </c>
      <c r="D431">
        <v>217.92</v>
      </c>
      <c r="E431">
        <v>215.18</v>
      </c>
      <c r="F431" t="s">
        <v>383</v>
      </c>
      <c r="G431" s="2">
        <v>-1.1000000000000001E-3</v>
      </c>
    </row>
    <row r="432" spans="1:7" x14ac:dyDescent="0.25">
      <c r="A432" s="1">
        <v>45196</v>
      </c>
      <c r="B432">
        <v>217.56</v>
      </c>
      <c r="C432">
        <v>218.47</v>
      </c>
      <c r="D432">
        <v>218.47</v>
      </c>
      <c r="E432">
        <v>210.05</v>
      </c>
      <c r="F432" t="s">
        <v>350</v>
      </c>
      <c r="G432" s="2">
        <v>4.5999999999999999E-3</v>
      </c>
    </row>
    <row r="433" spans="1:7" x14ac:dyDescent="0.25">
      <c r="A433" s="1">
        <v>45197</v>
      </c>
      <c r="B433">
        <v>215.77</v>
      </c>
      <c r="C433">
        <v>218.98</v>
      </c>
      <c r="D433">
        <v>218.98</v>
      </c>
      <c r="E433">
        <v>215.45</v>
      </c>
      <c r="F433" t="s">
        <v>382</v>
      </c>
      <c r="G433" s="2">
        <v>-8.2000000000000007E-3</v>
      </c>
    </row>
    <row r="434" spans="1:7" x14ac:dyDescent="0.25">
      <c r="A434" s="1">
        <v>45198</v>
      </c>
      <c r="B434">
        <v>216.75</v>
      </c>
      <c r="C434">
        <v>222.25</v>
      </c>
      <c r="D434">
        <v>222.25</v>
      </c>
      <c r="E434">
        <v>209.3</v>
      </c>
      <c r="F434" t="s">
        <v>275</v>
      </c>
      <c r="G434" s="2">
        <v>4.4999999999999997E-3</v>
      </c>
    </row>
    <row r="435" spans="1:7" x14ac:dyDescent="0.25">
      <c r="A435" s="1">
        <v>45202</v>
      </c>
      <c r="B435">
        <v>215.57</v>
      </c>
      <c r="C435">
        <v>223.25</v>
      </c>
      <c r="D435">
        <v>223.25</v>
      </c>
      <c r="E435">
        <v>210.25</v>
      </c>
      <c r="F435" t="s">
        <v>303</v>
      </c>
      <c r="G435" s="2">
        <v>-5.4000000000000003E-3</v>
      </c>
    </row>
    <row r="436" spans="1:7" x14ac:dyDescent="0.25">
      <c r="A436" s="1">
        <v>45203</v>
      </c>
      <c r="B436">
        <v>214.4</v>
      </c>
      <c r="C436">
        <v>222.05</v>
      </c>
      <c r="D436">
        <v>222.05</v>
      </c>
      <c r="E436">
        <v>213.53</v>
      </c>
      <c r="F436" t="s">
        <v>89</v>
      </c>
      <c r="G436" s="2">
        <v>-5.4000000000000003E-3</v>
      </c>
    </row>
    <row r="437" spans="1:7" x14ac:dyDescent="0.25">
      <c r="A437" s="1">
        <v>45204</v>
      </c>
      <c r="B437">
        <v>215.53</v>
      </c>
      <c r="C437">
        <v>220.85</v>
      </c>
      <c r="D437">
        <v>220.85</v>
      </c>
      <c r="E437">
        <v>214.41</v>
      </c>
      <c r="F437" t="s">
        <v>269</v>
      </c>
      <c r="G437" s="2">
        <v>5.3E-3</v>
      </c>
    </row>
    <row r="438" spans="1:7" x14ac:dyDescent="0.25">
      <c r="A438" s="1">
        <v>45205</v>
      </c>
      <c r="B438">
        <v>216.62</v>
      </c>
      <c r="C438">
        <v>214</v>
      </c>
      <c r="D438">
        <v>218.7</v>
      </c>
      <c r="E438">
        <v>214</v>
      </c>
      <c r="F438" t="s">
        <v>381</v>
      </c>
      <c r="G438" s="2">
        <v>5.1000000000000004E-3</v>
      </c>
    </row>
    <row r="439" spans="1:7" x14ac:dyDescent="0.25">
      <c r="A439" s="1">
        <v>45208</v>
      </c>
      <c r="B439">
        <v>215.48</v>
      </c>
      <c r="C439">
        <v>223.1</v>
      </c>
      <c r="D439">
        <v>223.1</v>
      </c>
      <c r="E439">
        <v>214.71</v>
      </c>
      <c r="F439" t="s">
        <v>380</v>
      </c>
      <c r="G439" s="2">
        <v>-5.3E-3</v>
      </c>
    </row>
    <row r="440" spans="1:7" x14ac:dyDescent="0.25">
      <c r="A440" s="1">
        <v>45209</v>
      </c>
      <c r="B440">
        <v>217.13</v>
      </c>
      <c r="C440">
        <v>221.95</v>
      </c>
      <c r="D440">
        <v>221.95</v>
      </c>
      <c r="E440">
        <v>215.01</v>
      </c>
      <c r="F440" t="s">
        <v>253</v>
      </c>
      <c r="G440" s="2">
        <v>7.7000000000000002E-3</v>
      </c>
    </row>
    <row r="441" spans="1:7" x14ac:dyDescent="0.25">
      <c r="A441" s="1">
        <v>45210</v>
      </c>
      <c r="B441">
        <v>218.76</v>
      </c>
      <c r="C441">
        <v>214.65</v>
      </c>
      <c r="D441">
        <v>220.39</v>
      </c>
      <c r="E441">
        <v>214.65</v>
      </c>
      <c r="F441" t="s">
        <v>379</v>
      </c>
      <c r="G441" s="2">
        <v>7.4999999999999997E-3</v>
      </c>
    </row>
    <row r="442" spans="1:7" x14ac:dyDescent="0.25">
      <c r="A442" s="1">
        <v>45211</v>
      </c>
      <c r="B442">
        <v>218.6</v>
      </c>
      <c r="C442">
        <v>225.3</v>
      </c>
      <c r="D442">
        <v>225.3</v>
      </c>
      <c r="E442">
        <v>216.64</v>
      </c>
      <c r="F442" t="s">
        <v>378</v>
      </c>
      <c r="G442" s="2">
        <v>-6.9999999999999999E-4</v>
      </c>
    </row>
    <row r="443" spans="1:7" x14ac:dyDescent="0.25">
      <c r="A443" s="1">
        <v>45212</v>
      </c>
      <c r="B443">
        <v>218.07</v>
      </c>
      <c r="C443">
        <v>220.75</v>
      </c>
      <c r="D443">
        <v>220.75</v>
      </c>
      <c r="E443">
        <v>216.63</v>
      </c>
      <c r="F443" t="s">
        <v>201</v>
      </c>
      <c r="G443" s="2">
        <v>-2.3999999999999998E-3</v>
      </c>
    </row>
    <row r="444" spans="1:7" x14ac:dyDescent="0.25">
      <c r="A444" s="1">
        <v>45215</v>
      </c>
      <c r="B444">
        <v>217.9</v>
      </c>
      <c r="C444">
        <v>222</v>
      </c>
      <c r="D444">
        <v>222</v>
      </c>
      <c r="E444">
        <v>216.07</v>
      </c>
      <c r="F444" t="s">
        <v>363</v>
      </c>
      <c r="G444" s="2">
        <v>-8.0000000000000004E-4</v>
      </c>
    </row>
    <row r="445" spans="1:7" x14ac:dyDescent="0.25">
      <c r="A445" s="1">
        <v>45216</v>
      </c>
      <c r="B445">
        <v>218.55</v>
      </c>
      <c r="C445">
        <v>224.45</v>
      </c>
      <c r="D445">
        <v>224.45</v>
      </c>
      <c r="E445">
        <v>212.25</v>
      </c>
      <c r="F445" t="s">
        <v>377</v>
      </c>
      <c r="G445" s="2">
        <v>3.0000000000000001E-3</v>
      </c>
    </row>
    <row r="446" spans="1:7" x14ac:dyDescent="0.25">
      <c r="A446" s="1">
        <v>45217</v>
      </c>
      <c r="B446">
        <v>217.2</v>
      </c>
      <c r="C446">
        <v>219.59</v>
      </c>
      <c r="D446">
        <v>219.59</v>
      </c>
      <c r="E446">
        <v>216.92</v>
      </c>
      <c r="F446" t="s">
        <v>376</v>
      </c>
      <c r="G446" s="2">
        <v>-6.1999999999999998E-3</v>
      </c>
    </row>
    <row r="447" spans="1:7" x14ac:dyDescent="0.25">
      <c r="A447" s="1">
        <v>45218</v>
      </c>
      <c r="B447">
        <v>216.67</v>
      </c>
      <c r="C447">
        <v>220.5</v>
      </c>
      <c r="D447">
        <v>223.7</v>
      </c>
      <c r="E447">
        <v>210.7</v>
      </c>
      <c r="F447" t="s">
        <v>375</v>
      </c>
      <c r="G447" s="2">
        <v>-2.3999999999999998E-3</v>
      </c>
    </row>
    <row r="448" spans="1:7" x14ac:dyDescent="0.25">
      <c r="A448" s="1">
        <v>45219</v>
      </c>
      <c r="B448">
        <v>215.3</v>
      </c>
      <c r="C448">
        <v>219.7</v>
      </c>
      <c r="D448">
        <v>219.7</v>
      </c>
      <c r="E448">
        <v>213.65</v>
      </c>
      <c r="F448" t="s">
        <v>258</v>
      </c>
      <c r="G448" s="2">
        <v>-6.3E-3</v>
      </c>
    </row>
    <row r="449" spans="1:7" x14ac:dyDescent="0.25">
      <c r="A449" s="1">
        <v>45222</v>
      </c>
      <c r="B449">
        <v>213.17</v>
      </c>
      <c r="C449">
        <v>221.75</v>
      </c>
      <c r="D449">
        <v>221.75</v>
      </c>
      <c r="E449">
        <v>212.65</v>
      </c>
      <c r="F449" t="s">
        <v>90</v>
      </c>
      <c r="G449" s="2">
        <v>-9.9000000000000008E-3</v>
      </c>
    </row>
    <row r="450" spans="1:7" x14ac:dyDescent="0.25">
      <c r="A450" s="1">
        <v>45224</v>
      </c>
      <c r="B450">
        <v>211.48</v>
      </c>
      <c r="C450">
        <v>215</v>
      </c>
      <c r="D450">
        <v>216.6</v>
      </c>
      <c r="E450">
        <v>210.95</v>
      </c>
      <c r="F450" t="s">
        <v>374</v>
      </c>
      <c r="G450" s="2">
        <v>-7.9000000000000008E-3</v>
      </c>
    </row>
    <row r="451" spans="1:7" x14ac:dyDescent="0.25">
      <c r="A451" s="1">
        <v>45225</v>
      </c>
      <c r="B451">
        <v>208.74</v>
      </c>
      <c r="C451">
        <v>213</v>
      </c>
      <c r="D451">
        <v>214.49</v>
      </c>
      <c r="E451">
        <v>208.36</v>
      </c>
      <c r="F451" t="s">
        <v>373</v>
      </c>
      <c r="G451" s="2">
        <v>-1.2999999999999999E-2</v>
      </c>
    </row>
    <row r="452" spans="1:7" x14ac:dyDescent="0.25">
      <c r="A452" s="1">
        <v>45226</v>
      </c>
      <c r="B452">
        <v>210.57</v>
      </c>
      <c r="C452">
        <v>210.49</v>
      </c>
      <c r="D452">
        <v>215</v>
      </c>
      <c r="E452">
        <v>208.5</v>
      </c>
      <c r="F452" t="s">
        <v>372</v>
      </c>
      <c r="G452" s="2">
        <v>8.8000000000000005E-3</v>
      </c>
    </row>
    <row r="453" spans="1:7" x14ac:dyDescent="0.25">
      <c r="A453" s="1">
        <v>45229</v>
      </c>
      <c r="B453">
        <v>211.52</v>
      </c>
      <c r="C453">
        <v>211.4</v>
      </c>
      <c r="D453">
        <v>211.99</v>
      </c>
      <c r="E453">
        <v>209.41</v>
      </c>
      <c r="F453" t="s">
        <v>66</v>
      </c>
      <c r="G453" s="2">
        <v>4.4999999999999997E-3</v>
      </c>
    </row>
    <row r="454" spans="1:7" x14ac:dyDescent="0.25">
      <c r="A454" s="1">
        <v>45230</v>
      </c>
      <c r="B454">
        <v>210.98</v>
      </c>
      <c r="C454">
        <v>212</v>
      </c>
      <c r="D454">
        <v>214</v>
      </c>
      <c r="E454">
        <v>210.7</v>
      </c>
      <c r="F454" t="s">
        <v>371</v>
      </c>
      <c r="G454" s="2">
        <v>-2.5999999999999999E-3</v>
      </c>
    </row>
    <row r="455" spans="1:7" x14ac:dyDescent="0.25">
      <c r="A455" s="1">
        <v>45231</v>
      </c>
      <c r="B455">
        <v>209.99</v>
      </c>
      <c r="C455">
        <v>213.95</v>
      </c>
      <c r="D455">
        <v>213.95</v>
      </c>
      <c r="E455">
        <v>209.58</v>
      </c>
      <c r="F455" t="s">
        <v>370</v>
      </c>
      <c r="G455" s="2">
        <v>-4.7000000000000002E-3</v>
      </c>
    </row>
    <row r="456" spans="1:7" x14ac:dyDescent="0.25">
      <c r="A456" s="1">
        <v>45232</v>
      </c>
      <c r="B456">
        <v>211.64</v>
      </c>
      <c r="C456">
        <v>213.99</v>
      </c>
      <c r="D456">
        <v>213.99</v>
      </c>
      <c r="E456">
        <v>210</v>
      </c>
      <c r="F456" t="s">
        <v>369</v>
      </c>
      <c r="G456" s="2">
        <v>7.9000000000000008E-3</v>
      </c>
    </row>
    <row r="457" spans="1:7" x14ac:dyDescent="0.25">
      <c r="A457" s="1">
        <v>45233</v>
      </c>
      <c r="B457">
        <v>212.69</v>
      </c>
      <c r="C457">
        <v>212.26</v>
      </c>
      <c r="D457">
        <v>213.77</v>
      </c>
      <c r="E457">
        <v>212.05</v>
      </c>
      <c r="F457" t="s">
        <v>257</v>
      </c>
      <c r="G457" s="2">
        <v>5.0000000000000001E-3</v>
      </c>
    </row>
    <row r="458" spans="1:7" x14ac:dyDescent="0.25">
      <c r="A458" s="1">
        <v>45236</v>
      </c>
      <c r="B458">
        <v>214.56</v>
      </c>
      <c r="C458">
        <v>218.7</v>
      </c>
      <c r="D458">
        <v>218.7</v>
      </c>
      <c r="E458">
        <v>212.1</v>
      </c>
      <c r="F458" t="s">
        <v>274</v>
      </c>
      <c r="G458" s="2">
        <v>8.8000000000000005E-3</v>
      </c>
    </row>
    <row r="459" spans="1:7" x14ac:dyDescent="0.25">
      <c r="A459" s="1">
        <v>45237</v>
      </c>
      <c r="B459">
        <v>214.49</v>
      </c>
      <c r="C459">
        <v>215.24</v>
      </c>
      <c r="D459">
        <v>215.25</v>
      </c>
      <c r="E459">
        <v>212.78</v>
      </c>
      <c r="F459" t="s">
        <v>368</v>
      </c>
      <c r="G459" s="2">
        <v>-2.9999999999999997E-4</v>
      </c>
    </row>
    <row r="460" spans="1:7" x14ac:dyDescent="0.25">
      <c r="A460" s="1">
        <v>45238</v>
      </c>
      <c r="B460">
        <v>214.83</v>
      </c>
      <c r="C460">
        <v>215</v>
      </c>
      <c r="D460">
        <v>215.2</v>
      </c>
      <c r="E460">
        <v>213.81</v>
      </c>
      <c r="F460" t="s">
        <v>367</v>
      </c>
      <c r="G460" s="2">
        <v>1.6000000000000001E-3</v>
      </c>
    </row>
    <row r="461" spans="1:7" x14ac:dyDescent="0.25">
      <c r="A461" s="1">
        <v>45239</v>
      </c>
      <c r="B461">
        <v>214.3</v>
      </c>
      <c r="C461">
        <v>215.99</v>
      </c>
      <c r="D461">
        <v>217</v>
      </c>
      <c r="E461">
        <v>214.03</v>
      </c>
      <c r="F461" t="s">
        <v>366</v>
      </c>
      <c r="G461" s="2">
        <v>-2.5000000000000001E-3</v>
      </c>
    </row>
    <row r="462" spans="1:7" x14ac:dyDescent="0.25">
      <c r="A462" s="1">
        <v>45240</v>
      </c>
      <c r="B462">
        <v>214.24</v>
      </c>
      <c r="C462">
        <v>214.99</v>
      </c>
      <c r="D462">
        <v>214.99</v>
      </c>
      <c r="E462">
        <v>213.25</v>
      </c>
      <c r="F462" t="s">
        <v>82</v>
      </c>
      <c r="G462" s="2">
        <v>-2.9999999999999997E-4</v>
      </c>
    </row>
    <row r="463" spans="1:7" x14ac:dyDescent="0.25">
      <c r="A463" s="1">
        <v>45242</v>
      </c>
      <c r="B463">
        <v>215.16</v>
      </c>
      <c r="C463">
        <v>215.69</v>
      </c>
      <c r="D463">
        <v>215.69</v>
      </c>
      <c r="E463">
        <v>215</v>
      </c>
      <c r="F463" t="s">
        <v>336</v>
      </c>
      <c r="G463" s="2">
        <v>4.3E-3</v>
      </c>
    </row>
    <row r="464" spans="1:7" x14ac:dyDescent="0.25">
      <c r="A464" s="1">
        <v>45243</v>
      </c>
      <c r="B464">
        <v>214.55</v>
      </c>
      <c r="C464">
        <v>215.9</v>
      </c>
      <c r="D464">
        <v>215.99</v>
      </c>
      <c r="E464">
        <v>214.3</v>
      </c>
      <c r="F464" t="s">
        <v>365</v>
      </c>
      <c r="G464" s="2">
        <v>-2.8E-3</v>
      </c>
    </row>
    <row r="465" spans="1:7" x14ac:dyDescent="0.25">
      <c r="A465" s="1">
        <v>45245</v>
      </c>
      <c r="B465">
        <v>216.97</v>
      </c>
      <c r="C465">
        <v>215.3</v>
      </c>
      <c r="D465">
        <v>217.23</v>
      </c>
      <c r="E465">
        <v>213.7</v>
      </c>
      <c r="F465" t="s">
        <v>303</v>
      </c>
      <c r="G465" s="2">
        <v>1.1299999999999999E-2</v>
      </c>
    </row>
    <row r="466" spans="1:7" x14ac:dyDescent="0.25">
      <c r="A466" s="1">
        <v>45246</v>
      </c>
      <c r="B466">
        <v>218.16</v>
      </c>
      <c r="C466">
        <v>217.99</v>
      </c>
      <c r="D466">
        <v>219.25</v>
      </c>
      <c r="E466">
        <v>216.6</v>
      </c>
      <c r="F466" t="s">
        <v>364</v>
      </c>
      <c r="G466" s="2">
        <v>5.4999999999999997E-3</v>
      </c>
    </row>
    <row r="467" spans="1:7" x14ac:dyDescent="0.25">
      <c r="A467" s="1">
        <v>45247</v>
      </c>
      <c r="B467">
        <v>218.02</v>
      </c>
      <c r="C467">
        <v>224</v>
      </c>
      <c r="D467">
        <v>224</v>
      </c>
      <c r="E467">
        <v>216</v>
      </c>
      <c r="F467" t="s">
        <v>363</v>
      </c>
      <c r="G467" s="2">
        <v>-5.9999999999999995E-4</v>
      </c>
    </row>
    <row r="468" spans="1:7" x14ac:dyDescent="0.25">
      <c r="A468" s="1">
        <v>45250</v>
      </c>
      <c r="B468">
        <v>217.35</v>
      </c>
      <c r="C468">
        <v>218.99</v>
      </c>
      <c r="D468">
        <v>218.99</v>
      </c>
      <c r="E468">
        <v>217.07</v>
      </c>
      <c r="F468" t="s">
        <v>318</v>
      </c>
      <c r="G468" s="2">
        <v>-3.0999999999999999E-3</v>
      </c>
    </row>
    <row r="469" spans="1:7" x14ac:dyDescent="0.25">
      <c r="A469" s="1">
        <v>45251</v>
      </c>
      <c r="B469">
        <v>218.39</v>
      </c>
      <c r="C469">
        <v>219.25</v>
      </c>
      <c r="D469">
        <v>219.25</v>
      </c>
      <c r="E469">
        <v>214</v>
      </c>
      <c r="F469" t="s">
        <v>362</v>
      </c>
      <c r="G469" s="2">
        <v>4.7999999999999996E-3</v>
      </c>
    </row>
    <row r="470" spans="1:7" x14ac:dyDescent="0.25">
      <c r="A470" s="1">
        <v>45252</v>
      </c>
      <c r="B470">
        <v>218.53</v>
      </c>
      <c r="C470">
        <v>219.3</v>
      </c>
      <c r="D470">
        <v>219.3</v>
      </c>
      <c r="E470">
        <v>216</v>
      </c>
      <c r="F470" t="s">
        <v>361</v>
      </c>
      <c r="G470" s="2">
        <v>5.9999999999999995E-4</v>
      </c>
    </row>
    <row r="471" spans="1:7" x14ac:dyDescent="0.25">
      <c r="A471" s="1">
        <v>45253</v>
      </c>
      <c r="B471">
        <v>218.56</v>
      </c>
      <c r="C471">
        <v>219</v>
      </c>
      <c r="D471">
        <v>219.2</v>
      </c>
      <c r="E471">
        <v>216.01</v>
      </c>
      <c r="F471" t="s">
        <v>256</v>
      </c>
      <c r="G471" s="2">
        <v>1E-4</v>
      </c>
    </row>
    <row r="472" spans="1:7" x14ac:dyDescent="0.25">
      <c r="A472" s="1">
        <v>45254</v>
      </c>
      <c r="B472">
        <v>218.48</v>
      </c>
      <c r="C472">
        <v>225.1</v>
      </c>
      <c r="D472">
        <v>225.1</v>
      </c>
      <c r="E472">
        <v>218.19</v>
      </c>
      <c r="F472" t="s">
        <v>201</v>
      </c>
      <c r="G472" s="2">
        <v>-4.0000000000000002E-4</v>
      </c>
    </row>
    <row r="473" spans="1:7" x14ac:dyDescent="0.25">
      <c r="A473" s="1">
        <v>45258</v>
      </c>
      <c r="B473">
        <v>219.56</v>
      </c>
      <c r="C473">
        <v>225.05</v>
      </c>
      <c r="D473">
        <v>225.05</v>
      </c>
      <c r="E473">
        <v>211.95</v>
      </c>
      <c r="F473" t="s">
        <v>312</v>
      </c>
      <c r="G473" s="2">
        <v>4.8999999999999998E-3</v>
      </c>
    </row>
    <row r="474" spans="1:7" x14ac:dyDescent="0.25">
      <c r="A474" s="1">
        <v>45259</v>
      </c>
      <c r="B474">
        <v>221.66</v>
      </c>
      <c r="C474">
        <v>221.99</v>
      </c>
      <c r="D474">
        <v>221.99</v>
      </c>
      <c r="E474">
        <v>219.31</v>
      </c>
      <c r="F474" t="s">
        <v>301</v>
      </c>
      <c r="G474" s="2">
        <v>9.5999999999999992E-3</v>
      </c>
    </row>
    <row r="475" spans="1:7" x14ac:dyDescent="0.25">
      <c r="A475" s="1">
        <v>45260</v>
      </c>
      <c r="B475">
        <v>222.13</v>
      </c>
      <c r="C475">
        <v>228.3</v>
      </c>
      <c r="D475">
        <v>228.3</v>
      </c>
      <c r="E475">
        <v>220.38</v>
      </c>
      <c r="F475" t="s">
        <v>176</v>
      </c>
      <c r="G475" s="2">
        <v>2.0999999999999999E-3</v>
      </c>
    </row>
    <row r="476" spans="1:7" x14ac:dyDescent="0.25">
      <c r="A476" s="1">
        <v>45261</v>
      </c>
      <c r="B476">
        <v>223.75</v>
      </c>
      <c r="C476">
        <v>223.99</v>
      </c>
      <c r="D476">
        <v>223.99</v>
      </c>
      <c r="E476">
        <v>221</v>
      </c>
      <c r="F476" t="s">
        <v>340</v>
      </c>
      <c r="G476" s="2">
        <v>7.3000000000000001E-3</v>
      </c>
    </row>
    <row r="477" spans="1:7" x14ac:dyDescent="0.25">
      <c r="A477" s="1">
        <v>45264</v>
      </c>
      <c r="B477">
        <v>228.18</v>
      </c>
      <c r="C477">
        <v>230.45</v>
      </c>
      <c r="D477">
        <v>230.45</v>
      </c>
      <c r="E477">
        <v>225.5</v>
      </c>
      <c r="F477" t="s">
        <v>124</v>
      </c>
      <c r="G477" s="2">
        <v>1.9800000000000002E-2</v>
      </c>
    </row>
    <row r="478" spans="1:7" x14ac:dyDescent="0.25">
      <c r="A478" s="1">
        <v>45265</v>
      </c>
      <c r="B478">
        <v>230.06</v>
      </c>
      <c r="C478">
        <v>228.45</v>
      </c>
      <c r="D478">
        <v>230.28</v>
      </c>
      <c r="E478">
        <v>228.39</v>
      </c>
      <c r="F478" t="s">
        <v>360</v>
      </c>
      <c r="G478" s="2">
        <v>8.2000000000000007E-3</v>
      </c>
    </row>
    <row r="479" spans="1:7" x14ac:dyDescent="0.25">
      <c r="A479" s="1">
        <v>45266</v>
      </c>
      <c r="B479">
        <v>230.94</v>
      </c>
      <c r="C479">
        <v>231.99</v>
      </c>
      <c r="D479">
        <v>231.99</v>
      </c>
      <c r="E479">
        <v>229.8</v>
      </c>
      <c r="F479" t="s">
        <v>359</v>
      </c>
      <c r="G479" s="2">
        <v>3.8E-3</v>
      </c>
    </row>
    <row r="480" spans="1:7" x14ac:dyDescent="0.25">
      <c r="A480" s="1">
        <v>45267</v>
      </c>
      <c r="B480">
        <v>230.83</v>
      </c>
      <c r="C480">
        <v>231.99</v>
      </c>
      <c r="D480">
        <v>231.99</v>
      </c>
      <c r="E480">
        <v>228.15</v>
      </c>
      <c r="F480" t="s">
        <v>311</v>
      </c>
      <c r="G480" s="2">
        <v>-5.0000000000000001E-4</v>
      </c>
    </row>
    <row r="481" spans="1:7" x14ac:dyDescent="0.25">
      <c r="A481" s="1">
        <v>45268</v>
      </c>
      <c r="B481">
        <v>231.36</v>
      </c>
      <c r="C481">
        <v>231.99</v>
      </c>
      <c r="D481">
        <v>231.99</v>
      </c>
      <c r="E481">
        <v>228</v>
      </c>
      <c r="F481" t="s">
        <v>200</v>
      </c>
      <c r="G481" s="2">
        <v>2.3E-3</v>
      </c>
    </row>
    <row r="482" spans="1:7" x14ac:dyDescent="0.25">
      <c r="A482" s="1">
        <v>45271</v>
      </c>
      <c r="B482">
        <v>231.79</v>
      </c>
      <c r="C482">
        <v>229.01</v>
      </c>
      <c r="D482">
        <v>232.1</v>
      </c>
      <c r="E482">
        <v>229.01</v>
      </c>
      <c r="F482" t="s">
        <v>358</v>
      </c>
      <c r="G482" s="2">
        <v>1.9E-3</v>
      </c>
    </row>
    <row r="483" spans="1:7" x14ac:dyDescent="0.25">
      <c r="A483" s="1">
        <v>45272</v>
      </c>
      <c r="B483">
        <v>230.96</v>
      </c>
      <c r="C483">
        <v>232.99</v>
      </c>
      <c r="D483">
        <v>232.99</v>
      </c>
      <c r="E483">
        <v>230.5</v>
      </c>
      <c r="F483" t="s">
        <v>341</v>
      </c>
      <c r="G483" s="2">
        <v>-3.5999999999999999E-3</v>
      </c>
    </row>
    <row r="484" spans="1:7" x14ac:dyDescent="0.25">
      <c r="A484" s="1">
        <v>45273</v>
      </c>
      <c r="B484">
        <v>231.15</v>
      </c>
      <c r="C484">
        <v>231.99</v>
      </c>
      <c r="D484">
        <v>231.99</v>
      </c>
      <c r="E484">
        <v>229.63</v>
      </c>
      <c r="F484" t="s">
        <v>236</v>
      </c>
      <c r="G484" s="2">
        <v>8.0000000000000004E-4</v>
      </c>
    </row>
    <row r="485" spans="1:7" x14ac:dyDescent="0.25">
      <c r="A485" s="1">
        <v>45274</v>
      </c>
      <c r="B485">
        <v>233.99</v>
      </c>
      <c r="C485">
        <v>232</v>
      </c>
      <c r="D485">
        <v>234.5</v>
      </c>
      <c r="E485">
        <v>231.51</v>
      </c>
      <c r="F485" t="s">
        <v>357</v>
      </c>
      <c r="G485" s="2">
        <v>1.23E-2</v>
      </c>
    </row>
    <row r="486" spans="1:7" x14ac:dyDescent="0.25">
      <c r="A486" s="1">
        <v>45275</v>
      </c>
      <c r="B486">
        <v>236.62</v>
      </c>
      <c r="C486">
        <v>236.25</v>
      </c>
      <c r="D486">
        <v>237</v>
      </c>
      <c r="E486">
        <v>234.01</v>
      </c>
      <c r="F486" t="s">
        <v>211</v>
      </c>
      <c r="G486" s="2">
        <v>1.12E-2</v>
      </c>
    </row>
    <row r="487" spans="1:7" x14ac:dyDescent="0.25">
      <c r="A487" s="1">
        <v>45278</v>
      </c>
      <c r="B487">
        <v>236.57</v>
      </c>
      <c r="C487">
        <v>236.98</v>
      </c>
      <c r="D487">
        <v>237</v>
      </c>
      <c r="E487">
        <v>233.65</v>
      </c>
      <c r="F487" t="s">
        <v>265</v>
      </c>
      <c r="G487" s="2">
        <v>-2.0000000000000001E-4</v>
      </c>
    </row>
    <row r="488" spans="1:7" x14ac:dyDescent="0.25">
      <c r="A488" s="1">
        <v>45279</v>
      </c>
      <c r="B488">
        <v>236.7</v>
      </c>
      <c r="C488">
        <v>237.99</v>
      </c>
      <c r="D488">
        <v>237.99</v>
      </c>
      <c r="E488">
        <v>235.33</v>
      </c>
      <c r="F488" t="s">
        <v>261</v>
      </c>
      <c r="G488" s="2">
        <v>5.0000000000000001E-4</v>
      </c>
    </row>
    <row r="489" spans="1:7" x14ac:dyDescent="0.25">
      <c r="A489" s="1">
        <v>45280</v>
      </c>
      <c r="B489">
        <v>233.25</v>
      </c>
      <c r="C489">
        <v>237.99</v>
      </c>
      <c r="D489">
        <v>238.88</v>
      </c>
      <c r="E489">
        <v>233</v>
      </c>
      <c r="F489" t="s">
        <v>301</v>
      </c>
      <c r="G489" s="2">
        <v>-1.46E-2</v>
      </c>
    </row>
    <row r="490" spans="1:7" x14ac:dyDescent="0.25">
      <c r="A490" s="1">
        <v>45281</v>
      </c>
      <c r="B490">
        <v>234.6</v>
      </c>
      <c r="C490">
        <v>226.25</v>
      </c>
      <c r="D490">
        <v>238</v>
      </c>
      <c r="E490">
        <v>226.25</v>
      </c>
      <c r="F490" t="s">
        <v>356</v>
      </c>
      <c r="G490" s="2">
        <v>5.7999999999999996E-3</v>
      </c>
    </row>
    <row r="491" spans="1:7" x14ac:dyDescent="0.25">
      <c r="A491" s="1">
        <v>45282</v>
      </c>
      <c r="B491">
        <v>235.5</v>
      </c>
      <c r="C491">
        <v>235.99</v>
      </c>
      <c r="D491">
        <v>236.35</v>
      </c>
      <c r="E491">
        <v>232.01</v>
      </c>
      <c r="F491" t="s">
        <v>66</v>
      </c>
      <c r="G491" s="2">
        <v>3.8E-3</v>
      </c>
    </row>
    <row r="492" spans="1:7" x14ac:dyDescent="0.25">
      <c r="A492" s="1">
        <v>45286</v>
      </c>
      <c r="B492">
        <v>236.93</v>
      </c>
      <c r="C492">
        <v>236.99</v>
      </c>
      <c r="D492">
        <v>237.3</v>
      </c>
      <c r="E492">
        <v>234.88</v>
      </c>
      <c r="F492" t="s">
        <v>355</v>
      </c>
      <c r="G492" s="2">
        <v>6.1000000000000004E-3</v>
      </c>
    </row>
    <row r="493" spans="1:7" x14ac:dyDescent="0.25">
      <c r="A493" s="1">
        <v>45287</v>
      </c>
      <c r="B493">
        <v>238.91</v>
      </c>
      <c r="C493">
        <v>239.7</v>
      </c>
      <c r="D493">
        <v>239.7</v>
      </c>
      <c r="E493">
        <v>236.18</v>
      </c>
      <c r="F493" t="s">
        <v>354</v>
      </c>
      <c r="G493" s="2">
        <v>8.3999999999999995E-3</v>
      </c>
    </row>
    <row r="494" spans="1:7" x14ac:dyDescent="0.25">
      <c r="A494" s="1">
        <v>45288</v>
      </c>
      <c r="B494">
        <v>240.16</v>
      </c>
      <c r="C494">
        <v>240</v>
      </c>
      <c r="D494">
        <v>240.5</v>
      </c>
      <c r="E494">
        <v>238.88</v>
      </c>
      <c r="F494" t="s">
        <v>324</v>
      </c>
      <c r="G494" s="2">
        <v>5.1999999999999998E-3</v>
      </c>
    </row>
    <row r="495" spans="1:7" x14ac:dyDescent="0.25">
      <c r="A495" s="1">
        <v>45289</v>
      </c>
      <c r="B495">
        <v>239.65</v>
      </c>
      <c r="C495">
        <v>247.35</v>
      </c>
      <c r="D495">
        <v>247.35</v>
      </c>
      <c r="E495">
        <v>238</v>
      </c>
      <c r="F495" t="s">
        <v>190</v>
      </c>
      <c r="G495" s="2">
        <v>-2.0999999999999999E-3</v>
      </c>
    </row>
    <row r="496" spans="1:7" x14ac:dyDescent="0.25">
      <c r="A496" s="1">
        <v>45292</v>
      </c>
      <c r="B496">
        <v>240.35</v>
      </c>
      <c r="C496">
        <v>240.99</v>
      </c>
      <c r="D496">
        <v>241.14</v>
      </c>
      <c r="E496">
        <v>238.01</v>
      </c>
      <c r="F496" t="s">
        <v>353</v>
      </c>
      <c r="G496" s="2">
        <v>2.8999999999999998E-3</v>
      </c>
    </row>
    <row r="497" spans="1:7" x14ac:dyDescent="0.25">
      <c r="A497" s="1">
        <v>45293</v>
      </c>
      <c r="B497">
        <v>239.21</v>
      </c>
      <c r="C497">
        <v>241</v>
      </c>
      <c r="D497">
        <v>241</v>
      </c>
      <c r="E497">
        <v>238</v>
      </c>
      <c r="F497" t="s">
        <v>88</v>
      </c>
      <c r="G497" s="2">
        <v>-4.7000000000000002E-3</v>
      </c>
    </row>
    <row r="498" spans="1:7" x14ac:dyDescent="0.25">
      <c r="A498" s="1">
        <v>45294</v>
      </c>
      <c r="B498">
        <v>237.74</v>
      </c>
      <c r="C498">
        <v>240</v>
      </c>
      <c r="D498">
        <v>240</v>
      </c>
      <c r="E498">
        <v>237.5</v>
      </c>
      <c r="F498" t="s">
        <v>248</v>
      </c>
      <c r="G498" s="2">
        <v>-6.1000000000000004E-3</v>
      </c>
    </row>
    <row r="499" spans="1:7" x14ac:dyDescent="0.25">
      <c r="A499" s="1">
        <v>45295</v>
      </c>
      <c r="B499">
        <v>239.3</v>
      </c>
      <c r="C499">
        <v>237.7</v>
      </c>
      <c r="D499">
        <v>239.59</v>
      </c>
      <c r="E499">
        <v>237.19</v>
      </c>
      <c r="F499" t="s">
        <v>352</v>
      </c>
      <c r="G499" s="2">
        <v>6.6E-3</v>
      </c>
    </row>
    <row r="500" spans="1:7" x14ac:dyDescent="0.25">
      <c r="A500" s="1">
        <v>45296</v>
      </c>
      <c r="B500">
        <v>239.74</v>
      </c>
      <c r="C500">
        <v>239.8</v>
      </c>
      <c r="D500">
        <v>240</v>
      </c>
      <c r="E500">
        <v>238.01</v>
      </c>
      <c r="F500" t="s">
        <v>351</v>
      </c>
      <c r="G500" s="2">
        <v>1.8E-3</v>
      </c>
    </row>
    <row r="501" spans="1:7" x14ac:dyDescent="0.25">
      <c r="A501" s="1">
        <v>45299</v>
      </c>
      <c r="B501">
        <v>237.68</v>
      </c>
      <c r="C501">
        <v>242</v>
      </c>
      <c r="D501">
        <v>242</v>
      </c>
      <c r="E501">
        <v>237.5</v>
      </c>
      <c r="F501" t="s">
        <v>74</v>
      </c>
      <c r="G501" s="2">
        <v>-8.6E-3</v>
      </c>
    </row>
    <row r="502" spans="1:7" x14ac:dyDescent="0.25">
      <c r="A502" s="1">
        <v>45300</v>
      </c>
      <c r="B502">
        <v>237.78</v>
      </c>
      <c r="C502">
        <v>239.99</v>
      </c>
      <c r="D502">
        <v>239.99</v>
      </c>
      <c r="E502">
        <v>237.5</v>
      </c>
      <c r="F502" t="s">
        <v>350</v>
      </c>
      <c r="G502" s="2">
        <v>4.0000000000000002E-4</v>
      </c>
    </row>
    <row r="503" spans="1:7" x14ac:dyDescent="0.25">
      <c r="A503" s="1">
        <v>45301</v>
      </c>
      <c r="B503">
        <v>238.76</v>
      </c>
      <c r="C503">
        <v>238.99</v>
      </c>
      <c r="D503">
        <v>238.99</v>
      </c>
      <c r="E503">
        <v>236.76</v>
      </c>
      <c r="F503" t="s">
        <v>237</v>
      </c>
      <c r="G503" s="2">
        <v>4.1000000000000003E-3</v>
      </c>
    </row>
    <row r="504" spans="1:7" x14ac:dyDescent="0.25">
      <c r="A504" s="1">
        <v>45302</v>
      </c>
      <c r="B504">
        <v>238.87</v>
      </c>
      <c r="C504">
        <v>239.7</v>
      </c>
      <c r="D504">
        <v>239.7</v>
      </c>
      <c r="E504">
        <v>238.01</v>
      </c>
      <c r="F504" t="s">
        <v>201</v>
      </c>
      <c r="G504" s="2">
        <v>5.0000000000000001E-4</v>
      </c>
    </row>
    <row r="505" spans="1:7" x14ac:dyDescent="0.25">
      <c r="A505" s="1">
        <v>45303</v>
      </c>
      <c r="B505">
        <v>241.73</v>
      </c>
      <c r="C505">
        <v>239.01</v>
      </c>
      <c r="D505">
        <v>242.35</v>
      </c>
      <c r="E505">
        <v>239.01</v>
      </c>
      <c r="F505" t="s">
        <v>83</v>
      </c>
      <c r="G505" s="2">
        <v>1.2E-2</v>
      </c>
    </row>
    <row r="506" spans="1:7" x14ac:dyDescent="0.25">
      <c r="A506" s="1">
        <v>45306</v>
      </c>
      <c r="B506">
        <v>244.07</v>
      </c>
      <c r="C506">
        <v>241.73</v>
      </c>
      <c r="D506">
        <v>244.3</v>
      </c>
      <c r="E506">
        <v>241.73</v>
      </c>
      <c r="F506" t="s">
        <v>349</v>
      </c>
      <c r="G506" s="2">
        <v>9.7000000000000003E-3</v>
      </c>
    </row>
    <row r="507" spans="1:7" x14ac:dyDescent="0.25">
      <c r="A507" s="1">
        <v>45307</v>
      </c>
      <c r="B507">
        <v>243.24</v>
      </c>
      <c r="C507">
        <v>244.6</v>
      </c>
      <c r="D507">
        <v>244.99</v>
      </c>
      <c r="E507">
        <v>242.41</v>
      </c>
      <c r="F507" t="s">
        <v>267</v>
      </c>
      <c r="G507" s="2">
        <v>-3.3999999999999998E-3</v>
      </c>
    </row>
    <row r="508" spans="1:7" x14ac:dyDescent="0.25">
      <c r="A508" s="1">
        <v>45308</v>
      </c>
      <c r="B508">
        <v>238.38</v>
      </c>
      <c r="C508">
        <v>240.99</v>
      </c>
      <c r="D508">
        <v>243</v>
      </c>
      <c r="E508">
        <v>238.1</v>
      </c>
      <c r="F508" t="s">
        <v>133</v>
      </c>
      <c r="G508" s="2">
        <v>-0.02</v>
      </c>
    </row>
    <row r="509" spans="1:7" x14ac:dyDescent="0.25">
      <c r="A509" s="1">
        <v>45309</v>
      </c>
      <c r="B509">
        <v>237.51</v>
      </c>
      <c r="C509">
        <v>237.99</v>
      </c>
      <c r="D509">
        <v>238.21</v>
      </c>
      <c r="E509">
        <v>233.3</v>
      </c>
      <c r="F509" t="s">
        <v>348</v>
      </c>
      <c r="G509" s="2">
        <v>-3.5999999999999999E-3</v>
      </c>
    </row>
    <row r="510" spans="1:7" x14ac:dyDescent="0.25">
      <c r="A510" s="1">
        <v>45310</v>
      </c>
      <c r="B510">
        <v>239.15</v>
      </c>
      <c r="C510">
        <v>239.99</v>
      </c>
      <c r="D510">
        <v>239.99</v>
      </c>
      <c r="E510">
        <v>237.75</v>
      </c>
      <c r="F510" t="s">
        <v>256</v>
      </c>
      <c r="G510" s="2">
        <v>6.8999999999999999E-3</v>
      </c>
    </row>
    <row r="511" spans="1:7" x14ac:dyDescent="0.25">
      <c r="A511" s="1">
        <v>45311</v>
      </c>
      <c r="B511">
        <v>238.95</v>
      </c>
      <c r="C511">
        <v>239.8</v>
      </c>
      <c r="D511">
        <v>239.88</v>
      </c>
      <c r="E511">
        <v>238.53</v>
      </c>
      <c r="F511" t="s">
        <v>347</v>
      </c>
      <c r="G511" s="2">
        <v>-8.0000000000000004E-4</v>
      </c>
    </row>
    <row r="512" spans="1:7" x14ac:dyDescent="0.25">
      <c r="A512" s="1">
        <v>45314</v>
      </c>
      <c r="B512">
        <v>234.87</v>
      </c>
      <c r="C512">
        <v>241.9</v>
      </c>
      <c r="D512">
        <v>241.9</v>
      </c>
      <c r="E512">
        <v>234.5</v>
      </c>
      <c r="F512" t="s">
        <v>346</v>
      </c>
      <c r="G512" s="2">
        <v>-1.7100000000000001E-2</v>
      </c>
    </row>
    <row r="513" spans="1:7" x14ac:dyDescent="0.25">
      <c r="A513" s="1">
        <v>45315</v>
      </c>
      <c r="B513">
        <v>237.29</v>
      </c>
      <c r="C513">
        <v>235.68</v>
      </c>
      <c r="D513">
        <v>237.59</v>
      </c>
      <c r="E513">
        <v>233.5</v>
      </c>
      <c r="F513" t="s">
        <v>217</v>
      </c>
      <c r="G513" s="2">
        <v>1.03E-2</v>
      </c>
    </row>
    <row r="514" spans="1:7" x14ac:dyDescent="0.25">
      <c r="A514" s="1">
        <v>45316</v>
      </c>
      <c r="B514">
        <v>236.15</v>
      </c>
      <c r="C514">
        <v>238</v>
      </c>
      <c r="D514">
        <v>238</v>
      </c>
      <c r="E514">
        <v>235.1</v>
      </c>
      <c r="F514" t="s">
        <v>72</v>
      </c>
      <c r="G514" s="2">
        <v>-4.7999999999999996E-3</v>
      </c>
    </row>
    <row r="515" spans="1:7" x14ac:dyDescent="0.25">
      <c r="A515" s="1">
        <v>45320</v>
      </c>
      <c r="B515">
        <v>240.05</v>
      </c>
      <c r="C515">
        <v>238</v>
      </c>
      <c r="D515">
        <v>240.4</v>
      </c>
      <c r="E515">
        <v>236.15</v>
      </c>
      <c r="F515" t="s">
        <v>62</v>
      </c>
      <c r="G515" s="2">
        <v>1.6500000000000001E-2</v>
      </c>
    </row>
    <row r="516" spans="1:7" x14ac:dyDescent="0.25">
      <c r="A516" s="1">
        <v>45321</v>
      </c>
      <c r="B516">
        <v>238.13</v>
      </c>
      <c r="C516">
        <v>241.99</v>
      </c>
      <c r="D516">
        <v>241.99</v>
      </c>
      <c r="E516">
        <v>237.95</v>
      </c>
      <c r="F516" t="s">
        <v>81</v>
      </c>
      <c r="G516" s="2">
        <v>-8.0000000000000002E-3</v>
      </c>
    </row>
    <row r="517" spans="1:7" x14ac:dyDescent="0.25">
      <c r="A517" s="1">
        <v>45322</v>
      </c>
      <c r="B517">
        <v>240.26</v>
      </c>
      <c r="C517">
        <v>238.78</v>
      </c>
      <c r="D517">
        <v>240.48</v>
      </c>
      <c r="E517">
        <v>237.5</v>
      </c>
      <c r="F517" t="s">
        <v>345</v>
      </c>
      <c r="G517" s="2">
        <v>8.8999999999999999E-3</v>
      </c>
    </row>
    <row r="518" spans="1:7" x14ac:dyDescent="0.25">
      <c r="A518" s="1">
        <v>45323</v>
      </c>
      <c r="B518">
        <v>240.03</v>
      </c>
      <c r="C518">
        <v>241.99</v>
      </c>
      <c r="D518">
        <v>241.99</v>
      </c>
      <c r="E518">
        <v>239.48</v>
      </c>
      <c r="F518" t="s">
        <v>101</v>
      </c>
      <c r="G518" s="2">
        <v>-1E-3</v>
      </c>
    </row>
    <row r="519" spans="1:7" x14ac:dyDescent="0.25">
      <c r="A519" s="1">
        <v>45324</v>
      </c>
      <c r="B519">
        <v>241.3</v>
      </c>
      <c r="C519">
        <v>243.4</v>
      </c>
      <c r="D519">
        <v>244.28</v>
      </c>
      <c r="E519">
        <v>240.01</v>
      </c>
      <c r="F519" t="s">
        <v>344</v>
      </c>
      <c r="G519" s="2">
        <v>5.3E-3</v>
      </c>
    </row>
    <row r="520" spans="1:7" x14ac:dyDescent="0.25">
      <c r="A520" s="1">
        <v>45327</v>
      </c>
      <c r="B520">
        <v>240.24</v>
      </c>
      <c r="C520">
        <v>248.55</v>
      </c>
      <c r="D520">
        <v>248.55</v>
      </c>
      <c r="E520">
        <v>239.9</v>
      </c>
      <c r="F520" t="s">
        <v>343</v>
      </c>
      <c r="G520" s="2">
        <v>-4.4000000000000003E-3</v>
      </c>
    </row>
    <row r="521" spans="1:7" x14ac:dyDescent="0.25">
      <c r="A521" s="1">
        <v>45328</v>
      </c>
      <c r="B521">
        <v>242.01</v>
      </c>
      <c r="C521">
        <v>247.45</v>
      </c>
      <c r="D521">
        <v>247.45</v>
      </c>
      <c r="E521">
        <v>237.65</v>
      </c>
      <c r="F521" t="s">
        <v>342</v>
      </c>
      <c r="G521" s="2">
        <v>7.4000000000000003E-3</v>
      </c>
    </row>
    <row r="522" spans="1:7" x14ac:dyDescent="0.25">
      <c r="A522" s="1">
        <v>45329</v>
      </c>
      <c r="B522">
        <v>242.35</v>
      </c>
      <c r="C522">
        <v>249.25</v>
      </c>
      <c r="D522">
        <v>249.25</v>
      </c>
      <c r="E522">
        <v>234.75</v>
      </c>
      <c r="F522" t="s">
        <v>341</v>
      </c>
      <c r="G522" s="2">
        <v>1.4E-3</v>
      </c>
    </row>
    <row r="523" spans="1:7" x14ac:dyDescent="0.25">
      <c r="A523" s="1">
        <v>45330</v>
      </c>
      <c r="B523">
        <v>240.28</v>
      </c>
      <c r="C523">
        <v>242.35</v>
      </c>
      <c r="D523">
        <v>243.38</v>
      </c>
      <c r="E523">
        <v>239.9</v>
      </c>
      <c r="F523" t="s">
        <v>340</v>
      </c>
      <c r="G523" s="2">
        <v>-8.5000000000000006E-3</v>
      </c>
    </row>
    <row r="524" spans="1:7" x14ac:dyDescent="0.25">
      <c r="A524" s="1">
        <v>45331</v>
      </c>
      <c r="B524">
        <v>240.78</v>
      </c>
      <c r="C524">
        <v>240.9</v>
      </c>
      <c r="D524">
        <v>241.02</v>
      </c>
      <c r="E524">
        <v>239</v>
      </c>
      <c r="F524" t="s">
        <v>339</v>
      </c>
      <c r="G524" s="2">
        <v>2.0999999999999999E-3</v>
      </c>
    </row>
    <row r="525" spans="1:7" x14ac:dyDescent="0.25">
      <c r="A525" s="1">
        <v>45334</v>
      </c>
      <c r="B525">
        <v>239.32</v>
      </c>
      <c r="C525">
        <v>241</v>
      </c>
      <c r="D525">
        <v>242.5</v>
      </c>
      <c r="E525">
        <v>238.97</v>
      </c>
      <c r="F525" t="s">
        <v>177</v>
      </c>
      <c r="G525" s="2">
        <v>-6.1000000000000004E-3</v>
      </c>
    </row>
    <row r="526" spans="1:7" x14ac:dyDescent="0.25">
      <c r="A526" s="1">
        <v>45335</v>
      </c>
      <c r="B526">
        <v>240.59</v>
      </c>
      <c r="C526">
        <v>246.5</v>
      </c>
      <c r="D526">
        <v>246.5</v>
      </c>
      <c r="E526">
        <v>238.7</v>
      </c>
      <c r="F526" t="s">
        <v>338</v>
      </c>
      <c r="G526" s="2">
        <v>5.3E-3</v>
      </c>
    </row>
    <row r="527" spans="1:7" x14ac:dyDescent="0.25">
      <c r="A527" s="1">
        <v>45336</v>
      </c>
      <c r="B527">
        <v>241.55</v>
      </c>
      <c r="C527">
        <v>239.9</v>
      </c>
      <c r="D527">
        <v>241.99</v>
      </c>
      <c r="E527">
        <v>237.55</v>
      </c>
      <c r="F527" t="s">
        <v>337</v>
      </c>
      <c r="G527" s="2">
        <v>4.0000000000000001E-3</v>
      </c>
    </row>
    <row r="528" spans="1:7" x14ac:dyDescent="0.25">
      <c r="A528" s="1">
        <v>45337</v>
      </c>
      <c r="B528">
        <v>242.72</v>
      </c>
      <c r="C528">
        <v>242.99</v>
      </c>
      <c r="D528">
        <v>243</v>
      </c>
      <c r="E528">
        <v>241.2</v>
      </c>
      <c r="F528" t="s">
        <v>25</v>
      </c>
      <c r="G528" s="2">
        <v>4.7999999999999996E-3</v>
      </c>
    </row>
    <row r="529" spans="1:7" x14ac:dyDescent="0.25">
      <c r="A529" s="1">
        <v>45338</v>
      </c>
      <c r="B529">
        <v>243.99</v>
      </c>
      <c r="C529">
        <v>244</v>
      </c>
      <c r="D529">
        <v>244.23</v>
      </c>
      <c r="E529">
        <v>242.58</v>
      </c>
      <c r="F529" t="s">
        <v>307</v>
      </c>
      <c r="G529" s="2">
        <v>5.1999999999999998E-3</v>
      </c>
    </row>
    <row r="530" spans="1:7" x14ac:dyDescent="0.25">
      <c r="A530" s="1">
        <v>45341</v>
      </c>
      <c r="B530">
        <v>245.04</v>
      </c>
      <c r="C530">
        <v>244.5</v>
      </c>
      <c r="D530">
        <v>245.75</v>
      </c>
      <c r="E530">
        <v>243.58</v>
      </c>
      <c r="F530" t="s">
        <v>336</v>
      </c>
      <c r="G530" s="2">
        <v>4.3E-3</v>
      </c>
    </row>
    <row r="531" spans="1:7" x14ac:dyDescent="0.25">
      <c r="A531" s="1">
        <v>45342</v>
      </c>
      <c r="B531">
        <v>245.37</v>
      </c>
      <c r="C531">
        <v>246.99</v>
      </c>
      <c r="D531">
        <v>246.99</v>
      </c>
      <c r="E531">
        <v>243.01</v>
      </c>
      <c r="F531" t="s">
        <v>335</v>
      </c>
      <c r="G531" s="2">
        <v>1.2999999999999999E-3</v>
      </c>
    </row>
    <row r="532" spans="1:7" x14ac:dyDescent="0.25">
      <c r="A532" s="1">
        <v>45343</v>
      </c>
      <c r="B532">
        <v>243.87</v>
      </c>
      <c r="C532">
        <v>246</v>
      </c>
      <c r="D532">
        <v>246.29</v>
      </c>
      <c r="E532">
        <v>243.5</v>
      </c>
      <c r="F532" t="s">
        <v>198</v>
      </c>
      <c r="G532" s="2">
        <v>-6.1000000000000004E-3</v>
      </c>
    </row>
    <row r="533" spans="1:7" x14ac:dyDescent="0.25">
      <c r="A533" s="1">
        <v>45344</v>
      </c>
      <c r="B533">
        <v>245.79</v>
      </c>
      <c r="C533">
        <v>244.5</v>
      </c>
      <c r="D533">
        <v>246.21</v>
      </c>
      <c r="E533">
        <v>242.45</v>
      </c>
      <c r="F533" t="s">
        <v>212</v>
      </c>
      <c r="G533" s="2">
        <v>7.9000000000000008E-3</v>
      </c>
    </row>
    <row r="534" spans="1:7" x14ac:dyDescent="0.25">
      <c r="A534" s="1">
        <v>45345</v>
      </c>
      <c r="B534">
        <v>245.69</v>
      </c>
      <c r="C534">
        <v>246.89</v>
      </c>
      <c r="D534">
        <v>246.89</v>
      </c>
      <c r="E534">
        <v>245.16</v>
      </c>
      <c r="F534" t="s">
        <v>333</v>
      </c>
      <c r="G534" s="2">
        <v>-4.0000000000000002E-4</v>
      </c>
    </row>
    <row r="535" spans="1:7" x14ac:dyDescent="0.25">
      <c r="A535" s="1">
        <v>45348</v>
      </c>
      <c r="B535">
        <v>244.87</v>
      </c>
      <c r="C535">
        <v>245.5</v>
      </c>
      <c r="D535">
        <v>246.5</v>
      </c>
      <c r="E535">
        <v>244.02</v>
      </c>
      <c r="F535" t="s">
        <v>334</v>
      </c>
      <c r="G535" s="2">
        <v>-3.3E-3</v>
      </c>
    </row>
    <row r="536" spans="1:7" x14ac:dyDescent="0.25">
      <c r="A536" s="1">
        <v>45349</v>
      </c>
      <c r="B536">
        <v>245.5</v>
      </c>
      <c r="C536">
        <v>245</v>
      </c>
      <c r="D536">
        <v>245.71</v>
      </c>
      <c r="E536">
        <v>244</v>
      </c>
      <c r="F536" t="s">
        <v>333</v>
      </c>
      <c r="G536" s="2">
        <v>2.5999999999999999E-3</v>
      </c>
    </row>
    <row r="537" spans="1:7" x14ac:dyDescent="0.25">
      <c r="A537" s="1">
        <v>45350</v>
      </c>
      <c r="B537">
        <v>243.07</v>
      </c>
      <c r="C537">
        <v>242.3</v>
      </c>
      <c r="D537">
        <v>246.88</v>
      </c>
      <c r="E537">
        <v>242.3</v>
      </c>
      <c r="F537" t="s">
        <v>270</v>
      </c>
      <c r="G537" s="2">
        <v>-9.9000000000000008E-3</v>
      </c>
    </row>
    <row r="538" spans="1:7" x14ac:dyDescent="0.25">
      <c r="A538" s="1">
        <v>45351</v>
      </c>
      <c r="B538">
        <v>243.25</v>
      </c>
      <c r="C538">
        <v>244.99</v>
      </c>
      <c r="D538">
        <v>244.99</v>
      </c>
      <c r="E538">
        <v>241.01</v>
      </c>
      <c r="F538" t="s">
        <v>332</v>
      </c>
      <c r="G538" s="2">
        <v>6.9999999999999999E-4</v>
      </c>
    </row>
    <row r="539" spans="1:7" x14ac:dyDescent="0.25">
      <c r="A539" s="1">
        <v>45352</v>
      </c>
      <c r="B539">
        <v>246.85</v>
      </c>
      <c r="C539">
        <v>244.58</v>
      </c>
      <c r="D539">
        <v>246.99</v>
      </c>
      <c r="E539">
        <v>243.05</v>
      </c>
      <c r="F539" t="s">
        <v>274</v>
      </c>
      <c r="G539" s="2">
        <v>1.4800000000000001E-2</v>
      </c>
    </row>
    <row r="540" spans="1:7" x14ac:dyDescent="0.25">
      <c r="A540" s="1">
        <v>45353</v>
      </c>
      <c r="B540">
        <v>247.31</v>
      </c>
      <c r="C540">
        <v>247.35</v>
      </c>
      <c r="D540">
        <v>247.87</v>
      </c>
      <c r="E540">
        <v>247.18</v>
      </c>
      <c r="F540" t="s">
        <v>331</v>
      </c>
      <c r="G540" s="2">
        <v>1.9E-3</v>
      </c>
    </row>
    <row r="541" spans="1:7" x14ac:dyDescent="0.25">
      <c r="A541" s="1">
        <v>45355</v>
      </c>
      <c r="B541">
        <v>247.83</v>
      </c>
      <c r="C541">
        <v>248.99</v>
      </c>
      <c r="D541">
        <v>249.98</v>
      </c>
      <c r="E541">
        <v>247.08</v>
      </c>
      <c r="F541" t="s">
        <v>330</v>
      </c>
      <c r="G541" s="2">
        <v>2.0999999999999999E-3</v>
      </c>
    </row>
    <row r="542" spans="1:7" x14ac:dyDescent="0.25">
      <c r="A542" s="1">
        <v>45356</v>
      </c>
      <c r="B542">
        <v>247.34</v>
      </c>
      <c r="C542">
        <v>248.87</v>
      </c>
      <c r="D542">
        <v>248.87</v>
      </c>
      <c r="E542">
        <v>246.71</v>
      </c>
      <c r="F542" t="s">
        <v>209</v>
      </c>
      <c r="G542" s="2">
        <v>-2E-3</v>
      </c>
    </row>
    <row r="543" spans="1:7" x14ac:dyDescent="0.25">
      <c r="A543" s="1">
        <v>45357</v>
      </c>
      <c r="B543">
        <v>248.62</v>
      </c>
      <c r="C543">
        <v>248.99</v>
      </c>
      <c r="D543">
        <v>248.99</v>
      </c>
      <c r="E543">
        <v>246.1</v>
      </c>
      <c r="F543" t="s">
        <v>329</v>
      </c>
      <c r="G543" s="2">
        <v>5.1999999999999998E-3</v>
      </c>
    </row>
    <row r="544" spans="1:7" x14ac:dyDescent="0.25">
      <c r="A544" s="1">
        <v>45358</v>
      </c>
      <c r="B544">
        <v>248.67</v>
      </c>
      <c r="C544">
        <v>248.7</v>
      </c>
      <c r="D544">
        <v>249</v>
      </c>
      <c r="E544">
        <v>248.13</v>
      </c>
      <c r="F544" t="s">
        <v>328</v>
      </c>
      <c r="G544" s="2">
        <v>2.0000000000000001E-4</v>
      </c>
    </row>
    <row r="545" spans="1:7" x14ac:dyDescent="0.25">
      <c r="A545" s="1">
        <v>45362</v>
      </c>
      <c r="B545">
        <v>247.45</v>
      </c>
      <c r="C545">
        <v>248.67</v>
      </c>
      <c r="D545">
        <v>249.8</v>
      </c>
      <c r="E545">
        <v>247.02</v>
      </c>
      <c r="F545" t="s">
        <v>62</v>
      </c>
      <c r="G545" s="2">
        <v>-4.8999999999999998E-3</v>
      </c>
    </row>
    <row r="546" spans="1:7" x14ac:dyDescent="0.25">
      <c r="A546" s="1">
        <v>45363</v>
      </c>
      <c r="B546">
        <v>247.42</v>
      </c>
      <c r="C546">
        <v>248.99</v>
      </c>
      <c r="D546">
        <v>248.99</v>
      </c>
      <c r="E546">
        <v>246.01</v>
      </c>
      <c r="F546" t="s">
        <v>211</v>
      </c>
      <c r="G546" s="2">
        <v>-1E-4</v>
      </c>
    </row>
    <row r="547" spans="1:7" x14ac:dyDescent="0.25">
      <c r="A547" s="1">
        <v>45364</v>
      </c>
      <c r="B547">
        <v>243.71</v>
      </c>
      <c r="C547">
        <v>248.89</v>
      </c>
      <c r="D547">
        <v>248.89</v>
      </c>
      <c r="E547">
        <v>242.75</v>
      </c>
      <c r="F547" t="s">
        <v>327</v>
      </c>
      <c r="G547" s="2">
        <v>-1.4999999999999999E-2</v>
      </c>
    </row>
    <row r="548" spans="1:7" x14ac:dyDescent="0.25">
      <c r="A548" s="1">
        <v>45365</v>
      </c>
      <c r="B548">
        <v>245.39</v>
      </c>
      <c r="C548">
        <v>244.38</v>
      </c>
      <c r="D548">
        <v>245.9</v>
      </c>
      <c r="E548">
        <v>242.28</v>
      </c>
      <c r="F548" t="s">
        <v>326</v>
      </c>
      <c r="G548" s="2">
        <v>6.8999999999999999E-3</v>
      </c>
    </row>
    <row r="549" spans="1:7" x14ac:dyDescent="0.25">
      <c r="A549" s="1">
        <v>45366</v>
      </c>
      <c r="B549">
        <v>243.8</v>
      </c>
      <c r="C549">
        <v>244.9</v>
      </c>
      <c r="D549">
        <v>245.38</v>
      </c>
      <c r="E549">
        <v>242.66</v>
      </c>
      <c r="F549" t="s">
        <v>325</v>
      </c>
      <c r="G549" s="2">
        <v>-6.4999999999999997E-3</v>
      </c>
    </row>
    <row r="550" spans="1:7" x14ac:dyDescent="0.25">
      <c r="A550" s="1">
        <v>45369</v>
      </c>
      <c r="B550">
        <v>243.98</v>
      </c>
      <c r="C550">
        <v>251.1</v>
      </c>
      <c r="D550">
        <v>251.1</v>
      </c>
      <c r="E550">
        <v>242.58</v>
      </c>
      <c r="F550" t="s">
        <v>324</v>
      </c>
      <c r="G550" s="2">
        <v>6.9999999999999999E-4</v>
      </c>
    </row>
    <row r="551" spans="1:7" x14ac:dyDescent="0.25">
      <c r="A551" s="1">
        <v>45370</v>
      </c>
      <c r="B551">
        <v>241.6</v>
      </c>
      <c r="C551">
        <v>243.97</v>
      </c>
      <c r="D551">
        <v>243.98</v>
      </c>
      <c r="E551">
        <v>241.37</v>
      </c>
      <c r="F551" t="s">
        <v>174</v>
      </c>
      <c r="G551" s="2">
        <v>-9.7999999999999997E-3</v>
      </c>
    </row>
    <row r="552" spans="1:7" x14ac:dyDescent="0.25">
      <c r="A552" s="1">
        <v>45371</v>
      </c>
      <c r="B552">
        <v>241.58</v>
      </c>
      <c r="C552">
        <v>242.99</v>
      </c>
      <c r="D552">
        <v>242.99</v>
      </c>
      <c r="E552">
        <v>240.54</v>
      </c>
      <c r="F552" t="s">
        <v>255</v>
      </c>
      <c r="G552" s="2">
        <v>-1E-4</v>
      </c>
    </row>
    <row r="553" spans="1:7" x14ac:dyDescent="0.25">
      <c r="A553" s="1">
        <v>45372</v>
      </c>
      <c r="B553">
        <v>243.99</v>
      </c>
      <c r="C553">
        <v>243.8</v>
      </c>
      <c r="D553">
        <v>248.85</v>
      </c>
      <c r="E553">
        <v>242.18</v>
      </c>
      <c r="F553" t="s">
        <v>305</v>
      </c>
      <c r="G553" s="2">
        <v>0.01</v>
      </c>
    </row>
    <row r="554" spans="1:7" x14ac:dyDescent="0.25">
      <c r="A554" s="1">
        <v>45373</v>
      </c>
      <c r="B554">
        <v>244.74</v>
      </c>
      <c r="C554">
        <v>244.78</v>
      </c>
      <c r="D554">
        <v>245.4</v>
      </c>
      <c r="E554">
        <v>242.5</v>
      </c>
      <c r="F554" t="s">
        <v>111</v>
      </c>
      <c r="G554" s="2">
        <v>3.0999999999999999E-3</v>
      </c>
    </row>
    <row r="555" spans="1:7" x14ac:dyDescent="0.25">
      <c r="A555" s="1">
        <v>45377</v>
      </c>
      <c r="B555">
        <v>243.79</v>
      </c>
      <c r="C555">
        <v>243.25</v>
      </c>
      <c r="D555">
        <v>246.1</v>
      </c>
      <c r="E555">
        <v>241.75</v>
      </c>
      <c r="F555" t="s">
        <v>67</v>
      </c>
      <c r="G555" s="2">
        <v>-3.8999999999999998E-3</v>
      </c>
    </row>
    <row r="556" spans="1:7" x14ac:dyDescent="0.25">
      <c r="A556" s="1">
        <v>45378</v>
      </c>
      <c r="B556">
        <v>244.96</v>
      </c>
      <c r="C556">
        <v>247</v>
      </c>
      <c r="D556">
        <v>247</v>
      </c>
      <c r="E556">
        <v>240.75</v>
      </c>
      <c r="F556" t="s">
        <v>207</v>
      </c>
      <c r="G556" s="2">
        <v>4.7999999999999996E-3</v>
      </c>
    </row>
    <row r="557" spans="1:7" x14ac:dyDescent="0.25">
      <c r="A557" s="1">
        <v>45379</v>
      </c>
      <c r="B557">
        <v>246.96</v>
      </c>
      <c r="C557">
        <v>246.1</v>
      </c>
      <c r="D557">
        <v>248.69</v>
      </c>
      <c r="E557">
        <v>243.88</v>
      </c>
      <c r="F557" t="s">
        <v>323</v>
      </c>
      <c r="G557" s="2">
        <v>8.2000000000000007E-3</v>
      </c>
    </row>
    <row r="558" spans="1:7" x14ac:dyDescent="0.25">
      <c r="A558" s="1">
        <v>45383</v>
      </c>
      <c r="B558">
        <v>248.19</v>
      </c>
      <c r="C558">
        <v>254.35</v>
      </c>
      <c r="D558">
        <v>254.35</v>
      </c>
      <c r="E558">
        <v>246.48</v>
      </c>
      <c r="F558" t="s">
        <v>322</v>
      </c>
      <c r="G558" s="2">
        <v>5.0000000000000001E-3</v>
      </c>
    </row>
    <row r="559" spans="1:7" x14ac:dyDescent="0.25">
      <c r="A559" s="1">
        <v>45384</v>
      </c>
      <c r="B559">
        <v>248.65</v>
      </c>
      <c r="C559">
        <v>248.97</v>
      </c>
      <c r="D559">
        <v>249.48</v>
      </c>
      <c r="E559">
        <v>246.65</v>
      </c>
      <c r="F559" t="s">
        <v>321</v>
      </c>
      <c r="G559" s="2">
        <v>1.9E-3</v>
      </c>
    </row>
    <row r="560" spans="1:7" x14ac:dyDescent="0.25">
      <c r="A560" s="1">
        <v>45385</v>
      </c>
      <c r="B560">
        <v>248.59</v>
      </c>
      <c r="C560">
        <v>248.99</v>
      </c>
      <c r="D560">
        <v>249.48</v>
      </c>
      <c r="E560">
        <v>246.18</v>
      </c>
      <c r="F560" t="s">
        <v>101</v>
      </c>
      <c r="G560" s="2">
        <v>-2.0000000000000001E-4</v>
      </c>
    </row>
    <row r="561" spans="1:7" x14ac:dyDescent="0.25">
      <c r="A561" s="1">
        <v>45386</v>
      </c>
      <c r="B561">
        <v>249.23</v>
      </c>
      <c r="C561">
        <v>249.59</v>
      </c>
      <c r="D561">
        <v>250.6</v>
      </c>
      <c r="E561">
        <v>247.23</v>
      </c>
      <c r="F561" t="s">
        <v>221</v>
      </c>
      <c r="G561" s="2">
        <v>2.5999999999999999E-3</v>
      </c>
    </row>
    <row r="562" spans="1:7" x14ac:dyDescent="0.25">
      <c r="A562" s="1">
        <v>45387</v>
      </c>
      <c r="B562">
        <v>249.05</v>
      </c>
      <c r="C562">
        <v>248.11</v>
      </c>
      <c r="D562">
        <v>250.17</v>
      </c>
      <c r="E562">
        <v>248.1</v>
      </c>
      <c r="F562" t="s">
        <v>320</v>
      </c>
      <c r="G562" s="2">
        <v>-6.9999999999999999E-4</v>
      </c>
    </row>
    <row r="563" spans="1:7" x14ac:dyDescent="0.25">
      <c r="A563" s="1">
        <v>45390</v>
      </c>
      <c r="B563">
        <v>250.75</v>
      </c>
      <c r="C563">
        <v>250.47</v>
      </c>
      <c r="D563">
        <v>250.95</v>
      </c>
      <c r="E563">
        <v>248.18</v>
      </c>
      <c r="F563" t="s">
        <v>7</v>
      </c>
      <c r="G563" s="2">
        <v>6.7999999999999996E-3</v>
      </c>
    </row>
    <row r="564" spans="1:7" x14ac:dyDescent="0.25">
      <c r="A564" s="1">
        <v>45391</v>
      </c>
      <c r="B564">
        <v>250.74</v>
      </c>
      <c r="C564">
        <v>251.8</v>
      </c>
      <c r="D564">
        <v>252.58</v>
      </c>
      <c r="E564">
        <v>250.38</v>
      </c>
      <c r="F564" t="s">
        <v>319</v>
      </c>
      <c r="G564" s="2">
        <v>0</v>
      </c>
    </row>
    <row r="565" spans="1:7" x14ac:dyDescent="0.25">
      <c r="A565" s="1">
        <v>45392</v>
      </c>
      <c r="B565">
        <v>251.57</v>
      </c>
      <c r="C565">
        <v>254.69</v>
      </c>
      <c r="D565">
        <v>254.69</v>
      </c>
      <c r="E565">
        <v>246.2</v>
      </c>
      <c r="F565" t="s">
        <v>318</v>
      </c>
      <c r="G565" s="2">
        <v>3.3E-3</v>
      </c>
    </row>
    <row r="566" spans="1:7" x14ac:dyDescent="0.25">
      <c r="A566" s="1">
        <v>45394</v>
      </c>
      <c r="B566">
        <v>249.56</v>
      </c>
      <c r="C566">
        <v>251.99</v>
      </c>
      <c r="D566">
        <v>253.1</v>
      </c>
      <c r="E566">
        <v>249.21</v>
      </c>
      <c r="F566" t="s">
        <v>317</v>
      </c>
      <c r="G566" s="2">
        <v>-8.0000000000000002E-3</v>
      </c>
    </row>
    <row r="567" spans="1:7" x14ac:dyDescent="0.25">
      <c r="A567" s="1">
        <v>45397</v>
      </c>
      <c r="B567">
        <v>246.87</v>
      </c>
      <c r="C567">
        <v>249.48</v>
      </c>
      <c r="D567">
        <v>249.99</v>
      </c>
      <c r="E567">
        <v>245.99</v>
      </c>
      <c r="F567" t="s">
        <v>316</v>
      </c>
      <c r="G567" s="2">
        <v>-1.0800000000000001E-2</v>
      </c>
    </row>
    <row r="568" spans="1:7" x14ac:dyDescent="0.25">
      <c r="A568" s="1">
        <v>45398</v>
      </c>
      <c r="B568">
        <v>245.52</v>
      </c>
      <c r="C568">
        <v>246.99</v>
      </c>
      <c r="D568">
        <v>246.99</v>
      </c>
      <c r="E568">
        <v>244.65</v>
      </c>
      <c r="F568" t="s">
        <v>281</v>
      </c>
      <c r="G568" s="2">
        <v>-5.4999999999999997E-3</v>
      </c>
    </row>
    <row r="569" spans="1:7" x14ac:dyDescent="0.25">
      <c r="A569" s="1">
        <v>45400</v>
      </c>
      <c r="B569">
        <v>243.94</v>
      </c>
      <c r="C569">
        <v>252.9</v>
      </c>
      <c r="D569">
        <v>252.9</v>
      </c>
      <c r="E569">
        <v>243.35</v>
      </c>
      <c r="F569" t="s">
        <v>315</v>
      </c>
      <c r="G569" s="2">
        <v>-6.4000000000000003E-3</v>
      </c>
    </row>
    <row r="570" spans="1:7" x14ac:dyDescent="0.25">
      <c r="A570" s="1">
        <v>45401</v>
      </c>
      <c r="B570">
        <v>245.53</v>
      </c>
      <c r="C570">
        <v>243.48</v>
      </c>
      <c r="D570">
        <v>245.7</v>
      </c>
      <c r="E570">
        <v>241.31</v>
      </c>
      <c r="F570" t="s">
        <v>314</v>
      </c>
      <c r="G570" s="2">
        <v>6.4999999999999997E-3</v>
      </c>
    </row>
    <row r="571" spans="1:7" x14ac:dyDescent="0.25">
      <c r="A571" s="1">
        <v>45404</v>
      </c>
      <c r="B571">
        <v>247.31</v>
      </c>
      <c r="C571">
        <v>246.09</v>
      </c>
      <c r="D571">
        <v>247.9</v>
      </c>
      <c r="E571">
        <v>245.68</v>
      </c>
      <c r="F571" t="s">
        <v>313</v>
      </c>
      <c r="G571" s="2">
        <v>7.1999999999999998E-3</v>
      </c>
    </row>
    <row r="572" spans="1:7" x14ac:dyDescent="0.25">
      <c r="A572" s="1">
        <v>45405</v>
      </c>
      <c r="B572">
        <v>247.82</v>
      </c>
      <c r="C572">
        <v>249.99</v>
      </c>
      <c r="D572">
        <v>249.99</v>
      </c>
      <c r="E572">
        <v>246.5</v>
      </c>
      <c r="F572" t="s">
        <v>312</v>
      </c>
      <c r="G572" s="2">
        <v>2.0999999999999999E-3</v>
      </c>
    </row>
    <row r="573" spans="1:7" x14ac:dyDescent="0.25">
      <c r="A573" s="1">
        <v>45406</v>
      </c>
      <c r="B573">
        <v>247.94</v>
      </c>
      <c r="C573">
        <v>249.75</v>
      </c>
      <c r="D573">
        <v>249.75</v>
      </c>
      <c r="E573">
        <v>247.52</v>
      </c>
      <c r="F573" t="s">
        <v>311</v>
      </c>
      <c r="G573" s="2">
        <v>5.0000000000000001E-4</v>
      </c>
    </row>
    <row r="574" spans="1:7" x14ac:dyDescent="0.25">
      <c r="A574" s="1">
        <v>45407</v>
      </c>
      <c r="B574">
        <v>249.27</v>
      </c>
      <c r="C574">
        <v>248.99</v>
      </c>
      <c r="D574">
        <v>249.95</v>
      </c>
      <c r="E574">
        <v>246.28</v>
      </c>
      <c r="F574" t="s">
        <v>66</v>
      </c>
      <c r="G574" s="2">
        <v>5.4000000000000003E-3</v>
      </c>
    </row>
    <row r="575" spans="1:7" x14ac:dyDescent="0.25">
      <c r="A575" s="1">
        <v>45408</v>
      </c>
      <c r="B575">
        <v>248.44</v>
      </c>
      <c r="C575">
        <v>248.58</v>
      </c>
      <c r="D575">
        <v>250.88</v>
      </c>
      <c r="E575">
        <v>248.05</v>
      </c>
      <c r="F575" t="s">
        <v>212</v>
      </c>
      <c r="G575" s="2">
        <v>-3.3E-3</v>
      </c>
    </row>
    <row r="576" spans="1:7" x14ac:dyDescent="0.25">
      <c r="A576" s="1">
        <v>45411</v>
      </c>
      <c r="B576">
        <v>250.59</v>
      </c>
      <c r="C576">
        <v>246.3</v>
      </c>
      <c r="D576">
        <v>251.4</v>
      </c>
      <c r="E576">
        <v>246.3</v>
      </c>
      <c r="F576" t="s">
        <v>310</v>
      </c>
      <c r="G576" s="2">
        <v>8.6999999999999994E-3</v>
      </c>
    </row>
    <row r="577" spans="1:7" x14ac:dyDescent="0.25">
      <c r="A577" s="1">
        <v>45412</v>
      </c>
      <c r="B577">
        <v>250.06</v>
      </c>
      <c r="C577">
        <v>252.99</v>
      </c>
      <c r="D577">
        <v>252.99</v>
      </c>
      <c r="E577">
        <v>247.01</v>
      </c>
      <c r="F577" t="s">
        <v>11</v>
      </c>
      <c r="G577" s="2">
        <v>-2.0999999999999999E-3</v>
      </c>
    </row>
    <row r="578" spans="1:7" x14ac:dyDescent="0.25">
      <c r="A578" s="1">
        <v>45414</v>
      </c>
      <c r="B578">
        <v>250.84</v>
      </c>
      <c r="C578">
        <v>250.99</v>
      </c>
      <c r="D578">
        <v>251.3</v>
      </c>
      <c r="E578">
        <v>249.05</v>
      </c>
      <c r="F578" t="s">
        <v>309</v>
      </c>
      <c r="G578" s="2">
        <v>3.0999999999999999E-3</v>
      </c>
    </row>
    <row r="579" spans="1:7" x14ac:dyDescent="0.25">
      <c r="A579" s="1">
        <v>45415</v>
      </c>
      <c r="B579">
        <v>248.75</v>
      </c>
      <c r="C579">
        <v>252.57</v>
      </c>
      <c r="D579">
        <v>252.58</v>
      </c>
      <c r="E579">
        <v>247.66</v>
      </c>
      <c r="F579" t="s">
        <v>308</v>
      </c>
      <c r="G579" s="2">
        <v>-8.3000000000000001E-3</v>
      </c>
    </row>
    <row r="580" spans="1:7" x14ac:dyDescent="0.25">
      <c r="A580" s="1">
        <v>45418</v>
      </c>
      <c r="B580">
        <v>248.37</v>
      </c>
      <c r="C580">
        <v>250.99</v>
      </c>
      <c r="D580">
        <v>250.99</v>
      </c>
      <c r="E580">
        <v>248</v>
      </c>
      <c r="F580" t="s">
        <v>287</v>
      </c>
      <c r="G580" s="2">
        <v>-1.5E-3</v>
      </c>
    </row>
    <row r="581" spans="1:7" x14ac:dyDescent="0.25">
      <c r="A581" s="1">
        <v>45419</v>
      </c>
      <c r="B581">
        <v>247.11</v>
      </c>
      <c r="C581">
        <v>253.89</v>
      </c>
      <c r="D581">
        <v>253.89</v>
      </c>
      <c r="E581">
        <v>245.25</v>
      </c>
      <c r="F581" t="s">
        <v>307</v>
      </c>
      <c r="G581" s="2">
        <v>-5.1000000000000004E-3</v>
      </c>
    </row>
    <row r="582" spans="1:7" x14ac:dyDescent="0.25">
      <c r="A582" s="1">
        <v>45420</v>
      </c>
      <c r="B582">
        <v>247.24</v>
      </c>
      <c r="C582">
        <v>249.89</v>
      </c>
      <c r="D582">
        <v>249.89</v>
      </c>
      <c r="E582">
        <v>245.12</v>
      </c>
      <c r="F582" t="s">
        <v>77</v>
      </c>
      <c r="G582" s="2">
        <v>5.0000000000000001E-4</v>
      </c>
    </row>
    <row r="583" spans="1:7" x14ac:dyDescent="0.25">
      <c r="A583" s="1">
        <v>45421</v>
      </c>
      <c r="B583">
        <v>243.49</v>
      </c>
      <c r="C583">
        <v>247.87</v>
      </c>
      <c r="D583">
        <v>247.87</v>
      </c>
      <c r="E583">
        <v>243.2</v>
      </c>
      <c r="F583" t="s">
        <v>306</v>
      </c>
      <c r="G583" s="2">
        <v>-1.52E-2</v>
      </c>
    </row>
    <row r="584" spans="1:7" x14ac:dyDescent="0.25">
      <c r="A584" s="1">
        <v>45422</v>
      </c>
      <c r="B584">
        <v>244.97</v>
      </c>
      <c r="C584">
        <v>244.01</v>
      </c>
      <c r="D584">
        <v>245.67</v>
      </c>
      <c r="E584">
        <v>243.08</v>
      </c>
      <c r="F584" t="s">
        <v>8</v>
      </c>
      <c r="G584" s="2">
        <v>6.1000000000000004E-3</v>
      </c>
    </row>
    <row r="585" spans="1:7" x14ac:dyDescent="0.25">
      <c r="A585" s="1">
        <v>45425</v>
      </c>
      <c r="B585">
        <v>245.16</v>
      </c>
      <c r="C585">
        <v>252.3</v>
      </c>
      <c r="D585">
        <v>252.3</v>
      </c>
      <c r="E585">
        <v>242.27</v>
      </c>
      <c r="F585" t="s">
        <v>16</v>
      </c>
      <c r="G585" s="2">
        <v>8.0000000000000004E-4</v>
      </c>
    </row>
    <row r="586" spans="1:7" x14ac:dyDescent="0.25">
      <c r="A586" s="1">
        <v>45426</v>
      </c>
      <c r="B586">
        <v>246.61</v>
      </c>
      <c r="C586">
        <v>249.89</v>
      </c>
      <c r="D586">
        <v>249.89</v>
      </c>
      <c r="E586">
        <v>243.7</v>
      </c>
      <c r="F586" t="s">
        <v>305</v>
      </c>
      <c r="G586" s="2">
        <v>5.8999999999999999E-3</v>
      </c>
    </row>
    <row r="587" spans="1:7" x14ac:dyDescent="0.25">
      <c r="A587" s="1">
        <v>45427</v>
      </c>
      <c r="B587">
        <v>246.42</v>
      </c>
      <c r="C587">
        <v>249.59</v>
      </c>
      <c r="D587">
        <v>249.59</v>
      </c>
      <c r="E587">
        <v>245</v>
      </c>
      <c r="F587" t="s">
        <v>304</v>
      </c>
      <c r="G587" s="2">
        <v>-8.0000000000000004E-4</v>
      </c>
    </row>
    <row r="588" spans="1:7" x14ac:dyDescent="0.25">
      <c r="A588" s="1">
        <v>45428</v>
      </c>
      <c r="B588">
        <v>248.18</v>
      </c>
      <c r="C588">
        <v>247.99</v>
      </c>
      <c r="D588">
        <v>248.5</v>
      </c>
      <c r="E588">
        <v>244.91</v>
      </c>
      <c r="F588" t="s">
        <v>263</v>
      </c>
      <c r="G588" s="2">
        <v>7.1000000000000004E-3</v>
      </c>
    </row>
    <row r="589" spans="1:7" x14ac:dyDescent="0.25">
      <c r="A589" s="1">
        <v>45429</v>
      </c>
      <c r="B589">
        <v>248.73</v>
      </c>
      <c r="C589">
        <v>249.99</v>
      </c>
      <c r="D589">
        <v>249.99</v>
      </c>
      <c r="E589">
        <v>247.01</v>
      </c>
      <c r="F589" t="s">
        <v>248</v>
      </c>
      <c r="G589" s="2">
        <v>2.2000000000000001E-3</v>
      </c>
    </row>
    <row r="590" spans="1:7" x14ac:dyDescent="0.25">
      <c r="A590" s="1">
        <v>45433</v>
      </c>
      <c r="B590">
        <v>249.74</v>
      </c>
      <c r="C590">
        <v>247.48</v>
      </c>
      <c r="D590">
        <v>250.25</v>
      </c>
      <c r="E590">
        <v>247.48</v>
      </c>
      <c r="F590" t="s">
        <v>271</v>
      </c>
      <c r="G590" s="2">
        <v>4.1000000000000003E-3</v>
      </c>
    </row>
    <row r="591" spans="1:7" x14ac:dyDescent="0.25">
      <c r="A591" s="1">
        <v>45434</v>
      </c>
      <c r="B591">
        <v>250.36</v>
      </c>
      <c r="C591">
        <v>250.99</v>
      </c>
      <c r="D591">
        <v>250.99</v>
      </c>
      <c r="E591">
        <v>249.29</v>
      </c>
      <c r="F591" t="s">
        <v>262</v>
      </c>
      <c r="G591" s="2">
        <v>2.5000000000000001E-3</v>
      </c>
    </row>
    <row r="592" spans="1:7" x14ac:dyDescent="0.25">
      <c r="A592" s="1">
        <v>45435</v>
      </c>
      <c r="B592">
        <v>254.29</v>
      </c>
      <c r="C592">
        <v>251.99</v>
      </c>
      <c r="D592">
        <v>254.74</v>
      </c>
      <c r="E592">
        <v>249.55</v>
      </c>
      <c r="F592" t="s">
        <v>303</v>
      </c>
      <c r="G592" s="2">
        <v>1.5699999999999999E-2</v>
      </c>
    </row>
    <row r="593" spans="1:7" x14ac:dyDescent="0.25">
      <c r="A593" s="1">
        <v>45436</v>
      </c>
      <c r="B593">
        <v>254.98</v>
      </c>
      <c r="C593">
        <v>254.67</v>
      </c>
      <c r="D593">
        <v>255.71</v>
      </c>
      <c r="E593">
        <v>253.08</v>
      </c>
      <c r="F593" t="s">
        <v>302</v>
      </c>
      <c r="G593" s="2">
        <v>2.7000000000000001E-3</v>
      </c>
    </row>
    <row r="594" spans="1:7" x14ac:dyDescent="0.25">
      <c r="A594" s="1">
        <v>45439</v>
      </c>
      <c r="B594">
        <v>254.72</v>
      </c>
      <c r="C594">
        <v>254.18</v>
      </c>
      <c r="D594">
        <v>256.76</v>
      </c>
      <c r="E594">
        <v>254.01</v>
      </c>
      <c r="F594" t="s">
        <v>301</v>
      </c>
      <c r="G594" s="2">
        <v>-1E-3</v>
      </c>
    </row>
    <row r="595" spans="1:7" x14ac:dyDescent="0.25">
      <c r="A595" s="1">
        <v>45440</v>
      </c>
      <c r="B595">
        <v>254.2</v>
      </c>
      <c r="C595">
        <v>255.57</v>
      </c>
      <c r="D595">
        <v>255.58</v>
      </c>
      <c r="E595">
        <v>254</v>
      </c>
      <c r="F595" t="s">
        <v>53</v>
      </c>
      <c r="G595" s="2">
        <v>-2E-3</v>
      </c>
    </row>
    <row r="596" spans="1:7" x14ac:dyDescent="0.25">
      <c r="A596" s="1">
        <v>45441</v>
      </c>
      <c r="B596">
        <v>252.37</v>
      </c>
      <c r="C596">
        <v>253.88</v>
      </c>
      <c r="D596">
        <v>253.98</v>
      </c>
      <c r="E596">
        <v>252.1</v>
      </c>
      <c r="F596" t="s">
        <v>300</v>
      </c>
      <c r="G596" s="2">
        <v>-7.1999999999999998E-3</v>
      </c>
    </row>
    <row r="597" spans="1:7" x14ac:dyDescent="0.25">
      <c r="A597" s="1">
        <v>45442</v>
      </c>
      <c r="B597">
        <v>250.35</v>
      </c>
      <c r="C597">
        <v>253.85</v>
      </c>
      <c r="D597">
        <v>253.85</v>
      </c>
      <c r="E597">
        <v>249.51</v>
      </c>
      <c r="F597" t="s">
        <v>299</v>
      </c>
      <c r="G597" s="2">
        <v>-8.0000000000000002E-3</v>
      </c>
    </row>
    <row r="598" spans="1:7" x14ac:dyDescent="0.25">
      <c r="A598" s="1">
        <v>45443</v>
      </c>
      <c r="B598">
        <v>251.15</v>
      </c>
      <c r="C598">
        <v>251.67</v>
      </c>
      <c r="D598">
        <v>252.12</v>
      </c>
      <c r="E598">
        <v>250</v>
      </c>
      <c r="F598" t="s">
        <v>298</v>
      </c>
      <c r="G598" s="2">
        <v>3.2000000000000002E-3</v>
      </c>
    </row>
    <row r="599" spans="1:7" x14ac:dyDescent="0.25">
      <c r="A599" s="1">
        <v>45446</v>
      </c>
      <c r="B599">
        <v>258.14</v>
      </c>
      <c r="C599">
        <v>258.7</v>
      </c>
      <c r="D599">
        <v>265</v>
      </c>
      <c r="E599">
        <v>252.3</v>
      </c>
      <c r="F599" t="s">
        <v>297</v>
      </c>
      <c r="G599" s="2">
        <v>2.7799999999999998E-2</v>
      </c>
    </row>
    <row r="600" spans="1:7" x14ac:dyDescent="0.25">
      <c r="A600" s="1">
        <v>45447</v>
      </c>
      <c r="B600">
        <v>250.48</v>
      </c>
      <c r="C600">
        <v>259.87</v>
      </c>
      <c r="D600">
        <v>260.27999999999997</v>
      </c>
      <c r="E600">
        <v>246.5</v>
      </c>
      <c r="F600" t="s">
        <v>296</v>
      </c>
      <c r="G600" s="2">
        <v>-2.9700000000000001E-2</v>
      </c>
    </row>
    <row r="601" spans="1:7" x14ac:dyDescent="0.25">
      <c r="A601" s="1">
        <v>45448</v>
      </c>
      <c r="B601">
        <v>251.3</v>
      </c>
      <c r="C601">
        <v>253.99</v>
      </c>
      <c r="D601">
        <v>254.35</v>
      </c>
      <c r="E601">
        <v>242.13</v>
      </c>
      <c r="F601" t="s">
        <v>155</v>
      </c>
      <c r="G601" s="2">
        <v>3.3E-3</v>
      </c>
    </row>
    <row r="602" spans="1:7" x14ac:dyDescent="0.25">
      <c r="A602" s="1">
        <v>45449</v>
      </c>
      <c r="B602">
        <v>252.98</v>
      </c>
      <c r="C602">
        <v>252.99</v>
      </c>
      <c r="D602">
        <v>254.1</v>
      </c>
      <c r="E602">
        <v>250.01</v>
      </c>
      <c r="F602" t="s">
        <v>295</v>
      </c>
      <c r="G602" s="2">
        <v>6.7000000000000002E-3</v>
      </c>
    </row>
    <row r="603" spans="1:7" x14ac:dyDescent="0.25">
      <c r="A603" s="1">
        <v>45450</v>
      </c>
      <c r="B603">
        <v>258.42</v>
      </c>
      <c r="C603">
        <v>253.88</v>
      </c>
      <c r="D603">
        <v>258.81</v>
      </c>
      <c r="E603">
        <v>252.19</v>
      </c>
      <c r="F603" t="s">
        <v>294</v>
      </c>
      <c r="G603" s="2">
        <v>2.1499999999999998E-2</v>
      </c>
    </row>
    <row r="604" spans="1:7" x14ac:dyDescent="0.25">
      <c r="A604" s="1">
        <v>45453</v>
      </c>
      <c r="B604">
        <v>257.94</v>
      </c>
      <c r="C604">
        <v>259.45</v>
      </c>
      <c r="D604">
        <v>259.62</v>
      </c>
      <c r="E604">
        <v>257.39999999999998</v>
      </c>
      <c r="F604" t="s">
        <v>293</v>
      </c>
      <c r="G604" s="2">
        <v>-1.9E-3</v>
      </c>
    </row>
    <row r="605" spans="1:7" x14ac:dyDescent="0.25">
      <c r="A605" s="1">
        <v>45454</v>
      </c>
      <c r="B605">
        <v>258.8</v>
      </c>
      <c r="C605">
        <v>258.35000000000002</v>
      </c>
      <c r="D605">
        <v>259.62</v>
      </c>
      <c r="E605">
        <v>257.02</v>
      </c>
      <c r="F605" t="s">
        <v>292</v>
      </c>
      <c r="G605" s="2">
        <v>3.3E-3</v>
      </c>
    </row>
    <row r="606" spans="1:7" x14ac:dyDescent="0.25">
      <c r="A606" s="1">
        <v>45455</v>
      </c>
      <c r="B606">
        <v>259.39</v>
      </c>
      <c r="C606">
        <v>261.99</v>
      </c>
      <c r="D606">
        <v>261.99</v>
      </c>
      <c r="E606">
        <v>257.85000000000002</v>
      </c>
      <c r="F606" t="s">
        <v>291</v>
      </c>
      <c r="G606" s="2">
        <v>2.3E-3</v>
      </c>
    </row>
    <row r="607" spans="1:7" x14ac:dyDescent="0.25">
      <c r="A607" s="1">
        <v>45456</v>
      </c>
      <c r="B607">
        <v>260.3</v>
      </c>
      <c r="C607">
        <v>260</v>
      </c>
      <c r="D607">
        <v>260.74</v>
      </c>
      <c r="E607">
        <v>259.27999999999997</v>
      </c>
      <c r="F607" t="s">
        <v>290</v>
      </c>
      <c r="G607" s="2">
        <v>3.5000000000000001E-3</v>
      </c>
    </row>
    <row r="608" spans="1:7" x14ac:dyDescent="0.25">
      <c r="A608" s="1">
        <v>45457</v>
      </c>
      <c r="B608">
        <v>260.64999999999998</v>
      </c>
      <c r="C608">
        <v>260.64999999999998</v>
      </c>
      <c r="D608">
        <v>261</v>
      </c>
      <c r="E608">
        <v>259.45999999999998</v>
      </c>
      <c r="F608" t="s">
        <v>205</v>
      </c>
      <c r="G608" s="2">
        <v>1.2999999999999999E-3</v>
      </c>
    </row>
    <row r="609" spans="1:7" x14ac:dyDescent="0.25">
      <c r="A609" s="1">
        <v>45461</v>
      </c>
      <c r="B609">
        <v>261.56</v>
      </c>
      <c r="C609">
        <v>260.68</v>
      </c>
      <c r="D609">
        <v>262.5</v>
      </c>
      <c r="E609">
        <v>260.64999999999998</v>
      </c>
      <c r="F609" t="s">
        <v>289</v>
      </c>
      <c r="G609" s="2">
        <v>3.5000000000000001E-3</v>
      </c>
    </row>
    <row r="610" spans="1:7" x14ac:dyDescent="0.25">
      <c r="A610" s="1">
        <v>45462</v>
      </c>
      <c r="B610">
        <v>261.38</v>
      </c>
      <c r="C610">
        <v>262.5</v>
      </c>
      <c r="D610">
        <v>262.68</v>
      </c>
      <c r="E610">
        <v>260.11</v>
      </c>
      <c r="F610" t="s">
        <v>288</v>
      </c>
      <c r="G610" s="2">
        <v>-6.9999999999999999E-4</v>
      </c>
    </row>
    <row r="611" spans="1:7" x14ac:dyDescent="0.25">
      <c r="A611" s="1">
        <v>45463</v>
      </c>
      <c r="B611">
        <v>261.72000000000003</v>
      </c>
      <c r="C611">
        <v>261.95</v>
      </c>
      <c r="D611">
        <v>262.35000000000002</v>
      </c>
      <c r="E611">
        <v>260.48</v>
      </c>
      <c r="F611" t="s">
        <v>287</v>
      </c>
      <c r="G611" s="2">
        <v>1.2999999999999999E-3</v>
      </c>
    </row>
    <row r="612" spans="1:7" x14ac:dyDescent="0.25">
      <c r="A612" s="1">
        <v>45464</v>
      </c>
      <c r="B612">
        <v>260.87</v>
      </c>
      <c r="C612">
        <v>263.99</v>
      </c>
      <c r="D612">
        <v>263.99</v>
      </c>
      <c r="E612">
        <v>260.01</v>
      </c>
      <c r="F612" t="s">
        <v>286</v>
      </c>
      <c r="G612" s="2">
        <v>-3.2000000000000002E-3</v>
      </c>
    </row>
    <row r="613" spans="1:7" x14ac:dyDescent="0.25">
      <c r="A613" s="1">
        <v>45467</v>
      </c>
      <c r="B613">
        <v>261.66000000000003</v>
      </c>
      <c r="C613">
        <v>260.49</v>
      </c>
      <c r="D613">
        <v>261.94</v>
      </c>
      <c r="E613">
        <v>259.10000000000002</v>
      </c>
      <c r="F613" t="s">
        <v>186</v>
      </c>
      <c r="G613" s="2">
        <v>3.0000000000000001E-3</v>
      </c>
    </row>
    <row r="614" spans="1:7" x14ac:dyDescent="0.25">
      <c r="A614" s="1">
        <v>45468</v>
      </c>
      <c r="B614">
        <v>263.58999999999997</v>
      </c>
      <c r="C614">
        <v>262.35000000000002</v>
      </c>
      <c r="D614">
        <v>263.89999999999998</v>
      </c>
      <c r="E614">
        <v>255</v>
      </c>
      <c r="F614" t="s">
        <v>284</v>
      </c>
      <c r="G614" s="2">
        <v>7.4000000000000003E-3</v>
      </c>
    </row>
    <row r="615" spans="1:7" x14ac:dyDescent="0.25">
      <c r="A615" s="1">
        <v>45469</v>
      </c>
      <c r="B615">
        <v>265.01</v>
      </c>
      <c r="C615">
        <v>264.77999999999997</v>
      </c>
      <c r="D615">
        <v>265.25</v>
      </c>
      <c r="E615">
        <v>262.18</v>
      </c>
      <c r="F615" t="s">
        <v>285</v>
      </c>
      <c r="G615" s="2">
        <v>5.4000000000000003E-3</v>
      </c>
    </row>
    <row r="616" spans="1:7" x14ac:dyDescent="0.25">
      <c r="A616" s="1">
        <v>45470</v>
      </c>
      <c r="B616">
        <v>266.95</v>
      </c>
      <c r="C616">
        <v>264.76</v>
      </c>
      <c r="D616">
        <v>267.44</v>
      </c>
      <c r="E616">
        <v>264.39999999999998</v>
      </c>
      <c r="F616" t="s">
        <v>44</v>
      </c>
      <c r="G616" s="2">
        <v>7.3000000000000001E-3</v>
      </c>
    </row>
    <row r="617" spans="1:7" x14ac:dyDescent="0.25">
      <c r="A617" s="1">
        <v>45471</v>
      </c>
      <c r="B617">
        <v>267.48</v>
      </c>
      <c r="C617">
        <v>267.88</v>
      </c>
      <c r="D617">
        <v>268.5</v>
      </c>
      <c r="E617">
        <v>266.95</v>
      </c>
      <c r="F617" t="s">
        <v>284</v>
      </c>
      <c r="G617" s="2">
        <v>2E-3</v>
      </c>
    </row>
    <row r="618" spans="1:7" x14ac:dyDescent="0.25">
      <c r="A618" s="1">
        <v>45474</v>
      </c>
      <c r="B618">
        <v>268.3</v>
      </c>
      <c r="C618">
        <v>267.99</v>
      </c>
      <c r="D618">
        <v>269</v>
      </c>
      <c r="E618">
        <v>267</v>
      </c>
      <c r="F618" t="s">
        <v>283</v>
      </c>
      <c r="G618" s="2">
        <v>3.0999999999999999E-3</v>
      </c>
    </row>
    <row r="619" spans="1:7" x14ac:dyDescent="0.25">
      <c r="A619" s="1">
        <v>45475</v>
      </c>
      <c r="B619">
        <v>269.02999999999997</v>
      </c>
      <c r="C619">
        <v>271.99</v>
      </c>
      <c r="D619">
        <v>271.99</v>
      </c>
      <c r="E619">
        <v>268.05</v>
      </c>
      <c r="F619" t="s">
        <v>267</v>
      </c>
      <c r="G619" s="2">
        <v>2.7000000000000001E-3</v>
      </c>
    </row>
    <row r="620" spans="1:7" x14ac:dyDescent="0.25">
      <c r="A620" s="1">
        <v>45476</v>
      </c>
      <c r="B620">
        <v>270.23</v>
      </c>
      <c r="C620">
        <v>269.38</v>
      </c>
      <c r="D620">
        <v>271.38</v>
      </c>
      <c r="E620">
        <v>269.14999999999998</v>
      </c>
      <c r="F620" t="s">
        <v>282</v>
      </c>
      <c r="G620" s="2">
        <v>4.4999999999999997E-3</v>
      </c>
    </row>
    <row r="621" spans="1:7" x14ac:dyDescent="0.25">
      <c r="A621" s="1">
        <v>45477</v>
      </c>
      <c r="B621">
        <v>270.52999999999997</v>
      </c>
      <c r="C621">
        <v>271.49</v>
      </c>
      <c r="D621">
        <v>271.7</v>
      </c>
      <c r="E621">
        <v>270.18</v>
      </c>
      <c r="F621" t="s">
        <v>237</v>
      </c>
      <c r="G621" s="2">
        <v>1.1000000000000001E-3</v>
      </c>
    </row>
    <row r="622" spans="1:7" x14ac:dyDescent="0.25">
      <c r="A622" s="1">
        <v>45478</v>
      </c>
      <c r="B622">
        <v>270.52999999999997</v>
      </c>
      <c r="C622">
        <v>271.99</v>
      </c>
      <c r="D622">
        <v>271.99</v>
      </c>
      <c r="E622">
        <v>269.31</v>
      </c>
      <c r="F622" t="s">
        <v>7</v>
      </c>
      <c r="G622" s="2">
        <v>0</v>
      </c>
    </row>
    <row r="623" spans="1:7" x14ac:dyDescent="0.25">
      <c r="A623" s="1">
        <v>45481</v>
      </c>
      <c r="B623">
        <v>270.04000000000002</v>
      </c>
      <c r="C623">
        <v>270.12</v>
      </c>
      <c r="D623">
        <v>271.45</v>
      </c>
      <c r="E623">
        <v>269.60000000000002</v>
      </c>
      <c r="F623" t="s">
        <v>238</v>
      </c>
      <c r="G623" s="2">
        <v>-1.8E-3</v>
      </c>
    </row>
    <row r="624" spans="1:7" x14ac:dyDescent="0.25">
      <c r="A624" s="1">
        <v>45482</v>
      </c>
      <c r="B624">
        <v>271.38</v>
      </c>
      <c r="C624">
        <v>270.19</v>
      </c>
      <c r="D624">
        <v>271.49</v>
      </c>
      <c r="E624">
        <v>269.62</v>
      </c>
      <c r="F624" t="s">
        <v>238</v>
      </c>
      <c r="G624" s="2">
        <v>5.0000000000000001E-3</v>
      </c>
    </row>
    <row r="625" spans="1:7" x14ac:dyDescent="0.25">
      <c r="A625" s="1">
        <v>45483</v>
      </c>
      <c r="B625">
        <v>270.92</v>
      </c>
      <c r="C625">
        <v>272.27999999999997</v>
      </c>
      <c r="D625">
        <v>272.27999999999997</v>
      </c>
      <c r="E625">
        <v>268.61</v>
      </c>
      <c r="F625" t="s">
        <v>281</v>
      </c>
      <c r="G625" s="2">
        <v>-1.6999999999999999E-3</v>
      </c>
    </row>
    <row r="626" spans="1:7" x14ac:dyDescent="0.25">
      <c r="A626" s="1">
        <v>45484</v>
      </c>
      <c r="B626">
        <v>270.75</v>
      </c>
      <c r="C626">
        <v>274.99</v>
      </c>
      <c r="D626">
        <v>274.99</v>
      </c>
      <c r="E626">
        <v>269.52</v>
      </c>
      <c r="F626" t="s">
        <v>280</v>
      </c>
      <c r="G626" s="2">
        <v>-5.9999999999999995E-4</v>
      </c>
    </row>
    <row r="627" spans="1:7" x14ac:dyDescent="0.25">
      <c r="A627" s="1">
        <v>45485</v>
      </c>
      <c r="B627">
        <v>271.94</v>
      </c>
      <c r="C627">
        <v>271.58999999999997</v>
      </c>
      <c r="D627">
        <v>273</v>
      </c>
      <c r="E627">
        <v>270.62</v>
      </c>
      <c r="F627" t="s">
        <v>279</v>
      </c>
      <c r="G627" s="2">
        <v>4.4000000000000003E-3</v>
      </c>
    </row>
    <row r="628" spans="1:7" x14ac:dyDescent="0.25">
      <c r="A628" s="1">
        <v>45488</v>
      </c>
      <c r="B628">
        <v>273.08999999999997</v>
      </c>
      <c r="C628">
        <v>271.5</v>
      </c>
      <c r="D628">
        <v>273.88</v>
      </c>
      <c r="E628">
        <v>271.5</v>
      </c>
      <c r="F628" t="s">
        <v>278</v>
      </c>
      <c r="G628" s="2">
        <v>4.1999999999999997E-3</v>
      </c>
    </row>
    <row r="629" spans="1:7" x14ac:dyDescent="0.25">
      <c r="A629" s="1">
        <v>45489</v>
      </c>
      <c r="B629">
        <v>273.55</v>
      </c>
      <c r="C629">
        <v>273.19</v>
      </c>
      <c r="D629">
        <v>274.14999999999998</v>
      </c>
      <c r="E629">
        <v>272.39999999999998</v>
      </c>
      <c r="F629" t="s">
        <v>25</v>
      </c>
      <c r="G629" s="2">
        <v>1.6999999999999999E-3</v>
      </c>
    </row>
    <row r="630" spans="1:7" x14ac:dyDescent="0.25">
      <c r="A630" s="1">
        <v>45491</v>
      </c>
      <c r="B630">
        <v>275.51</v>
      </c>
      <c r="C630">
        <v>274.99</v>
      </c>
      <c r="D630">
        <v>275.82</v>
      </c>
      <c r="E630">
        <v>272.10000000000002</v>
      </c>
      <c r="F630" t="s">
        <v>153</v>
      </c>
      <c r="G630" s="2">
        <v>7.1999999999999998E-3</v>
      </c>
    </row>
    <row r="631" spans="1:7" x14ac:dyDescent="0.25">
      <c r="A631" s="1">
        <v>45492</v>
      </c>
      <c r="B631">
        <v>273.29000000000002</v>
      </c>
      <c r="C631">
        <v>276.48</v>
      </c>
      <c r="D631">
        <v>276.48</v>
      </c>
      <c r="E631">
        <v>273</v>
      </c>
      <c r="F631" t="s">
        <v>277</v>
      </c>
      <c r="G631" s="2">
        <v>-8.0999999999999996E-3</v>
      </c>
    </row>
    <row r="632" spans="1:7" x14ac:dyDescent="0.25">
      <c r="A632" s="1">
        <v>45495</v>
      </c>
      <c r="B632">
        <v>272.45</v>
      </c>
      <c r="C632">
        <v>273.3</v>
      </c>
      <c r="D632">
        <v>273.99</v>
      </c>
      <c r="E632">
        <v>271.11</v>
      </c>
      <c r="F632" t="s">
        <v>73</v>
      </c>
      <c r="G632" s="2">
        <v>-3.0999999999999999E-3</v>
      </c>
    </row>
    <row r="633" spans="1:7" x14ac:dyDescent="0.25">
      <c r="A633" s="1">
        <v>45496</v>
      </c>
      <c r="B633">
        <v>272.64</v>
      </c>
      <c r="C633">
        <v>272.75</v>
      </c>
      <c r="D633">
        <v>273.5</v>
      </c>
      <c r="E633">
        <v>268.11</v>
      </c>
      <c r="F633" t="s">
        <v>13</v>
      </c>
      <c r="G633" s="2">
        <v>6.9999999999999999E-4</v>
      </c>
    </row>
    <row r="634" spans="1:7" x14ac:dyDescent="0.25">
      <c r="A634" s="1">
        <v>45497</v>
      </c>
      <c r="B634">
        <v>271.89</v>
      </c>
      <c r="C634">
        <v>272.77</v>
      </c>
      <c r="D634">
        <v>272.77999999999997</v>
      </c>
      <c r="E634">
        <v>270.75</v>
      </c>
      <c r="F634" t="s">
        <v>270</v>
      </c>
      <c r="G634" s="2">
        <v>-2.8E-3</v>
      </c>
    </row>
    <row r="635" spans="1:7" x14ac:dyDescent="0.25">
      <c r="A635" s="1">
        <v>45498</v>
      </c>
      <c r="B635">
        <v>271.92</v>
      </c>
      <c r="C635">
        <v>270.77999999999997</v>
      </c>
      <c r="D635">
        <v>272.3</v>
      </c>
      <c r="E635">
        <v>269.27999999999997</v>
      </c>
      <c r="F635" t="s">
        <v>276</v>
      </c>
      <c r="G635" s="2">
        <v>1E-4</v>
      </c>
    </row>
    <row r="636" spans="1:7" x14ac:dyDescent="0.25">
      <c r="A636" s="1">
        <v>45499</v>
      </c>
      <c r="B636">
        <v>276.06</v>
      </c>
      <c r="C636">
        <v>272.3</v>
      </c>
      <c r="D636">
        <v>276.25</v>
      </c>
      <c r="E636">
        <v>271.5</v>
      </c>
      <c r="F636" t="s">
        <v>260</v>
      </c>
      <c r="G636" s="2">
        <v>1.52E-2</v>
      </c>
    </row>
    <row r="637" spans="1:7" x14ac:dyDescent="0.25">
      <c r="A637" s="1">
        <v>45502</v>
      </c>
      <c r="B637">
        <v>276.68</v>
      </c>
      <c r="C637">
        <v>276.89999999999998</v>
      </c>
      <c r="D637">
        <v>278.2</v>
      </c>
      <c r="E637">
        <v>276.10000000000002</v>
      </c>
      <c r="F637" t="s">
        <v>8</v>
      </c>
      <c r="G637" s="2">
        <v>2.2000000000000001E-3</v>
      </c>
    </row>
    <row r="638" spans="1:7" x14ac:dyDescent="0.25">
      <c r="A638" s="1">
        <v>45503</v>
      </c>
      <c r="B638">
        <v>277.10000000000002</v>
      </c>
      <c r="C638">
        <v>268.39999999999998</v>
      </c>
      <c r="D638">
        <v>277.95999999999998</v>
      </c>
      <c r="E638">
        <v>268.39999999999998</v>
      </c>
      <c r="F638" t="s">
        <v>271</v>
      </c>
      <c r="G638" s="2">
        <v>1.5E-3</v>
      </c>
    </row>
    <row r="639" spans="1:7" x14ac:dyDescent="0.25">
      <c r="A639" s="1">
        <v>45504</v>
      </c>
      <c r="B639">
        <v>277.75</v>
      </c>
      <c r="C639">
        <v>277.2</v>
      </c>
      <c r="D639">
        <v>278.08999999999997</v>
      </c>
      <c r="E639">
        <v>276.8</v>
      </c>
      <c r="F639" t="s">
        <v>275</v>
      </c>
      <c r="G639" s="2">
        <v>2.3E-3</v>
      </c>
    </row>
    <row r="640" spans="1:7" x14ac:dyDescent="0.25">
      <c r="A640" s="1">
        <v>45505</v>
      </c>
      <c r="B640">
        <v>278.33</v>
      </c>
      <c r="C640">
        <v>273.01</v>
      </c>
      <c r="D640">
        <v>279.11</v>
      </c>
      <c r="E640">
        <v>273.01</v>
      </c>
      <c r="F640" t="s">
        <v>274</v>
      </c>
      <c r="G640" s="2">
        <v>2.0999999999999999E-3</v>
      </c>
    </row>
    <row r="641" spans="1:7" x14ac:dyDescent="0.25">
      <c r="A641" s="1">
        <v>45506</v>
      </c>
      <c r="B641">
        <v>275.69</v>
      </c>
      <c r="C641">
        <v>276.67</v>
      </c>
      <c r="D641">
        <v>277.27999999999997</v>
      </c>
      <c r="E641">
        <v>275.5</v>
      </c>
      <c r="F641" t="s">
        <v>171</v>
      </c>
      <c r="G641" s="2">
        <v>-9.4999999999999998E-3</v>
      </c>
    </row>
    <row r="642" spans="1:7" x14ac:dyDescent="0.25">
      <c r="A642" s="1">
        <v>45509</v>
      </c>
      <c r="B642">
        <v>269.48</v>
      </c>
      <c r="C642">
        <v>272.99</v>
      </c>
      <c r="D642">
        <v>273</v>
      </c>
      <c r="E642">
        <v>266.56</v>
      </c>
      <c r="F642" t="s">
        <v>273</v>
      </c>
      <c r="G642" s="2">
        <v>-2.2499999999999999E-2</v>
      </c>
    </row>
    <row r="643" spans="1:7" x14ac:dyDescent="0.25">
      <c r="A643" s="1">
        <v>45510</v>
      </c>
      <c r="B643">
        <v>267.61</v>
      </c>
      <c r="C643">
        <v>271.88</v>
      </c>
      <c r="D643">
        <v>272.94</v>
      </c>
      <c r="E643">
        <v>267.2</v>
      </c>
      <c r="F643" t="s">
        <v>128</v>
      </c>
      <c r="G643" s="2">
        <v>-6.8999999999999999E-3</v>
      </c>
    </row>
    <row r="644" spans="1:7" x14ac:dyDescent="0.25">
      <c r="A644" s="1">
        <v>45511</v>
      </c>
      <c r="B644">
        <v>271.10000000000002</v>
      </c>
      <c r="C644">
        <v>269.5</v>
      </c>
      <c r="D644">
        <v>271.44</v>
      </c>
      <c r="E644">
        <v>269.18</v>
      </c>
      <c r="F644" t="s">
        <v>46</v>
      </c>
      <c r="G644" s="2">
        <v>1.2999999999999999E-2</v>
      </c>
    </row>
    <row r="645" spans="1:7" x14ac:dyDescent="0.25">
      <c r="A645" s="1">
        <v>45512</v>
      </c>
      <c r="B645">
        <v>269.33</v>
      </c>
      <c r="C645">
        <v>270.75</v>
      </c>
      <c r="D645">
        <v>271.18</v>
      </c>
      <c r="E645">
        <v>268.75</v>
      </c>
      <c r="F645" t="s">
        <v>272</v>
      </c>
      <c r="G645" s="2">
        <v>-6.4999999999999997E-3</v>
      </c>
    </row>
    <row r="646" spans="1:7" x14ac:dyDescent="0.25">
      <c r="A646" s="1">
        <v>45513</v>
      </c>
      <c r="B646">
        <v>271.58999999999997</v>
      </c>
      <c r="C646">
        <v>271.5</v>
      </c>
      <c r="D646">
        <v>272.33</v>
      </c>
      <c r="E646">
        <v>270.81</v>
      </c>
      <c r="F646" t="s">
        <v>271</v>
      </c>
      <c r="G646" s="2">
        <v>8.3999999999999995E-3</v>
      </c>
    </row>
    <row r="647" spans="1:7" x14ac:dyDescent="0.25">
      <c r="A647" s="1">
        <v>45516</v>
      </c>
      <c r="B647">
        <v>271.44</v>
      </c>
      <c r="C647">
        <v>271.77</v>
      </c>
      <c r="D647">
        <v>272.8</v>
      </c>
      <c r="E647">
        <v>270.25</v>
      </c>
      <c r="F647" t="s">
        <v>66</v>
      </c>
      <c r="G647" s="2">
        <v>-5.9999999999999995E-4</v>
      </c>
    </row>
    <row r="648" spans="1:7" x14ac:dyDescent="0.25">
      <c r="A648" s="1">
        <v>45517</v>
      </c>
      <c r="B648">
        <v>269.52</v>
      </c>
      <c r="C648">
        <v>271.87</v>
      </c>
      <c r="D648">
        <v>271.95</v>
      </c>
      <c r="E648">
        <v>269.10000000000002</v>
      </c>
      <c r="F648" t="s">
        <v>270</v>
      </c>
      <c r="G648" s="2">
        <v>-7.1000000000000004E-3</v>
      </c>
    </row>
    <row r="649" spans="1:7" x14ac:dyDescent="0.25">
      <c r="A649" s="1">
        <v>45518</v>
      </c>
      <c r="B649">
        <v>269.33999999999997</v>
      </c>
      <c r="C649">
        <v>269.95</v>
      </c>
      <c r="D649">
        <v>270.5</v>
      </c>
      <c r="E649">
        <v>269.10000000000002</v>
      </c>
      <c r="F649" t="s">
        <v>269</v>
      </c>
      <c r="G649" s="2">
        <v>-6.9999999999999999E-4</v>
      </c>
    </row>
    <row r="650" spans="1:7" x14ac:dyDescent="0.25">
      <c r="A650" s="1">
        <v>45520</v>
      </c>
      <c r="B650">
        <v>273.81</v>
      </c>
      <c r="C650">
        <v>271.77999999999997</v>
      </c>
      <c r="D650">
        <v>274.14</v>
      </c>
      <c r="E650">
        <v>270.3</v>
      </c>
      <c r="F650" t="s">
        <v>268</v>
      </c>
      <c r="G650" s="2">
        <v>1.66E-2</v>
      </c>
    </row>
    <row r="651" spans="1:7" x14ac:dyDescent="0.25">
      <c r="A651" s="1">
        <v>45523</v>
      </c>
      <c r="B651">
        <v>274.43</v>
      </c>
      <c r="C651">
        <v>274.39</v>
      </c>
      <c r="D651">
        <v>275.48</v>
      </c>
      <c r="E651">
        <v>273.89999999999998</v>
      </c>
      <c r="F651" t="s">
        <v>267</v>
      </c>
      <c r="G651" s="2">
        <v>2.3E-3</v>
      </c>
    </row>
    <row r="652" spans="1:7" x14ac:dyDescent="0.25">
      <c r="A652" s="1">
        <v>45524</v>
      </c>
      <c r="B652">
        <v>275.83</v>
      </c>
      <c r="C652">
        <v>274.95</v>
      </c>
      <c r="D652">
        <v>276.25</v>
      </c>
      <c r="E652">
        <v>274.38</v>
      </c>
      <c r="F652" t="s">
        <v>266</v>
      </c>
      <c r="G652" s="2">
        <v>5.1000000000000004E-3</v>
      </c>
    </row>
    <row r="653" spans="1:7" x14ac:dyDescent="0.25">
      <c r="A653" s="1">
        <v>45525</v>
      </c>
      <c r="B653">
        <v>276.12</v>
      </c>
      <c r="C653">
        <v>275.95</v>
      </c>
      <c r="D653">
        <v>276.33999999999997</v>
      </c>
      <c r="E653">
        <v>275.02</v>
      </c>
      <c r="F653" t="s">
        <v>63</v>
      </c>
      <c r="G653" s="2">
        <v>1.1000000000000001E-3</v>
      </c>
    </row>
    <row r="654" spans="1:7" x14ac:dyDescent="0.25">
      <c r="A654" s="1">
        <v>45526</v>
      </c>
      <c r="B654">
        <v>276.48</v>
      </c>
      <c r="C654">
        <v>276.99</v>
      </c>
      <c r="D654">
        <v>277.49</v>
      </c>
      <c r="E654">
        <v>276.08</v>
      </c>
      <c r="F654" t="s">
        <v>265</v>
      </c>
      <c r="G654" s="2">
        <v>1.2999999999999999E-3</v>
      </c>
    </row>
    <row r="655" spans="1:7" x14ac:dyDescent="0.25">
      <c r="A655" s="1">
        <v>45527</v>
      </c>
      <c r="B655">
        <v>276.60000000000002</v>
      </c>
      <c r="C655">
        <v>275.77999999999997</v>
      </c>
      <c r="D655">
        <v>277.14999999999998</v>
      </c>
      <c r="E655">
        <v>275.77999999999997</v>
      </c>
      <c r="F655" t="s">
        <v>264</v>
      </c>
      <c r="G655" s="2">
        <v>4.0000000000000002E-4</v>
      </c>
    </row>
    <row r="656" spans="1:7" x14ac:dyDescent="0.25">
      <c r="A656" s="1">
        <v>45530</v>
      </c>
      <c r="B656">
        <v>278.83999999999997</v>
      </c>
      <c r="C656">
        <v>278</v>
      </c>
      <c r="D656">
        <v>279.11</v>
      </c>
      <c r="E656">
        <v>276.77999999999997</v>
      </c>
      <c r="F656" t="s">
        <v>263</v>
      </c>
      <c r="G656" s="2">
        <v>8.0999999999999996E-3</v>
      </c>
    </row>
    <row r="657" spans="1:7" x14ac:dyDescent="0.25">
      <c r="A657" s="1">
        <v>45531</v>
      </c>
      <c r="B657">
        <v>278.7</v>
      </c>
      <c r="C657">
        <v>279.14999999999998</v>
      </c>
      <c r="D657">
        <v>279.35000000000002</v>
      </c>
      <c r="E657">
        <v>278.08999999999997</v>
      </c>
      <c r="F657" t="s">
        <v>262</v>
      </c>
      <c r="G657" s="2">
        <v>-5.0000000000000001E-4</v>
      </c>
    </row>
    <row r="658" spans="1:7" x14ac:dyDescent="0.25">
      <c r="A658" s="1">
        <v>45532</v>
      </c>
      <c r="B658">
        <v>278.94</v>
      </c>
      <c r="C658">
        <v>278.39</v>
      </c>
      <c r="D658">
        <v>280.02</v>
      </c>
      <c r="E658">
        <v>278.3</v>
      </c>
      <c r="F658" t="s">
        <v>261</v>
      </c>
      <c r="G658" s="2">
        <v>8.9999999999999998E-4</v>
      </c>
    </row>
    <row r="659" spans="1:7" x14ac:dyDescent="0.25">
      <c r="A659" s="1">
        <v>45533</v>
      </c>
      <c r="B659">
        <v>280.10000000000002</v>
      </c>
      <c r="C659">
        <v>280.60000000000002</v>
      </c>
      <c r="D659">
        <v>280.60000000000002</v>
      </c>
      <c r="E659">
        <v>278.38</v>
      </c>
      <c r="F659" t="s">
        <v>239</v>
      </c>
      <c r="G659" s="2">
        <v>4.1999999999999997E-3</v>
      </c>
    </row>
    <row r="660" spans="1:7" x14ac:dyDescent="0.25">
      <c r="A660" s="1">
        <v>45534</v>
      </c>
      <c r="B660">
        <v>281.08</v>
      </c>
      <c r="C660">
        <v>281.37</v>
      </c>
      <c r="D660">
        <v>281.75</v>
      </c>
      <c r="E660">
        <v>279.88</v>
      </c>
      <c r="F660" t="s">
        <v>84</v>
      </c>
      <c r="G660" s="2">
        <v>3.5000000000000001E-3</v>
      </c>
    </row>
    <row r="661" spans="1:7" x14ac:dyDescent="0.25">
      <c r="A661" s="1">
        <v>45537</v>
      </c>
      <c r="B661">
        <v>281.45</v>
      </c>
      <c r="C661">
        <v>280.01</v>
      </c>
      <c r="D661">
        <v>283.99</v>
      </c>
      <c r="E661">
        <v>280.01</v>
      </c>
      <c r="F661" t="s">
        <v>260</v>
      </c>
      <c r="G661" s="2">
        <v>1.2999999999999999E-3</v>
      </c>
    </row>
    <row r="662" spans="1:7" x14ac:dyDescent="0.25">
      <c r="A662" s="1">
        <v>45538</v>
      </c>
      <c r="B662">
        <v>281.72000000000003</v>
      </c>
      <c r="C662">
        <v>281.73</v>
      </c>
      <c r="D662">
        <v>282.2</v>
      </c>
      <c r="E662">
        <v>281.25</v>
      </c>
      <c r="F662" t="s">
        <v>259</v>
      </c>
      <c r="G662" s="2">
        <v>1E-3</v>
      </c>
    </row>
    <row r="663" spans="1:7" x14ac:dyDescent="0.25">
      <c r="A663" s="1">
        <v>45539</v>
      </c>
      <c r="B663">
        <v>281.27999999999997</v>
      </c>
      <c r="C663">
        <v>281.39999999999998</v>
      </c>
      <c r="D663">
        <v>281.5</v>
      </c>
      <c r="E663">
        <v>278.77999999999997</v>
      </c>
      <c r="F663" t="s">
        <v>82</v>
      </c>
      <c r="G663" s="2">
        <v>-1.6000000000000001E-3</v>
      </c>
    </row>
    <row r="664" spans="1:7" x14ac:dyDescent="0.25">
      <c r="A664" s="1">
        <v>45540</v>
      </c>
      <c r="B664">
        <v>280.43</v>
      </c>
      <c r="C664">
        <v>282</v>
      </c>
      <c r="D664">
        <v>282.35000000000002</v>
      </c>
      <c r="E664">
        <v>280.26</v>
      </c>
      <c r="F664" t="s">
        <v>258</v>
      </c>
      <c r="G664" s="2">
        <v>-3.0000000000000001E-3</v>
      </c>
    </row>
    <row r="665" spans="1:7" x14ac:dyDescent="0.25">
      <c r="A665" s="1">
        <v>45541</v>
      </c>
      <c r="B665">
        <v>277.82</v>
      </c>
      <c r="C665">
        <v>280.27999999999997</v>
      </c>
      <c r="D665">
        <v>280.58</v>
      </c>
      <c r="E665">
        <v>277.2</v>
      </c>
      <c r="F665" t="s">
        <v>107</v>
      </c>
      <c r="G665" s="2">
        <v>-9.2999999999999992E-3</v>
      </c>
    </row>
    <row r="666" spans="1:7" x14ac:dyDescent="0.25">
      <c r="A666" s="1">
        <v>45544</v>
      </c>
      <c r="B666">
        <v>277.68</v>
      </c>
      <c r="C666">
        <v>277.88</v>
      </c>
      <c r="D666">
        <v>278.44</v>
      </c>
      <c r="E666">
        <v>276.48</v>
      </c>
      <c r="F666" t="s">
        <v>59</v>
      </c>
      <c r="G666" s="2">
        <v>-5.0000000000000001E-4</v>
      </c>
    </row>
    <row r="667" spans="1:7" x14ac:dyDescent="0.25">
      <c r="A667" s="1">
        <v>45545</v>
      </c>
      <c r="B667">
        <v>279.2</v>
      </c>
      <c r="C667">
        <v>278.35000000000002</v>
      </c>
      <c r="D667">
        <v>279.95999999999998</v>
      </c>
      <c r="E667">
        <v>277.25</v>
      </c>
      <c r="F667" t="s">
        <v>257</v>
      </c>
      <c r="G667" s="2">
        <v>5.4999999999999997E-3</v>
      </c>
    </row>
    <row r="668" spans="1:7" x14ac:dyDescent="0.25">
      <c r="A668" s="1">
        <v>45546</v>
      </c>
      <c r="B668">
        <v>277.54000000000002</v>
      </c>
      <c r="C668">
        <v>279.58</v>
      </c>
      <c r="D668">
        <v>279.79000000000002</v>
      </c>
      <c r="E668">
        <v>277.19</v>
      </c>
      <c r="F668" t="s">
        <v>256</v>
      </c>
      <c r="G668" s="2">
        <v>-5.8999999999999999E-3</v>
      </c>
    </row>
    <row r="669" spans="1:7" x14ac:dyDescent="0.25">
      <c r="A669" s="1">
        <v>45547</v>
      </c>
      <c r="B669">
        <v>282.70999999999998</v>
      </c>
      <c r="C669">
        <v>278.48</v>
      </c>
      <c r="D669">
        <v>283.2</v>
      </c>
      <c r="E669">
        <v>278.26</v>
      </c>
      <c r="F669" t="s">
        <v>52</v>
      </c>
      <c r="G669" s="2">
        <v>1.8599999999999998E-2</v>
      </c>
    </row>
    <row r="670" spans="1:7" x14ac:dyDescent="0.25">
      <c r="A670" s="1">
        <v>45548</v>
      </c>
      <c r="B670">
        <v>283.19</v>
      </c>
      <c r="C670">
        <v>283.64999999999998</v>
      </c>
      <c r="D670">
        <v>283.75</v>
      </c>
      <c r="E670">
        <v>281.70999999999998</v>
      </c>
      <c r="F670" t="s">
        <v>255</v>
      </c>
      <c r="G670" s="2">
        <v>1.6999999999999999E-3</v>
      </c>
    </row>
    <row r="671" spans="1:7" x14ac:dyDescent="0.25">
      <c r="A671" s="1">
        <v>45551</v>
      </c>
      <c r="B671">
        <v>283.27</v>
      </c>
      <c r="C671">
        <v>283.5</v>
      </c>
      <c r="D671">
        <v>284.14999999999998</v>
      </c>
      <c r="E671">
        <v>283</v>
      </c>
      <c r="F671" t="s">
        <v>254</v>
      </c>
      <c r="G671" s="2">
        <v>2.9999999999999997E-4</v>
      </c>
    </row>
    <row r="672" spans="1:7" x14ac:dyDescent="0.25">
      <c r="A672" s="1">
        <v>45552</v>
      </c>
      <c r="B672">
        <v>283.89</v>
      </c>
      <c r="C672">
        <v>283.47000000000003</v>
      </c>
      <c r="D672">
        <v>284.10000000000002</v>
      </c>
      <c r="E672">
        <v>282.83</v>
      </c>
      <c r="F672" t="s">
        <v>253</v>
      </c>
      <c r="G672" s="2">
        <v>2.2000000000000001E-3</v>
      </c>
    </row>
    <row r="673" spans="1:7" x14ac:dyDescent="0.25">
      <c r="A673" s="1">
        <v>45553</v>
      </c>
      <c r="B673">
        <v>283.36</v>
      </c>
      <c r="C673">
        <v>284.27999999999997</v>
      </c>
      <c r="D673">
        <v>284.52</v>
      </c>
      <c r="E673">
        <v>282.2</v>
      </c>
      <c r="F673" t="s">
        <v>252</v>
      </c>
      <c r="G673" s="2">
        <v>-1.9E-3</v>
      </c>
    </row>
    <row r="674" spans="1:7" x14ac:dyDescent="0.25">
      <c r="A674" s="1">
        <v>45554</v>
      </c>
      <c r="B674">
        <v>283.92</v>
      </c>
      <c r="C674">
        <v>283.38</v>
      </c>
      <c r="D674">
        <v>285.7</v>
      </c>
      <c r="E674">
        <v>283.38</v>
      </c>
      <c r="F674" t="s">
        <v>251</v>
      </c>
      <c r="G674" s="2">
        <v>2E-3</v>
      </c>
    </row>
    <row r="675" spans="1:7" x14ac:dyDescent="0.25">
      <c r="A675" s="1">
        <v>45555</v>
      </c>
      <c r="B675">
        <v>287.10000000000002</v>
      </c>
      <c r="C675">
        <v>284.35000000000002</v>
      </c>
      <c r="D675">
        <v>287.7</v>
      </c>
      <c r="E675">
        <v>283.75</v>
      </c>
      <c r="F675" t="s">
        <v>250</v>
      </c>
      <c r="G675" s="2">
        <v>1.12E-2</v>
      </c>
    </row>
    <row r="676" spans="1:7" x14ac:dyDescent="0.25">
      <c r="A676" s="1">
        <v>45558</v>
      </c>
      <c r="B676">
        <v>289.33999999999997</v>
      </c>
      <c r="C676">
        <v>288.06</v>
      </c>
      <c r="D676">
        <v>290.10000000000002</v>
      </c>
      <c r="E676">
        <v>287.41000000000003</v>
      </c>
      <c r="F676" t="s">
        <v>249</v>
      </c>
      <c r="G676" s="2">
        <v>7.7999999999999996E-3</v>
      </c>
    </row>
    <row r="677" spans="1:7" x14ac:dyDescent="0.25">
      <c r="A677" s="1">
        <v>45559</v>
      </c>
      <c r="B677">
        <v>289.3</v>
      </c>
      <c r="C677">
        <v>289.77</v>
      </c>
      <c r="D677">
        <v>289.88</v>
      </c>
      <c r="E677">
        <v>288.5</v>
      </c>
      <c r="F677" t="s">
        <v>248</v>
      </c>
      <c r="G677" s="2">
        <v>-1E-4</v>
      </c>
    </row>
    <row r="678" spans="1:7" x14ac:dyDescent="0.25">
      <c r="A678" s="1">
        <v>45560</v>
      </c>
      <c r="B678">
        <v>290.08999999999997</v>
      </c>
      <c r="C678">
        <v>289.38</v>
      </c>
      <c r="D678">
        <v>290.43</v>
      </c>
      <c r="E678">
        <v>288.51</v>
      </c>
      <c r="F678" t="s">
        <v>247</v>
      </c>
      <c r="G678" s="2">
        <v>2.7000000000000001E-3</v>
      </c>
    </row>
    <row r="679" spans="1:7" x14ac:dyDescent="0.25">
      <c r="A679" s="1">
        <v>45561</v>
      </c>
      <c r="B679">
        <v>291.55</v>
      </c>
      <c r="C679">
        <v>290.39</v>
      </c>
      <c r="D679">
        <v>291.91000000000003</v>
      </c>
      <c r="E679">
        <v>289.38</v>
      </c>
      <c r="F679" t="s">
        <v>246</v>
      </c>
      <c r="G679" s="2">
        <v>5.0000000000000001E-3</v>
      </c>
    </row>
    <row r="680" spans="1:7" x14ac:dyDescent="0.25">
      <c r="A680" s="1">
        <v>45562</v>
      </c>
      <c r="B680">
        <v>291.97000000000003</v>
      </c>
      <c r="C680">
        <v>291.95</v>
      </c>
      <c r="D680">
        <v>292.5</v>
      </c>
      <c r="E680">
        <v>291.35000000000002</v>
      </c>
      <c r="F680" t="s">
        <v>245</v>
      </c>
      <c r="G680" s="2">
        <v>1.4E-3</v>
      </c>
    </row>
    <row r="681" spans="1:7" x14ac:dyDescent="0.25">
      <c r="A681" s="1">
        <v>45565</v>
      </c>
      <c r="B681">
        <v>288.38</v>
      </c>
      <c r="C681">
        <v>283.2</v>
      </c>
      <c r="D681">
        <v>293.99</v>
      </c>
      <c r="E681">
        <v>283.2</v>
      </c>
      <c r="F681" t="s">
        <v>226</v>
      </c>
      <c r="G681" s="2">
        <v>-1.23E-2</v>
      </c>
    </row>
    <row r="682" spans="1:7" x14ac:dyDescent="0.25">
      <c r="A682" s="1">
        <v>45566</v>
      </c>
      <c r="B682">
        <v>288.27</v>
      </c>
      <c r="C682">
        <v>288.77999999999997</v>
      </c>
      <c r="D682">
        <v>289.32</v>
      </c>
      <c r="E682">
        <v>287.5</v>
      </c>
      <c r="F682" t="s">
        <v>174</v>
      </c>
      <c r="G682" s="2">
        <v>-4.0000000000000002E-4</v>
      </c>
    </row>
    <row r="683" spans="1:7" x14ac:dyDescent="0.25">
      <c r="A683" s="1">
        <v>45568</v>
      </c>
      <c r="B683">
        <v>282.69</v>
      </c>
      <c r="C683">
        <v>286.48</v>
      </c>
      <c r="D683">
        <v>286.97000000000003</v>
      </c>
      <c r="E683">
        <v>282.05</v>
      </c>
      <c r="F683" t="s">
        <v>244</v>
      </c>
      <c r="G683" s="2">
        <v>-1.9400000000000001E-2</v>
      </c>
    </row>
    <row r="684" spans="1:7" x14ac:dyDescent="0.25">
      <c r="A684" s="1">
        <v>45569</v>
      </c>
      <c r="B684">
        <v>280.14999999999998</v>
      </c>
      <c r="C684">
        <v>283.19</v>
      </c>
      <c r="D684">
        <v>284.51</v>
      </c>
      <c r="E684">
        <v>279.35000000000002</v>
      </c>
      <c r="F684" t="s">
        <v>243</v>
      </c>
      <c r="G684" s="2">
        <v>-8.9999999999999993E-3</v>
      </c>
    </row>
    <row r="685" spans="1:7" x14ac:dyDescent="0.25">
      <c r="A685" s="1">
        <v>45572</v>
      </c>
      <c r="B685">
        <v>278.01</v>
      </c>
      <c r="C685">
        <v>281.45</v>
      </c>
      <c r="D685">
        <v>281.58</v>
      </c>
      <c r="E685">
        <v>276.08</v>
      </c>
      <c r="F685" t="s">
        <v>242</v>
      </c>
      <c r="G685" s="2">
        <v>-7.6E-3</v>
      </c>
    </row>
    <row r="686" spans="1:7" x14ac:dyDescent="0.25">
      <c r="A686" s="1">
        <v>45573</v>
      </c>
      <c r="B686">
        <v>279.39999999999998</v>
      </c>
      <c r="C686">
        <v>278.99</v>
      </c>
      <c r="D686">
        <v>279.85000000000002</v>
      </c>
      <c r="E686">
        <v>276.66000000000003</v>
      </c>
      <c r="F686" t="s">
        <v>241</v>
      </c>
      <c r="G686" s="2">
        <v>5.0000000000000001E-3</v>
      </c>
    </row>
    <row r="687" spans="1:7" x14ac:dyDescent="0.25">
      <c r="A687" s="1">
        <v>45574</v>
      </c>
      <c r="B687">
        <v>278.72000000000003</v>
      </c>
      <c r="C687">
        <v>281.99</v>
      </c>
      <c r="D687">
        <v>281.99</v>
      </c>
      <c r="E687">
        <v>278.23</v>
      </c>
      <c r="F687" t="s">
        <v>240</v>
      </c>
      <c r="G687" s="2">
        <v>-2.3999999999999998E-3</v>
      </c>
    </row>
    <row r="688" spans="1:7" x14ac:dyDescent="0.25">
      <c r="A688" s="1">
        <v>45575</v>
      </c>
      <c r="B688">
        <v>279.3</v>
      </c>
      <c r="C688">
        <v>280.99</v>
      </c>
      <c r="D688">
        <v>280.99</v>
      </c>
      <c r="E688">
        <v>279</v>
      </c>
      <c r="F688" t="s">
        <v>239</v>
      </c>
      <c r="G688" s="2">
        <v>2.0999999999999999E-3</v>
      </c>
    </row>
    <row r="689" spans="1:7" x14ac:dyDescent="0.25">
      <c r="A689" s="1">
        <v>45576</v>
      </c>
      <c r="B689">
        <v>278.72000000000003</v>
      </c>
      <c r="C689">
        <v>282</v>
      </c>
      <c r="D689">
        <v>287.7</v>
      </c>
      <c r="E689">
        <v>277.51</v>
      </c>
      <c r="F689" t="s">
        <v>238</v>
      </c>
      <c r="G689" s="2">
        <v>-2.0999999999999999E-3</v>
      </c>
    </row>
    <row r="690" spans="1:7" x14ac:dyDescent="0.25">
      <c r="A690" s="1">
        <v>45579</v>
      </c>
      <c r="B690">
        <v>280.76</v>
      </c>
      <c r="C690">
        <v>280.99</v>
      </c>
      <c r="D690">
        <v>280.99</v>
      </c>
      <c r="E690">
        <v>278</v>
      </c>
      <c r="F690" t="s">
        <v>237</v>
      </c>
      <c r="G690" s="2">
        <v>7.3000000000000001E-3</v>
      </c>
    </row>
    <row r="691" spans="1:7" x14ac:dyDescent="0.25">
      <c r="A691" s="1">
        <v>45580</v>
      </c>
      <c r="B691">
        <v>279.83</v>
      </c>
      <c r="C691">
        <v>282</v>
      </c>
      <c r="D691">
        <v>282.08999999999997</v>
      </c>
      <c r="E691">
        <v>279.33</v>
      </c>
      <c r="F691" t="s">
        <v>236</v>
      </c>
      <c r="G691" s="2">
        <v>-3.3E-3</v>
      </c>
    </row>
    <row r="692" spans="1:7" x14ac:dyDescent="0.25">
      <c r="A692" s="1">
        <v>45581</v>
      </c>
      <c r="B692">
        <v>278.5</v>
      </c>
      <c r="C692">
        <v>281.99</v>
      </c>
      <c r="D692">
        <v>281.99</v>
      </c>
      <c r="E692">
        <v>278.16000000000003</v>
      </c>
      <c r="F692" t="s">
        <v>64</v>
      </c>
      <c r="G692" s="2">
        <v>-4.7999999999999996E-3</v>
      </c>
    </row>
    <row r="693" spans="1:7" x14ac:dyDescent="0.25">
      <c r="A693" s="1">
        <v>45582</v>
      </c>
      <c r="B693">
        <v>276.69</v>
      </c>
      <c r="C693">
        <v>279.24</v>
      </c>
      <c r="D693">
        <v>279.35000000000002</v>
      </c>
      <c r="E693">
        <v>276.3</v>
      </c>
      <c r="F693" t="s">
        <v>235</v>
      </c>
      <c r="G693" s="2">
        <v>-6.4999999999999997E-3</v>
      </c>
    </row>
    <row r="694" spans="1:7" x14ac:dyDescent="0.25">
      <c r="A694" s="1">
        <v>45583</v>
      </c>
      <c r="B694">
        <v>277.52999999999997</v>
      </c>
      <c r="C694">
        <v>278.99</v>
      </c>
      <c r="D694">
        <v>278.99</v>
      </c>
      <c r="E694">
        <v>274.5</v>
      </c>
      <c r="F694" t="s">
        <v>234</v>
      </c>
      <c r="G694" s="2">
        <v>3.0000000000000001E-3</v>
      </c>
    </row>
    <row r="695" spans="1:7" x14ac:dyDescent="0.25">
      <c r="A695" s="1">
        <v>45586</v>
      </c>
      <c r="B695">
        <v>276.47000000000003</v>
      </c>
      <c r="C695">
        <v>279.99</v>
      </c>
      <c r="D695">
        <v>279.99</v>
      </c>
      <c r="E695">
        <v>275.44</v>
      </c>
      <c r="F695" t="s">
        <v>32</v>
      </c>
      <c r="G695" s="2">
        <v>-3.8E-3</v>
      </c>
    </row>
    <row r="696" spans="1:7" x14ac:dyDescent="0.25">
      <c r="A696" s="1">
        <v>45587</v>
      </c>
      <c r="B696">
        <v>273.56</v>
      </c>
      <c r="C696">
        <v>276.27999999999997</v>
      </c>
      <c r="D696">
        <v>277.73</v>
      </c>
      <c r="E696">
        <v>273.23</v>
      </c>
      <c r="F696" t="s">
        <v>233</v>
      </c>
      <c r="G696" s="2">
        <v>-1.0500000000000001E-2</v>
      </c>
    </row>
    <row r="697" spans="1:7" x14ac:dyDescent="0.25">
      <c r="A697" s="1">
        <v>45588</v>
      </c>
      <c r="B697">
        <v>273.08999999999997</v>
      </c>
      <c r="C697">
        <v>274.05</v>
      </c>
      <c r="D697">
        <v>274.94</v>
      </c>
      <c r="E697">
        <v>272.39</v>
      </c>
      <c r="F697" t="s">
        <v>231</v>
      </c>
      <c r="G697" s="2">
        <v>-1.6999999999999999E-3</v>
      </c>
    </row>
    <row r="698" spans="1:7" x14ac:dyDescent="0.25">
      <c r="A698" s="1">
        <v>45589</v>
      </c>
      <c r="B698">
        <v>272.12</v>
      </c>
      <c r="C698">
        <v>273.77999999999997</v>
      </c>
      <c r="D698">
        <v>273.77999999999997</v>
      </c>
      <c r="E698">
        <v>271.92</v>
      </c>
      <c r="F698" t="s">
        <v>232</v>
      </c>
      <c r="G698" s="2">
        <v>-3.5999999999999999E-3</v>
      </c>
    </row>
    <row r="699" spans="1:7" x14ac:dyDescent="0.25">
      <c r="A699" s="1">
        <v>45590</v>
      </c>
      <c r="B699">
        <v>270.48</v>
      </c>
      <c r="C699">
        <v>271.8</v>
      </c>
      <c r="D699">
        <v>275</v>
      </c>
      <c r="E699">
        <v>269</v>
      </c>
      <c r="F699" t="s">
        <v>127</v>
      </c>
      <c r="G699" s="2">
        <v>-6.0000000000000001E-3</v>
      </c>
    </row>
    <row r="700" spans="1:7" x14ac:dyDescent="0.25">
      <c r="A700" s="1">
        <v>45593</v>
      </c>
      <c r="B700">
        <v>271.97000000000003</v>
      </c>
      <c r="C700">
        <v>272.99</v>
      </c>
      <c r="D700">
        <v>273.73</v>
      </c>
      <c r="E700">
        <v>269.8</v>
      </c>
      <c r="F700" t="s">
        <v>186</v>
      </c>
      <c r="G700" s="2">
        <v>5.4999999999999997E-3</v>
      </c>
    </row>
    <row r="701" spans="1:7" x14ac:dyDescent="0.25">
      <c r="A701" s="1">
        <v>45594</v>
      </c>
      <c r="B701">
        <v>273.58999999999997</v>
      </c>
      <c r="C701">
        <v>272.7</v>
      </c>
      <c r="D701">
        <v>273.8</v>
      </c>
      <c r="E701">
        <v>270.01</v>
      </c>
      <c r="F701" t="s">
        <v>82</v>
      </c>
      <c r="G701" s="2">
        <v>6.0000000000000001E-3</v>
      </c>
    </row>
    <row r="702" spans="1:7" x14ac:dyDescent="0.25">
      <c r="A702" s="1">
        <v>45595</v>
      </c>
      <c r="B702">
        <v>272.16000000000003</v>
      </c>
      <c r="C702">
        <v>273.98</v>
      </c>
      <c r="D702">
        <v>273.98</v>
      </c>
      <c r="E702">
        <v>271.82</v>
      </c>
      <c r="F702" t="s">
        <v>77</v>
      </c>
      <c r="G702" s="2">
        <v>-5.1999999999999998E-3</v>
      </c>
    </row>
    <row r="703" spans="1:7" x14ac:dyDescent="0.25">
      <c r="A703" s="1">
        <v>45596</v>
      </c>
      <c r="B703">
        <v>270.64</v>
      </c>
      <c r="C703">
        <v>273.99</v>
      </c>
      <c r="D703">
        <v>273.99</v>
      </c>
      <c r="E703">
        <v>270.39999999999998</v>
      </c>
      <c r="F703" t="s">
        <v>231</v>
      </c>
      <c r="G703" s="2">
        <v>-5.5999999999999999E-3</v>
      </c>
    </row>
    <row r="704" spans="1:7" x14ac:dyDescent="0.25">
      <c r="A704" s="1">
        <v>45597</v>
      </c>
      <c r="B704">
        <v>272.37</v>
      </c>
      <c r="C704">
        <v>271.99</v>
      </c>
      <c r="D704">
        <v>273.5</v>
      </c>
      <c r="E704">
        <v>270.64999999999998</v>
      </c>
      <c r="F704" t="s">
        <v>230</v>
      </c>
      <c r="G704" s="2">
        <v>6.4000000000000003E-3</v>
      </c>
    </row>
    <row r="705" spans="1:7" x14ac:dyDescent="0.25">
      <c r="A705" s="1">
        <v>45600</v>
      </c>
      <c r="B705">
        <v>268.47000000000003</v>
      </c>
      <c r="C705">
        <v>273.99</v>
      </c>
      <c r="D705">
        <v>273.99</v>
      </c>
      <c r="E705">
        <v>266.33</v>
      </c>
      <c r="F705" t="s">
        <v>229</v>
      </c>
      <c r="G705" s="2">
        <v>-1.43E-2</v>
      </c>
    </row>
    <row r="706" spans="1:7" x14ac:dyDescent="0.25">
      <c r="A706" s="1">
        <v>45601</v>
      </c>
      <c r="B706">
        <v>270.79000000000002</v>
      </c>
      <c r="C706">
        <v>268.68</v>
      </c>
      <c r="D706">
        <v>271</v>
      </c>
      <c r="E706">
        <v>266.70999999999998</v>
      </c>
      <c r="F706" t="s">
        <v>228</v>
      </c>
      <c r="G706" s="2">
        <v>8.6E-3</v>
      </c>
    </row>
    <row r="707" spans="1:7" x14ac:dyDescent="0.25">
      <c r="A707" s="1">
        <v>45602</v>
      </c>
      <c r="B707">
        <v>273.91000000000003</v>
      </c>
      <c r="C707">
        <v>272.18</v>
      </c>
      <c r="D707">
        <v>274.39999999999998</v>
      </c>
      <c r="E707">
        <v>270.68</v>
      </c>
      <c r="F707" t="s">
        <v>227</v>
      </c>
      <c r="G707" s="2">
        <v>1.15E-2</v>
      </c>
    </row>
    <row r="708" spans="1:7" x14ac:dyDescent="0.25">
      <c r="A708" s="1">
        <v>45603</v>
      </c>
      <c r="B708">
        <v>270.7</v>
      </c>
      <c r="C708">
        <v>274</v>
      </c>
      <c r="D708">
        <v>274.39</v>
      </c>
      <c r="E708">
        <v>270.41000000000003</v>
      </c>
      <c r="F708" t="s">
        <v>226</v>
      </c>
      <c r="G708" s="2">
        <v>-1.17E-2</v>
      </c>
    </row>
    <row r="709" spans="1:7" x14ac:dyDescent="0.25">
      <c r="A709" s="1">
        <v>45604</v>
      </c>
      <c r="B709">
        <v>270.02999999999997</v>
      </c>
      <c r="C709">
        <v>271.18</v>
      </c>
      <c r="D709">
        <v>271.48</v>
      </c>
      <c r="E709">
        <v>269.17</v>
      </c>
      <c r="F709" t="s">
        <v>177</v>
      </c>
      <c r="G709" s="2">
        <v>-2.5000000000000001E-3</v>
      </c>
    </row>
    <row r="710" spans="1:7" x14ac:dyDescent="0.25">
      <c r="A710" s="1">
        <v>45607</v>
      </c>
      <c r="B710">
        <v>269.95999999999998</v>
      </c>
      <c r="C710">
        <v>272.98</v>
      </c>
      <c r="D710">
        <v>272.98</v>
      </c>
      <c r="E710">
        <v>268.43</v>
      </c>
      <c r="F710" t="s">
        <v>225</v>
      </c>
      <c r="G710" s="2">
        <v>-2.9999999999999997E-4</v>
      </c>
    </row>
    <row r="711" spans="1:7" x14ac:dyDescent="0.25">
      <c r="A711" s="1">
        <v>45608</v>
      </c>
      <c r="B711">
        <v>267.18</v>
      </c>
      <c r="C711">
        <v>272.98</v>
      </c>
      <c r="D711">
        <v>272.99</v>
      </c>
      <c r="E711">
        <v>266.81</v>
      </c>
      <c r="F711" t="s">
        <v>87</v>
      </c>
      <c r="G711" s="2">
        <v>-1.03E-2</v>
      </c>
    </row>
    <row r="712" spans="1:7" x14ac:dyDescent="0.25">
      <c r="A712" s="1">
        <v>45609</v>
      </c>
      <c r="B712">
        <v>263.64</v>
      </c>
      <c r="C712">
        <v>268.98</v>
      </c>
      <c r="D712">
        <v>268.99</v>
      </c>
      <c r="E712">
        <v>263</v>
      </c>
      <c r="F712" t="s">
        <v>224</v>
      </c>
      <c r="G712" s="2">
        <v>-1.32E-2</v>
      </c>
    </row>
    <row r="713" spans="1:7" x14ac:dyDescent="0.25">
      <c r="A713" s="1">
        <v>45610</v>
      </c>
      <c r="B713">
        <v>263.57</v>
      </c>
      <c r="C713">
        <v>265.64999999999998</v>
      </c>
      <c r="D713">
        <v>265.64999999999998</v>
      </c>
      <c r="E713">
        <v>255.75</v>
      </c>
      <c r="F713" t="s">
        <v>223</v>
      </c>
      <c r="G713" s="2">
        <v>-2.9999999999999997E-4</v>
      </c>
    </row>
    <row r="714" spans="1:7" x14ac:dyDescent="0.25">
      <c r="A714" s="1">
        <v>45614</v>
      </c>
      <c r="B714">
        <v>262.47000000000003</v>
      </c>
      <c r="C714">
        <v>264.99</v>
      </c>
      <c r="D714">
        <v>265.08</v>
      </c>
      <c r="E714">
        <v>261.25</v>
      </c>
      <c r="F714" t="s">
        <v>222</v>
      </c>
      <c r="G714" s="2">
        <v>-4.1999999999999997E-3</v>
      </c>
    </row>
    <row r="715" spans="1:7" x14ac:dyDescent="0.25">
      <c r="A715" s="1">
        <v>45615</v>
      </c>
      <c r="B715">
        <v>263.07</v>
      </c>
      <c r="C715">
        <v>264.99</v>
      </c>
      <c r="D715">
        <v>265.99</v>
      </c>
      <c r="E715">
        <v>262.38</v>
      </c>
      <c r="F715" t="s">
        <v>221</v>
      </c>
      <c r="G715" s="2">
        <v>2.3E-3</v>
      </c>
    </row>
    <row r="716" spans="1:7" x14ac:dyDescent="0.25">
      <c r="A716" s="1">
        <v>45617</v>
      </c>
      <c r="B716">
        <v>261.29000000000002</v>
      </c>
      <c r="C716">
        <v>264.95</v>
      </c>
      <c r="D716">
        <v>264.95</v>
      </c>
      <c r="E716">
        <v>260.52</v>
      </c>
      <c r="F716" t="s">
        <v>220</v>
      </c>
      <c r="G716" s="2">
        <v>-6.7999999999999996E-3</v>
      </c>
    </row>
    <row r="717" spans="1:7" x14ac:dyDescent="0.25">
      <c r="A717" s="1">
        <v>45618</v>
      </c>
      <c r="B717">
        <v>266.86</v>
      </c>
      <c r="C717">
        <v>262.99</v>
      </c>
      <c r="D717">
        <v>267.33999999999997</v>
      </c>
      <c r="E717">
        <v>261.06</v>
      </c>
      <c r="F717" t="s">
        <v>219</v>
      </c>
      <c r="G717" s="2">
        <v>2.1299999999999999E-2</v>
      </c>
    </row>
    <row r="718" spans="1:7" x14ac:dyDescent="0.25">
      <c r="A718" s="1">
        <v>45621</v>
      </c>
      <c r="B718">
        <v>270.73</v>
      </c>
      <c r="C718">
        <v>270.99</v>
      </c>
      <c r="D718">
        <v>271.8</v>
      </c>
      <c r="E718">
        <v>269.31</v>
      </c>
      <c r="F718" t="s">
        <v>29</v>
      </c>
      <c r="G718" s="2">
        <v>1.4500000000000001E-2</v>
      </c>
    </row>
    <row r="719" spans="1:7" x14ac:dyDescent="0.25">
      <c r="A719" s="1">
        <v>45622</v>
      </c>
      <c r="B719">
        <v>270.54000000000002</v>
      </c>
      <c r="C719">
        <v>273.99</v>
      </c>
      <c r="D719">
        <v>273.99</v>
      </c>
      <c r="E719">
        <v>269.89999999999998</v>
      </c>
      <c r="F719" t="s">
        <v>63</v>
      </c>
      <c r="G719" s="2">
        <v>-6.9999999999999999E-4</v>
      </c>
    </row>
    <row r="720" spans="1:7" x14ac:dyDescent="0.25">
      <c r="A720" s="1">
        <v>45623</v>
      </c>
      <c r="B720">
        <v>271.54000000000002</v>
      </c>
      <c r="C720">
        <v>272.99</v>
      </c>
      <c r="D720">
        <v>272.99</v>
      </c>
      <c r="E720">
        <v>270</v>
      </c>
      <c r="F720" t="s">
        <v>212</v>
      </c>
      <c r="G720" s="2">
        <v>3.7000000000000002E-3</v>
      </c>
    </row>
    <row r="721" spans="1:7" x14ac:dyDescent="0.25">
      <c r="A721" s="1">
        <v>45624</v>
      </c>
      <c r="B721">
        <v>267.68</v>
      </c>
      <c r="C721">
        <v>273.99</v>
      </c>
      <c r="D721">
        <v>273.99</v>
      </c>
      <c r="E721">
        <v>267.20999999999998</v>
      </c>
      <c r="F721" t="s">
        <v>218</v>
      </c>
      <c r="G721" s="2">
        <v>-1.4200000000000001E-2</v>
      </c>
    </row>
    <row r="722" spans="1:7" x14ac:dyDescent="0.25">
      <c r="A722" s="1">
        <v>45625</v>
      </c>
      <c r="B722">
        <v>269.88</v>
      </c>
      <c r="C722">
        <v>269.99</v>
      </c>
      <c r="D722">
        <v>270.56</v>
      </c>
      <c r="E722">
        <v>267</v>
      </c>
      <c r="F722" t="s">
        <v>217</v>
      </c>
      <c r="G722" s="2">
        <v>8.2000000000000007E-3</v>
      </c>
    </row>
    <row r="723" spans="1:7" x14ac:dyDescent="0.25">
      <c r="A723" s="1">
        <v>45628</v>
      </c>
      <c r="B723">
        <v>271.38</v>
      </c>
      <c r="C723">
        <v>271.99</v>
      </c>
      <c r="D723">
        <v>271.99</v>
      </c>
      <c r="E723">
        <v>267.5</v>
      </c>
      <c r="F723" t="s">
        <v>216</v>
      </c>
      <c r="G723" s="2">
        <v>5.5999999999999999E-3</v>
      </c>
    </row>
    <row r="724" spans="1:7" x14ac:dyDescent="0.25">
      <c r="A724" s="1">
        <v>45629</v>
      </c>
      <c r="B724">
        <v>272.98</v>
      </c>
      <c r="C724">
        <v>271.98</v>
      </c>
      <c r="D724">
        <v>273.2</v>
      </c>
      <c r="E724">
        <v>271.22000000000003</v>
      </c>
      <c r="F724" t="s">
        <v>182</v>
      </c>
      <c r="G724" s="2">
        <v>5.8999999999999999E-3</v>
      </c>
    </row>
    <row r="725" spans="1:7" x14ac:dyDescent="0.25">
      <c r="A725" s="1">
        <v>45630</v>
      </c>
      <c r="B725">
        <v>273.43</v>
      </c>
      <c r="C725">
        <v>273.94</v>
      </c>
      <c r="D725">
        <v>274.10000000000002</v>
      </c>
      <c r="E725">
        <v>272.10000000000002</v>
      </c>
      <c r="F725" t="s">
        <v>215</v>
      </c>
      <c r="G725" s="2">
        <v>1.6000000000000001E-3</v>
      </c>
    </row>
    <row r="726" spans="1:7" x14ac:dyDescent="0.25">
      <c r="A726" s="1">
        <v>45631</v>
      </c>
      <c r="B726">
        <v>275.92</v>
      </c>
      <c r="C726">
        <v>273.45</v>
      </c>
      <c r="D726">
        <v>277.52999999999997</v>
      </c>
      <c r="E726">
        <v>271.8</v>
      </c>
      <c r="F726" t="s">
        <v>214</v>
      </c>
      <c r="G726" s="2">
        <v>9.1000000000000004E-3</v>
      </c>
    </row>
    <row r="727" spans="1:7" x14ac:dyDescent="0.25">
      <c r="A727" s="1">
        <v>45632</v>
      </c>
      <c r="B727">
        <v>275.88</v>
      </c>
      <c r="C727">
        <v>277.99</v>
      </c>
      <c r="D727">
        <v>277.99</v>
      </c>
      <c r="E727">
        <v>275.04000000000002</v>
      </c>
      <c r="F727" t="s">
        <v>213</v>
      </c>
      <c r="G727" s="2">
        <v>-1E-4</v>
      </c>
    </row>
    <row r="728" spans="1:7" x14ac:dyDescent="0.25">
      <c r="A728" s="1">
        <v>45635</v>
      </c>
      <c r="B728">
        <v>275.14</v>
      </c>
      <c r="C728">
        <v>276.99</v>
      </c>
      <c r="D728">
        <v>276.99</v>
      </c>
      <c r="E728">
        <v>274.69</v>
      </c>
      <c r="F728" t="s">
        <v>212</v>
      </c>
      <c r="G728" s="2">
        <v>-2.7000000000000001E-3</v>
      </c>
    </row>
    <row r="729" spans="1:7" x14ac:dyDescent="0.25">
      <c r="A729" s="1">
        <v>45636</v>
      </c>
      <c r="B729">
        <v>274.68</v>
      </c>
      <c r="C729">
        <v>276.77999999999997</v>
      </c>
      <c r="D729">
        <v>276.77999999999997</v>
      </c>
      <c r="E729">
        <v>274.11</v>
      </c>
      <c r="F729" t="s">
        <v>211</v>
      </c>
      <c r="G729" s="2">
        <v>-1.6999999999999999E-3</v>
      </c>
    </row>
    <row r="730" spans="1:7" x14ac:dyDescent="0.25">
      <c r="A730" s="1">
        <v>45637</v>
      </c>
      <c r="B730">
        <v>274.97000000000003</v>
      </c>
      <c r="C730">
        <v>275.99</v>
      </c>
      <c r="D730">
        <v>275.99</v>
      </c>
      <c r="E730">
        <v>273.01</v>
      </c>
      <c r="F730" t="s">
        <v>210</v>
      </c>
      <c r="G730" s="2">
        <v>1.1000000000000001E-3</v>
      </c>
    </row>
    <row r="731" spans="1:7" x14ac:dyDescent="0.25">
      <c r="A731" s="1">
        <v>45638</v>
      </c>
      <c r="B731">
        <v>274.10000000000002</v>
      </c>
      <c r="C731">
        <v>275.99</v>
      </c>
      <c r="D731">
        <v>276.24</v>
      </c>
      <c r="E731">
        <v>273.01</v>
      </c>
      <c r="F731" t="s">
        <v>209</v>
      </c>
      <c r="G731" s="2">
        <v>-3.2000000000000002E-3</v>
      </c>
    </row>
    <row r="732" spans="1:7" x14ac:dyDescent="0.25">
      <c r="A732" s="1">
        <v>45639</v>
      </c>
      <c r="B732">
        <v>276.08</v>
      </c>
      <c r="C732">
        <v>274.88</v>
      </c>
      <c r="D732">
        <v>276.39</v>
      </c>
      <c r="E732">
        <v>269.89999999999998</v>
      </c>
      <c r="F732" t="s">
        <v>208</v>
      </c>
      <c r="G732" s="2">
        <v>7.1999999999999998E-3</v>
      </c>
    </row>
    <row r="733" spans="1:7" x14ac:dyDescent="0.25">
      <c r="A733" s="1">
        <v>45642</v>
      </c>
      <c r="B733">
        <v>275.48</v>
      </c>
      <c r="C733">
        <v>276.89</v>
      </c>
      <c r="D733">
        <v>276.89</v>
      </c>
      <c r="E733">
        <v>274.8</v>
      </c>
      <c r="F733" t="s">
        <v>207</v>
      </c>
      <c r="G733" s="2">
        <v>-2.2000000000000001E-3</v>
      </c>
    </row>
    <row r="734" spans="1:7" x14ac:dyDescent="0.25">
      <c r="A734" s="1">
        <v>45643</v>
      </c>
      <c r="B734">
        <v>272.22000000000003</v>
      </c>
      <c r="C734">
        <v>275.89</v>
      </c>
      <c r="D734">
        <v>275.89</v>
      </c>
      <c r="E734">
        <v>271.8</v>
      </c>
      <c r="F734" t="s">
        <v>206</v>
      </c>
      <c r="G734" s="2">
        <v>-1.18E-2</v>
      </c>
    </row>
    <row r="735" spans="1:7" x14ac:dyDescent="0.25">
      <c r="A735" s="1">
        <v>45644</v>
      </c>
      <c r="B735">
        <v>270.7</v>
      </c>
      <c r="C735">
        <v>271.61</v>
      </c>
      <c r="D735">
        <v>272.99</v>
      </c>
      <c r="E735">
        <v>270.14999999999998</v>
      </c>
      <c r="F735" t="s">
        <v>205</v>
      </c>
      <c r="G735" s="2">
        <v>-5.5999999999999999E-3</v>
      </c>
    </row>
    <row r="736" spans="1:7" x14ac:dyDescent="0.25">
      <c r="A736" s="1">
        <v>45645</v>
      </c>
      <c r="B736">
        <v>268.39</v>
      </c>
      <c r="C736">
        <v>269.99</v>
      </c>
      <c r="D736">
        <v>276.42</v>
      </c>
      <c r="E736">
        <v>266.22000000000003</v>
      </c>
      <c r="F736" t="s">
        <v>204</v>
      </c>
      <c r="G736" s="2">
        <v>-8.5000000000000006E-3</v>
      </c>
    </row>
    <row r="737" spans="1:7" x14ac:dyDescent="0.25">
      <c r="A737" s="1">
        <v>45646</v>
      </c>
      <c r="B737">
        <v>264.14999999999998</v>
      </c>
      <c r="C737">
        <v>267.11</v>
      </c>
      <c r="D737">
        <v>269.32</v>
      </c>
      <c r="E737">
        <v>263.7</v>
      </c>
      <c r="F737" t="s">
        <v>203</v>
      </c>
      <c r="G737" s="2">
        <v>-1.5800000000000002E-2</v>
      </c>
    </row>
    <row r="738" spans="1:7" x14ac:dyDescent="0.25">
      <c r="A738" s="1">
        <v>45649</v>
      </c>
      <c r="B738">
        <v>265.66000000000003</v>
      </c>
      <c r="C738">
        <v>266.99</v>
      </c>
      <c r="D738">
        <v>269</v>
      </c>
      <c r="E738">
        <v>264.55</v>
      </c>
      <c r="F738" t="s">
        <v>202</v>
      </c>
      <c r="G738" s="2">
        <v>5.7000000000000002E-3</v>
      </c>
    </row>
    <row r="739" spans="1:7" x14ac:dyDescent="0.25">
      <c r="A739" s="1">
        <v>45650</v>
      </c>
      <c r="B739">
        <v>265.49</v>
      </c>
      <c r="C739">
        <v>264.62</v>
      </c>
      <c r="D739">
        <v>266.88</v>
      </c>
      <c r="E739">
        <v>264.62</v>
      </c>
      <c r="F739" t="s">
        <v>201</v>
      </c>
      <c r="G739" s="2">
        <v>-5.9999999999999995E-4</v>
      </c>
    </row>
    <row r="740" spans="1:7" x14ac:dyDescent="0.25">
      <c r="A740" s="1">
        <v>45652</v>
      </c>
      <c r="B740">
        <v>265.67</v>
      </c>
      <c r="C740">
        <v>257.55</v>
      </c>
      <c r="D740">
        <v>269.85000000000002</v>
      </c>
      <c r="E740">
        <v>257.55</v>
      </c>
      <c r="F740" t="s">
        <v>201</v>
      </c>
      <c r="G740" s="2">
        <v>6.9999999999999999E-4</v>
      </c>
    </row>
    <row r="741" spans="1:7" x14ac:dyDescent="0.25">
      <c r="A741" s="1">
        <v>45653</v>
      </c>
      <c r="B741">
        <v>266.39</v>
      </c>
      <c r="C741">
        <v>265.05</v>
      </c>
      <c r="D741">
        <v>267.5</v>
      </c>
      <c r="E741">
        <v>265.05</v>
      </c>
      <c r="F741" t="s">
        <v>200</v>
      </c>
      <c r="G741" s="2">
        <v>2.7000000000000001E-3</v>
      </c>
    </row>
    <row r="742" spans="1:7" x14ac:dyDescent="0.25">
      <c r="A742" s="1">
        <v>45656</v>
      </c>
      <c r="B742">
        <v>264.37</v>
      </c>
      <c r="C742">
        <v>267.77</v>
      </c>
      <c r="D742">
        <v>267.77</v>
      </c>
      <c r="E742">
        <v>263.95</v>
      </c>
      <c r="F742" t="s">
        <v>199</v>
      </c>
      <c r="G742" s="2">
        <v>-7.6E-3</v>
      </c>
    </row>
    <row r="743" spans="1:7" x14ac:dyDescent="0.25">
      <c r="A743" s="1">
        <v>45657</v>
      </c>
      <c r="B743">
        <v>264.47000000000003</v>
      </c>
      <c r="C743">
        <v>262.7</v>
      </c>
      <c r="D743">
        <v>265</v>
      </c>
      <c r="E743">
        <v>262.51</v>
      </c>
      <c r="F743" t="s">
        <v>198</v>
      </c>
      <c r="G743" s="2">
        <v>4.0000000000000002E-4</v>
      </c>
    </row>
    <row r="744" spans="1:7" x14ac:dyDescent="0.25">
      <c r="A744" s="1">
        <v>45658</v>
      </c>
      <c r="B744">
        <v>265.58999999999997</v>
      </c>
      <c r="C744">
        <v>264.47000000000003</v>
      </c>
      <c r="D744">
        <v>266.27999999999997</v>
      </c>
      <c r="E744">
        <v>263.5</v>
      </c>
      <c r="F744" t="s">
        <v>197</v>
      </c>
      <c r="G744" s="2">
        <v>4.1999999999999997E-3</v>
      </c>
    </row>
    <row r="745" spans="1:7" x14ac:dyDescent="0.25">
      <c r="A745" s="1">
        <v>45659</v>
      </c>
      <c r="B745">
        <v>269.89</v>
      </c>
      <c r="C745">
        <v>266.99</v>
      </c>
      <c r="D745">
        <v>270.23</v>
      </c>
      <c r="E745">
        <v>265.2</v>
      </c>
      <c r="F745" t="s">
        <v>196</v>
      </c>
      <c r="G745" s="2">
        <v>1.6199999999999999E-2</v>
      </c>
    </row>
    <row r="746" spans="1:7" x14ac:dyDescent="0.25">
      <c r="A746" s="1">
        <v>45660</v>
      </c>
      <c r="B746">
        <v>268.41000000000003</v>
      </c>
      <c r="C746">
        <v>270</v>
      </c>
      <c r="D746">
        <v>270.99</v>
      </c>
      <c r="E746">
        <v>268.06</v>
      </c>
      <c r="F746" t="s">
        <v>195</v>
      </c>
      <c r="G746" s="2">
        <v>-5.4999999999999997E-3</v>
      </c>
    </row>
    <row r="747" spans="1:7" x14ac:dyDescent="0.25">
      <c r="A747" s="1">
        <v>45663</v>
      </c>
      <c r="B747">
        <v>264.48</v>
      </c>
      <c r="C747">
        <v>268.05</v>
      </c>
      <c r="D747">
        <v>269.60000000000002</v>
      </c>
      <c r="E747">
        <v>263.61</v>
      </c>
      <c r="F747" t="s">
        <v>194</v>
      </c>
      <c r="G747" s="2">
        <v>-1.46E-2</v>
      </c>
    </row>
    <row r="748" spans="1:7" x14ac:dyDescent="0.25">
      <c r="A748" s="1">
        <v>45664</v>
      </c>
      <c r="B748">
        <v>265.16000000000003</v>
      </c>
      <c r="C748">
        <v>266.25</v>
      </c>
      <c r="D748">
        <v>266.25</v>
      </c>
      <c r="E748">
        <v>263.70999999999998</v>
      </c>
      <c r="F748" t="s">
        <v>86</v>
      </c>
      <c r="G748" s="2">
        <v>2.5999999999999999E-3</v>
      </c>
    </row>
    <row r="749" spans="1:7" x14ac:dyDescent="0.25">
      <c r="A749" s="1">
        <v>45665</v>
      </c>
      <c r="B749">
        <v>264.92</v>
      </c>
      <c r="C749">
        <v>265.95</v>
      </c>
      <c r="D749">
        <v>266.04000000000002</v>
      </c>
      <c r="E749">
        <v>262.8</v>
      </c>
      <c r="F749" t="s">
        <v>50</v>
      </c>
      <c r="G749" s="2">
        <v>-8.9999999999999998E-4</v>
      </c>
    </row>
    <row r="750" spans="1:7" x14ac:dyDescent="0.25">
      <c r="A750" s="1">
        <v>45666</v>
      </c>
      <c r="B750">
        <v>263.14999999999998</v>
      </c>
      <c r="C750">
        <v>264.75</v>
      </c>
      <c r="D750">
        <v>265.5</v>
      </c>
      <c r="E750">
        <v>262.89999999999998</v>
      </c>
      <c r="F750" t="s">
        <v>193</v>
      </c>
      <c r="G750" s="2">
        <v>-6.7000000000000002E-3</v>
      </c>
    </row>
    <row r="751" spans="1:7" x14ac:dyDescent="0.25">
      <c r="A751" s="1">
        <v>45667</v>
      </c>
      <c r="B751">
        <v>262.22000000000003</v>
      </c>
      <c r="C751">
        <v>263.25</v>
      </c>
      <c r="D751">
        <v>263.87</v>
      </c>
      <c r="E751">
        <v>261.14999999999998</v>
      </c>
      <c r="F751" t="s">
        <v>192</v>
      </c>
      <c r="G751" s="2">
        <v>-3.5000000000000001E-3</v>
      </c>
    </row>
    <row r="752" spans="1:7" x14ac:dyDescent="0.25">
      <c r="A752" s="1">
        <v>45670</v>
      </c>
      <c r="B752">
        <v>258.39999999999998</v>
      </c>
      <c r="C752">
        <v>261.5</v>
      </c>
      <c r="D752">
        <v>261.89999999999998</v>
      </c>
      <c r="E752">
        <v>258.01</v>
      </c>
      <c r="F752" t="s">
        <v>191</v>
      </c>
      <c r="G752" s="2">
        <v>-1.46E-2</v>
      </c>
    </row>
    <row r="753" spans="1:7" x14ac:dyDescent="0.25">
      <c r="A753" s="1">
        <v>45671</v>
      </c>
      <c r="B753">
        <v>259.26</v>
      </c>
      <c r="C753">
        <v>260.95</v>
      </c>
      <c r="D753">
        <v>260.95</v>
      </c>
      <c r="E753">
        <v>258.45</v>
      </c>
      <c r="F753" t="s">
        <v>190</v>
      </c>
      <c r="G753" s="2">
        <v>3.3E-3</v>
      </c>
    </row>
    <row r="754" spans="1:7" x14ac:dyDescent="0.25">
      <c r="A754" s="1">
        <v>45672</v>
      </c>
      <c r="B754">
        <v>259.58</v>
      </c>
      <c r="C754">
        <v>260.25</v>
      </c>
      <c r="D754">
        <v>260.48</v>
      </c>
      <c r="E754">
        <v>258.77</v>
      </c>
      <c r="F754" t="s">
        <v>189</v>
      </c>
      <c r="G754" s="2">
        <v>1.1999999999999999E-3</v>
      </c>
    </row>
    <row r="755" spans="1:7" x14ac:dyDescent="0.25">
      <c r="A755" s="1">
        <v>45673</v>
      </c>
      <c r="B755">
        <v>260.72000000000003</v>
      </c>
      <c r="C755">
        <v>260.95</v>
      </c>
      <c r="D755">
        <v>261.7</v>
      </c>
      <c r="E755">
        <v>260.01</v>
      </c>
      <c r="F755" t="s">
        <v>188</v>
      </c>
      <c r="G755" s="2">
        <v>4.4000000000000003E-3</v>
      </c>
    </row>
    <row r="756" spans="1:7" x14ac:dyDescent="0.25">
      <c r="A756" s="1">
        <v>45674</v>
      </c>
      <c r="B756">
        <v>259.77</v>
      </c>
      <c r="C756">
        <v>260.8</v>
      </c>
      <c r="D756">
        <v>260.8</v>
      </c>
      <c r="E756">
        <v>258.60000000000002</v>
      </c>
      <c r="F756" t="s">
        <v>80</v>
      </c>
      <c r="G756" s="2">
        <v>-3.5999999999999999E-3</v>
      </c>
    </row>
    <row r="757" spans="1:7" x14ac:dyDescent="0.25">
      <c r="A757" s="1">
        <v>45677</v>
      </c>
      <c r="B757">
        <v>261.29000000000002</v>
      </c>
      <c r="C757">
        <v>259.77</v>
      </c>
      <c r="D757">
        <v>261.88</v>
      </c>
      <c r="E757">
        <v>259.41000000000003</v>
      </c>
      <c r="F757" t="s">
        <v>37</v>
      </c>
      <c r="G757" s="2">
        <v>5.8999999999999999E-3</v>
      </c>
    </row>
    <row r="758" spans="1:7" x14ac:dyDescent="0.25">
      <c r="A758" s="1">
        <v>45678</v>
      </c>
      <c r="B758">
        <v>257.91000000000003</v>
      </c>
      <c r="C758">
        <v>262.29000000000002</v>
      </c>
      <c r="D758">
        <v>262.47000000000003</v>
      </c>
      <c r="E758">
        <v>257.33999999999997</v>
      </c>
      <c r="F758" t="s">
        <v>187</v>
      </c>
      <c r="G758" s="2">
        <v>-1.29E-2</v>
      </c>
    </row>
    <row r="759" spans="1:7" x14ac:dyDescent="0.25">
      <c r="A759" s="1">
        <v>45679</v>
      </c>
      <c r="B759">
        <v>258.85000000000002</v>
      </c>
      <c r="C759">
        <v>259.8</v>
      </c>
      <c r="D759">
        <v>259.8</v>
      </c>
      <c r="E759">
        <v>257.18</v>
      </c>
      <c r="F759" t="s">
        <v>34</v>
      </c>
      <c r="G759" s="2">
        <v>3.5999999999999999E-3</v>
      </c>
    </row>
    <row r="760" spans="1:7" x14ac:dyDescent="0.25">
      <c r="A760" s="1">
        <v>45680</v>
      </c>
      <c r="B760">
        <v>259.51</v>
      </c>
      <c r="C760">
        <v>259</v>
      </c>
      <c r="D760">
        <v>260.32</v>
      </c>
      <c r="E760">
        <v>257.68</v>
      </c>
      <c r="F760" t="s">
        <v>186</v>
      </c>
      <c r="G760" s="2">
        <v>2.5000000000000001E-3</v>
      </c>
    </row>
    <row r="761" spans="1:7" x14ac:dyDescent="0.25">
      <c r="A761" s="1">
        <v>45681</v>
      </c>
      <c r="B761">
        <v>258.19</v>
      </c>
      <c r="C761">
        <v>260.3</v>
      </c>
      <c r="D761">
        <v>260.95</v>
      </c>
      <c r="E761">
        <v>257.7</v>
      </c>
      <c r="F761" t="s">
        <v>185</v>
      </c>
      <c r="G761" s="2">
        <v>-5.1000000000000004E-3</v>
      </c>
    </row>
    <row r="762" spans="1:7" x14ac:dyDescent="0.25">
      <c r="A762" s="1">
        <v>45684</v>
      </c>
      <c r="B762">
        <v>255.69</v>
      </c>
      <c r="C762">
        <v>257.49</v>
      </c>
      <c r="D762">
        <v>257.68</v>
      </c>
      <c r="E762">
        <v>255.14</v>
      </c>
      <c r="F762" t="s">
        <v>184</v>
      </c>
      <c r="G762" s="2">
        <v>-9.7000000000000003E-3</v>
      </c>
    </row>
    <row r="763" spans="1:7" x14ac:dyDescent="0.25">
      <c r="A763" s="1">
        <v>45685</v>
      </c>
      <c r="B763">
        <v>257.33</v>
      </c>
      <c r="C763">
        <v>257</v>
      </c>
      <c r="D763">
        <v>259.14</v>
      </c>
      <c r="E763">
        <v>255.95</v>
      </c>
      <c r="F763" t="s">
        <v>183</v>
      </c>
      <c r="G763" s="2">
        <v>6.4000000000000003E-3</v>
      </c>
    </row>
    <row r="764" spans="1:7" x14ac:dyDescent="0.25">
      <c r="A764" s="1">
        <v>45686</v>
      </c>
      <c r="B764">
        <v>259.38</v>
      </c>
      <c r="C764">
        <v>258.5</v>
      </c>
      <c r="D764">
        <v>259.5</v>
      </c>
      <c r="E764">
        <v>257.2</v>
      </c>
      <c r="F764" t="s">
        <v>182</v>
      </c>
      <c r="G764" s="2">
        <v>8.0000000000000002E-3</v>
      </c>
    </row>
    <row r="765" spans="1:7" x14ac:dyDescent="0.25">
      <c r="A765" s="1">
        <v>45687</v>
      </c>
      <c r="B765">
        <v>260.22000000000003</v>
      </c>
      <c r="C765">
        <v>259.05</v>
      </c>
      <c r="D765">
        <v>260.98</v>
      </c>
      <c r="E765">
        <v>259</v>
      </c>
      <c r="F765" t="s">
        <v>181</v>
      </c>
      <c r="G765" s="2">
        <v>3.2000000000000002E-3</v>
      </c>
    </row>
    <row r="766" spans="1:7" x14ac:dyDescent="0.25">
      <c r="A766" s="1">
        <v>45688</v>
      </c>
      <c r="B766">
        <v>263</v>
      </c>
      <c r="C766">
        <v>261</v>
      </c>
      <c r="D766">
        <v>263.17</v>
      </c>
      <c r="E766">
        <v>259.7</v>
      </c>
      <c r="F766" t="s">
        <v>180</v>
      </c>
      <c r="G766" s="2">
        <v>1.0699999999999999E-2</v>
      </c>
    </row>
    <row r="767" spans="1:7" x14ac:dyDescent="0.25">
      <c r="A767" s="1">
        <v>45689</v>
      </c>
      <c r="B767">
        <v>262.13</v>
      </c>
      <c r="C767">
        <v>261.01</v>
      </c>
      <c r="D767">
        <v>264.7</v>
      </c>
      <c r="E767">
        <v>261</v>
      </c>
      <c r="F767" t="s">
        <v>120</v>
      </c>
      <c r="G767" s="2">
        <v>-3.3E-3</v>
      </c>
    </row>
    <row r="768" spans="1:7" x14ac:dyDescent="0.25">
      <c r="A768" s="1">
        <v>45691</v>
      </c>
      <c r="B768">
        <v>261.47000000000003</v>
      </c>
      <c r="C768">
        <v>261.64999999999998</v>
      </c>
      <c r="D768">
        <v>261.64999999999998</v>
      </c>
      <c r="E768">
        <v>260</v>
      </c>
      <c r="F768" t="s">
        <v>179</v>
      </c>
      <c r="G768" s="2">
        <v>-2.5000000000000001E-3</v>
      </c>
    </row>
    <row r="769" spans="1:7" x14ac:dyDescent="0.25">
      <c r="A769" s="1">
        <v>45692</v>
      </c>
      <c r="B769">
        <v>265.05</v>
      </c>
      <c r="C769">
        <v>263</v>
      </c>
      <c r="D769">
        <v>265.22000000000003</v>
      </c>
      <c r="E769">
        <v>261.49</v>
      </c>
      <c r="F769" t="s">
        <v>178</v>
      </c>
      <c r="G769" s="2">
        <v>1.37E-2</v>
      </c>
    </row>
    <row r="770" spans="1:7" x14ac:dyDescent="0.25">
      <c r="A770" s="1">
        <v>45693</v>
      </c>
      <c r="B770">
        <v>265.25</v>
      </c>
      <c r="C770">
        <v>265.95</v>
      </c>
      <c r="D770">
        <v>265.95</v>
      </c>
      <c r="E770">
        <v>265</v>
      </c>
      <c r="F770" t="s">
        <v>177</v>
      </c>
      <c r="G770" s="2">
        <v>8.0000000000000004E-4</v>
      </c>
    </row>
    <row r="771" spans="1:7" x14ac:dyDescent="0.25">
      <c r="A771" s="1">
        <v>45694</v>
      </c>
      <c r="B771">
        <v>264.37</v>
      </c>
      <c r="C771">
        <v>265.2</v>
      </c>
      <c r="D771">
        <v>267.99</v>
      </c>
      <c r="E771">
        <v>263.85000000000002</v>
      </c>
      <c r="F771" t="s">
        <v>82</v>
      </c>
      <c r="G771" s="2">
        <v>-3.3E-3</v>
      </c>
    </row>
    <row r="772" spans="1:7" x14ac:dyDescent="0.25">
      <c r="A772" s="1">
        <v>45695</v>
      </c>
      <c r="B772">
        <v>263.75</v>
      </c>
      <c r="C772">
        <v>265.5</v>
      </c>
      <c r="D772">
        <v>265.5</v>
      </c>
      <c r="E772">
        <v>262.60000000000002</v>
      </c>
      <c r="F772" t="s">
        <v>176</v>
      </c>
      <c r="G772" s="2">
        <v>-2.3E-3</v>
      </c>
    </row>
    <row r="773" spans="1:7" x14ac:dyDescent="0.25">
      <c r="A773" s="1">
        <v>45698</v>
      </c>
      <c r="B773">
        <v>261.89999999999998</v>
      </c>
      <c r="C773">
        <v>265.99</v>
      </c>
      <c r="D773">
        <v>265.99</v>
      </c>
      <c r="E773">
        <v>261.2</v>
      </c>
      <c r="F773" t="s">
        <v>76</v>
      </c>
      <c r="G773" s="2">
        <v>-7.0000000000000001E-3</v>
      </c>
    </row>
    <row r="774" spans="1:7" x14ac:dyDescent="0.25">
      <c r="A774" s="1">
        <v>45699</v>
      </c>
      <c r="B774">
        <v>258.55</v>
      </c>
      <c r="C774">
        <v>262.99</v>
      </c>
      <c r="D774">
        <v>262.99</v>
      </c>
      <c r="E774">
        <v>257.52</v>
      </c>
      <c r="F774" t="s">
        <v>175</v>
      </c>
      <c r="G774" s="2">
        <v>-1.2800000000000001E-2</v>
      </c>
    </row>
    <row r="775" spans="1:7" x14ac:dyDescent="0.25">
      <c r="A775" s="1">
        <v>45700</v>
      </c>
      <c r="B775">
        <v>258.27</v>
      </c>
      <c r="C775">
        <v>259.75</v>
      </c>
      <c r="D775">
        <v>259.75</v>
      </c>
      <c r="E775">
        <v>255.6</v>
      </c>
      <c r="F775" t="s">
        <v>94</v>
      </c>
      <c r="G775" s="2">
        <v>-1.1000000000000001E-3</v>
      </c>
    </row>
    <row r="776" spans="1:7" x14ac:dyDescent="0.25">
      <c r="A776" s="1">
        <v>45701</v>
      </c>
      <c r="B776">
        <v>258.17</v>
      </c>
      <c r="C776">
        <v>259.99</v>
      </c>
      <c r="D776">
        <v>260.49</v>
      </c>
      <c r="E776">
        <v>257.73</v>
      </c>
      <c r="F776" t="s">
        <v>174</v>
      </c>
      <c r="G776" s="2">
        <v>-4.0000000000000002E-4</v>
      </c>
    </row>
    <row r="777" spans="1:7" x14ac:dyDescent="0.25">
      <c r="A777" s="1">
        <v>45702</v>
      </c>
      <c r="B777">
        <v>256.95</v>
      </c>
      <c r="C777">
        <v>259.99</v>
      </c>
      <c r="D777">
        <v>259.99</v>
      </c>
      <c r="E777">
        <v>255.35</v>
      </c>
      <c r="F777" t="s">
        <v>102</v>
      </c>
      <c r="G777" s="2">
        <v>-4.7000000000000002E-3</v>
      </c>
    </row>
    <row r="778" spans="1:7" x14ac:dyDescent="0.25">
      <c r="A778" s="1">
        <v>45705</v>
      </c>
      <c r="B778">
        <v>257.11</v>
      </c>
      <c r="C778">
        <v>257.95</v>
      </c>
      <c r="D778">
        <v>257.95</v>
      </c>
      <c r="E778">
        <v>255.01</v>
      </c>
      <c r="F778" t="s">
        <v>173</v>
      </c>
      <c r="G778" s="2">
        <v>5.9999999999999995E-4</v>
      </c>
    </row>
    <row r="779" spans="1:7" x14ac:dyDescent="0.25">
      <c r="A779" s="1">
        <v>45706</v>
      </c>
      <c r="B779">
        <v>256.83999999999997</v>
      </c>
      <c r="C779">
        <v>256.27999999999997</v>
      </c>
      <c r="D779">
        <v>257.7</v>
      </c>
      <c r="E779">
        <v>255.4</v>
      </c>
      <c r="F779" t="s">
        <v>172</v>
      </c>
      <c r="G779" s="2">
        <v>-1.1000000000000001E-3</v>
      </c>
    </row>
    <row r="780" spans="1:7" x14ac:dyDescent="0.25">
      <c r="A780" s="1">
        <v>45707</v>
      </c>
      <c r="B780">
        <v>256.89</v>
      </c>
      <c r="C780">
        <v>257.99</v>
      </c>
      <c r="D780">
        <v>258.44</v>
      </c>
      <c r="E780">
        <v>255.62</v>
      </c>
      <c r="F780" t="s">
        <v>89</v>
      </c>
      <c r="G780" s="2">
        <v>2.0000000000000001E-4</v>
      </c>
    </row>
    <row r="781" spans="1:7" x14ac:dyDescent="0.25">
      <c r="A781" s="1">
        <v>45708</v>
      </c>
      <c r="B781">
        <v>256.85000000000002</v>
      </c>
      <c r="C781">
        <v>257.99</v>
      </c>
      <c r="D781">
        <v>257.99</v>
      </c>
      <c r="E781">
        <v>255.75</v>
      </c>
      <c r="F781" t="s">
        <v>171</v>
      </c>
      <c r="G781" s="2">
        <v>-2.0000000000000001E-4</v>
      </c>
    </row>
    <row r="782" spans="1:7" x14ac:dyDescent="0.25">
      <c r="A782" s="1">
        <v>45709</v>
      </c>
      <c r="B782">
        <v>255.53</v>
      </c>
      <c r="C782">
        <v>257.99</v>
      </c>
      <c r="D782">
        <v>257.99</v>
      </c>
      <c r="E782">
        <v>254.8</v>
      </c>
      <c r="F782" t="s">
        <v>170</v>
      </c>
      <c r="G782" s="2">
        <v>-5.1000000000000004E-3</v>
      </c>
    </row>
    <row r="783" spans="1:7" x14ac:dyDescent="0.25">
      <c r="A783" s="1">
        <v>45712</v>
      </c>
      <c r="B783">
        <v>252.87</v>
      </c>
      <c r="C783">
        <v>255.2</v>
      </c>
      <c r="D783">
        <v>255.2</v>
      </c>
      <c r="E783">
        <v>252.5</v>
      </c>
      <c r="F783" t="s">
        <v>169</v>
      </c>
      <c r="G783" s="2">
        <v>-1.04E-2</v>
      </c>
    </row>
    <row r="784" spans="1:7" x14ac:dyDescent="0.25">
      <c r="A784" s="1">
        <v>45713</v>
      </c>
      <c r="B784">
        <v>252.75</v>
      </c>
      <c r="C784">
        <v>252.98</v>
      </c>
      <c r="D784">
        <v>253.58</v>
      </c>
      <c r="E784">
        <v>252.31</v>
      </c>
      <c r="F784" t="s">
        <v>168</v>
      </c>
      <c r="G784" s="2">
        <v>-5.0000000000000001E-4</v>
      </c>
    </row>
    <row r="785" spans="1:7" x14ac:dyDescent="0.25">
      <c r="A785" s="1">
        <v>45715</v>
      </c>
      <c r="B785">
        <v>252.56</v>
      </c>
      <c r="C785">
        <v>253.8</v>
      </c>
      <c r="D785">
        <v>253.8</v>
      </c>
      <c r="E785">
        <v>252.06</v>
      </c>
      <c r="F785" t="s">
        <v>78</v>
      </c>
      <c r="G785" s="2">
        <v>-8.0000000000000004E-4</v>
      </c>
    </row>
    <row r="786" spans="1:7" x14ac:dyDescent="0.25">
      <c r="A786" s="1">
        <v>45716</v>
      </c>
      <c r="B786">
        <v>248.45</v>
      </c>
      <c r="C786">
        <v>252.95</v>
      </c>
      <c r="D786">
        <v>252.95</v>
      </c>
      <c r="E786">
        <v>248.08</v>
      </c>
      <c r="F786" t="s">
        <v>167</v>
      </c>
      <c r="G786" s="2">
        <v>-1.6299999999999999E-2</v>
      </c>
    </row>
    <row r="787" spans="1:7" x14ac:dyDescent="0.25">
      <c r="A787" s="1">
        <v>45719</v>
      </c>
      <c r="B787">
        <v>248.05</v>
      </c>
      <c r="C787">
        <v>255.9</v>
      </c>
      <c r="D787">
        <v>255.9</v>
      </c>
      <c r="E787">
        <v>246.64</v>
      </c>
      <c r="F787" t="s">
        <v>166</v>
      </c>
      <c r="G787" s="2">
        <v>-1.6000000000000001E-3</v>
      </c>
    </row>
    <row r="788" spans="1:7" x14ac:dyDescent="0.25">
      <c r="A788" s="1">
        <v>45720</v>
      </c>
      <c r="B788">
        <v>247.49</v>
      </c>
      <c r="C788">
        <v>247.74</v>
      </c>
      <c r="D788">
        <v>247.78</v>
      </c>
      <c r="E788">
        <v>246.08</v>
      </c>
      <c r="F788" t="s">
        <v>129</v>
      </c>
      <c r="G788" s="2">
        <v>-2.3E-3</v>
      </c>
    </row>
    <row r="789" spans="1:7" x14ac:dyDescent="0.25">
      <c r="A789" s="1">
        <v>45721</v>
      </c>
      <c r="B789">
        <v>250.48</v>
      </c>
      <c r="C789">
        <v>248.7</v>
      </c>
      <c r="D789">
        <v>251</v>
      </c>
      <c r="E789">
        <v>246.3</v>
      </c>
      <c r="F789" t="s">
        <v>165</v>
      </c>
      <c r="G789" s="2">
        <v>1.21E-2</v>
      </c>
    </row>
    <row r="790" spans="1:7" x14ac:dyDescent="0.25">
      <c r="A790" s="1">
        <v>45722</v>
      </c>
      <c r="B790">
        <v>252.75</v>
      </c>
      <c r="C790">
        <v>252.9</v>
      </c>
      <c r="D790">
        <v>252.9</v>
      </c>
      <c r="E790">
        <v>249.43</v>
      </c>
      <c r="F790" t="s">
        <v>164</v>
      </c>
      <c r="G790" s="2">
        <v>9.1000000000000004E-3</v>
      </c>
    </row>
    <row r="791" spans="1:7" x14ac:dyDescent="0.25">
      <c r="A791" s="1">
        <v>45723</v>
      </c>
      <c r="B791">
        <v>252.84</v>
      </c>
      <c r="C791">
        <v>252.7</v>
      </c>
      <c r="D791">
        <v>253.74</v>
      </c>
      <c r="E791">
        <v>251.7</v>
      </c>
      <c r="F791" t="s">
        <v>163</v>
      </c>
      <c r="G791" s="2">
        <v>4.0000000000000002E-4</v>
      </c>
    </row>
    <row r="792" spans="1:7" x14ac:dyDescent="0.25">
      <c r="A792" s="1">
        <v>45726</v>
      </c>
      <c r="B792">
        <v>251.75</v>
      </c>
      <c r="C792">
        <v>252</v>
      </c>
      <c r="D792">
        <v>254.95</v>
      </c>
      <c r="E792">
        <v>251.4</v>
      </c>
      <c r="F792" t="s">
        <v>162</v>
      </c>
      <c r="G792" s="2">
        <v>-4.3E-3</v>
      </c>
    </row>
    <row r="793" spans="1:7" x14ac:dyDescent="0.25">
      <c r="A793" s="1">
        <v>45727</v>
      </c>
      <c r="B793">
        <v>252.08</v>
      </c>
      <c r="C793">
        <v>251.99</v>
      </c>
      <c r="D793">
        <v>252.4</v>
      </c>
      <c r="E793">
        <v>249.91</v>
      </c>
      <c r="F793" t="s">
        <v>90</v>
      </c>
      <c r="G793" s="2">
        <v>1.2999999999999999E-3</v>
      </c>
    </row>
    <row r="794" spans="1:7" x14ac:dyDescent="0.25">
      <c r="A794" s="1">
        <v>45728</v>
      </c>
      <c r="B794">
        <v>251.74</v>
      </c>
      <c r="C794">
        <v>253.99</v>
      </c>
      <c r="D794">
        <v>253.99</v>
      </c>
      <c r="E794">
        <v>250.35</v>
      </c>
      <c r="F794" t="s">
        <v>161</v>
      </c>
      <c r="G794" s="2">
        <v>-1.2999999999999999E-3</v>
      </c>
    </row>
    <row r="795" spans="1:7" x14ac:dyDescent="0.25">
      <c r="A795" s="1">
        <v>45729</v>
      </c>
      <c r="B795">
        <v>251.06</v>
      </c>
      <c r="C795">
        <v>252.9</v>
      </c>
      <c r="D795">
        <v>252.9</v>
      </c>
      <c r="E795">
        <v>250.8</v>
      </c>
      <c r="F795" t="s">
        <v>160</v>
      </c>
      <c r="G795" s="2">
        <v>-2.7000000000000001E-3</v>
      </c>
    </row>
    <row r="796" spans="1:7" x14ac:dyDescent="0.25">
      <c r="A796" s="1">
        <v>45733</v>
      </c>
      <c r="B796">
        <v>252.18</v>
      </c>
      <c r="C796">
        <v>251.06</v>
      </c>
      <c r="D796">
        <v>253</v>
      </c>
      <c r="E796">
        <v>250.1</v>
      </c>
      <c r="F796" t="s">
        <v>153</v>
      </c>
      <c r="G796" s="2">
        <v>4.4999999999999997E-3</v>
      </c>
    </row>
    <row r="797" spans="1:7" x14ac:dyDescent="0.25">
      <c r="A797" s="1">
        <v>45734</v>
      </c>
      <c r="B797">
        <v>255.82</v>
      </c>
      <c r="C797">
        <v>254.89</v>
      </c>
      <c r="D797">
        <v>256</v>
      </c>
      <c r="E797">
        <v>252.66</v>
      </c>
      <c r="F797" t="s">
        <v>159</v>
      </c>
      <c r="G797" s="2">
        <v>1.44E-2</v>
      </c>
    </row>
    <row r="798" spans="1:7" x14ac:dyDescent="0.25">
      <c r="A798" s="1">
        <v>45735</v>
      </c>
      <c r="B798">
        <v>256.7</v>
      </c>
      <c r="C798">
        <v>256.8</v>
      </c>
      <c r="D798">
        <v>256.94</v>
      </c>
      <c r="E798">
        <v>255.48</v>
      </c>
      <c r="F798" t="s">
        <v>153</v>
      </c>
      <c r="G798" s="2">
        <v>3.3999999999999998E-3</v>
      </c>
    </row>
    <row r="799" spans="1:7" x14ac:dyDescent="0.25">
      <c r="A799" s="1">
        <v>45736</v>
      </c>
      <c r="B799">
        <v>259.32</v>
      </c>
      <c r="C799">
        <v>258.99</v>
      </c>
      <c r="D799">
        <v>259.60000000000002</v>
      </c>
      <c r="E799">
        <v>256.7</v>
      </c>
      <c r="F799" t="s">
        <v>158</v>
      </c>
      <c r="G799" s="2">
        <v>1.0200000000000001E-2</v>
      </c>
    </row>
    <row r="800" spans="1:7" x14ac:dyDescent="0.25">
      <c r="A800" s="1">
        <v>45737</v>
      </c>
      <c r="B800">
        <v>261.08999999999997</v>
      </c>
      <c r="C800">
        <v>260</v>
      </c>
      <c r="D800">
        <v>261.58999999999997</v>
      </c>
      <c r="E800">
        <v>258.58</v>
      </c>
      <c r="F800" t="s">
        <v>157</v>
      </c>
      <c r="G800" s="2">
        <v>6.7999999999999996E-3</v>
      </c>
    </row>
    <row r="801" spans="1:7" x14ac:dyDescent="0.25">
      <c r="A801" s="1">
        <v>45740</v>
      </c>
      <c r="B801">
        <v>264.89999999999998</v>
      </c>
      <c r="C801">
        <v>261.62</v>
      </c>
      <c r="D801">
        <v>265.31</v>
      </c>
      <c r="E801">
        <v>261.01</v>
      </c>
      <c r="F801" t="s">
        <v>156</v>
      </c>
      <c r="G801" s="2">
        <v>1.46E-2</v>
      </c>
    </row>
    <row r="802" spans="1:7" x14ac:dyDescent="0.25">
      <c r="A802" s="1">
        <v>45741</v>
      </c>
      <c r="B802">
        <v>264.73</v>
      </c>
      <c r="C802">
        <v>266.5</v>
      </c>
      <c r="D802">
        <v>266.82</v>
      </c>
      <c r="E802">
        <v>256.95</v>
      </c>
      <c r="F802" t="s">
        <v>155</v>
      </c>
      <c r="G802" s="2">
        <v>-5.9999999999999995E-4</v>
      </c>
    </row>
    <row r="803" spans="1:7" x14ac:dyDescent="0.25">
      <c r="A803" s="1">
        <v>45742</v>
      </c>
      <c r="B803">
        <v>262.89999999999998</v>
      </c>
      <c r="C803">
        <v>264.10000000000002</v>
      </c>
      <c r="D803">
        <v>265.5</v>
      </c>
      <c r="E803">
        <v>262.52</v>
      </c>
      <c r="F803" t="s">
        <v>154</v>
      </c>
      <c r="G803" s="2">
        <v>-6.8999999999999999E-3</v>
      </c>
    </row>
    <row r="804" spans="1:7" x14ac:dyDescent="0.25">
      <c r="A804" s="1">
        <v>45743</v>
      </c>
      <c r="B804">
        <v>263.73</v>
      </c>
      <c r="C804">
        <v>263.27999999999997</v>
      </c>
      <c r="D804">
        <v>264.27</v>
      </c>
      <c r="E804">
        <v>262.10000000000002</v>
      </c>
      <c r="F804" t="s">
        <v>153</v>
      </c>
      <c r="G804" s="2">
        <v>3.2000000000000002E-3</v>
      </c>
    </row>
    <row r="805" spans="1:7" x14ac:dyDescent="0.25">
      <c r="A805" s="1">
        <v>45744</v>
      </c>
      <c r="B805">
        <v>263.20999999999998</v>
      </c>
      <c r="C805">
        <v>263.52999999999997</v>
      </c>
      <c r="D805">
        <v>264.48</v>
      </c>
      <c r="E805">
        <v>262.51</v>
      </c>
      <c r="F805" t="s">
        <v>152</v>
      </c>
      <c r="G805" s="2">
        <v>-2E-3</v>
      </c>
    </row>
    <row r="806" spans="1:7" x14ac:dyDescent="0.25">
      <c r="A806" s="1">
        <v>45748</v>
      </c>
      <c r="B806">
        <v>259.60000000000002</v>
      </c>
      <c r="C806">
        <v>262.38</v>
      </c>
      <c r="D806">
        <v>263.67</v>
      </c>
      <c r="E806">
        <v>259.38</v>
      </c>
      <c r="F806" t="s">
        <v>151</v>
      </c>
      <c r="G806" s="2">
        <v>-1.37E-2</v>
      </c>
    </row>
    <row r="807" spans="1:7" x14ac:dyDescent="0.25">
      <c r="A807" s="1">
        <v>45749</v>
      </c>
      <c r="B807">
        <v>261.64</v>
      </c>
      <c r="C807">
        <v>260.7</v>
      </c>
      <c r="D807">
        <v>261.85000000000002</v>
      </c>
      <c r="E807">
        <v>259.11</v>
      </c>
      <c r="F807" t="s">
        <v>150</v>
      </c>
      <c r="G807" s="2">
        <v>7.9000000000000008E-3</v>
      </c>
    </row>
    <row r="808" spans="1:7" x14ac:dyDescent="0.25">
      <c r="A808" s="1">
        <v>45750</v>
      </c>
      <c r="B808">
        <v>260.45999999999998</v>
      </c>
      <c r="C808">
        <v>260.89999999999998</v>
      </c>
      <c r="D808">
        <v>261.10000000000002</v>
      </c>
      <c r="E808">
        <v>259.02999999999997</v>
      </c>
      <c r="F808" t="s">
        <v>149</v>
      </c>
      <c r="G808" s="2">
        <v>-4.4999999999999997E-3</v>
      </c>
    </row>
    <row r="809" spans="1:7" x14ac:dyDescent="0.25">
      <c r="A809" s="1">
        <v>45751</v>
      </c>
      <c r="B809">
        <v>257.16000000000003</v>
      </c>
      <c r="C809">
        <v>260.48</v>
      </c>
      <c r="D809">
        <v>260.58</v>
      </c>
      <c r="E809">
        <v>256.48</v>
      </c>
      <c r="F809" t="s">
        <v>148</v>
      </c>
      <c r="G809" s="2">
        <v>-1.2699999999999999E-2</v>
      </c>
    </row>
    <row r="810" spans="1:7" x14ac:dyDescent="0.25">
      <c r="A810" s="1">
        <v>45754</v>
      </c>
      <c r="B810">
        <v>249.1</v>
      </c>
      <c r="C810">
        <v>264.85000000000002</v>
      </c>
      <c r="D810">
        <v>264.85000000000002</v>
      </c>
      <c r="E810">
        <v>231.3</v>
      </c>
      <c r="F810" t="s">
        <v>147</v>
      </c>
      <c r="G810" s="2">
        <v>-3.1300000000000001E-2</v>
      </c>
    </row>
    <row r="811" spans="1:7" x14ac:dyDescent="0.25">
      <c r="A811" s="1">
        <v>45755</v>
      </c>
      <c r="B811">
        <v>252.72</v>
      </c>
      <c r="C811">
        <v>256.55</v>
      </c>
      <c r="D811">
        <v>256.55</v>
      </c>
      <c r="E811">
        <v>249.76</v>
      </c>
      <c r="F811" t="s">
        <v>146</v>
      </c>
      <c r="G811" s="2">
        <v>1.4500000000000001E-2</v>
      </c>
    </row>
    <row r="812" spans="1:7" x14ac:dyDescent="0.25">
      <c r="A812" s="1">
        <v>45756</v>
      </c>
      <c r="B812">
        <v>251.03</v>
      </c>
      <c r="C812">
        <v>251.72</v>
      </c>
      <c r="D812">
        <v>252.68</v>
      </c>
      <c r="E812">
        <v>250.62</v>
      </c>
      <c r="F812" t="s">
        <v>145</v>
      </c>
      <c r="G812" s="2">
        <v>-6.7000000000000002E-3</v>
      </c>
    </row>
    <row r="813" spans="1:7" x14ac:dyDescent="0.25">
      <c r="A813" s="1">
        <v>45758</v>
      </c>
      <c r="B813">
        <v>255.97</v>
      </c>
      <c r="C813">
        <v>255.99</v>
      </c>
      <c r="D813">
        <v>256.89999999999998</v>
      </c>
      <c r="E813">
        <v>251.23</v>
      </c>
      <c r="F813" t="s">
        <v>144</v>
      </c>
      <c r="G813" s="2">
        <v>1.9699999999999999E-2</v>
      </c>
    </row>
    <row r="814" spans="1:7" x14ac:dyDescent="0.25">
      <c r="A814" s="1">
        <v>45762</v>
      </c>
      <c r="B814">
        <v>260.87</v>
      </c>
      <c r="C814">
        <v>260</v>
      </c>
      <c r="D814">
        <v>262.88</v>
      </c>
      <c r="E814">
        <v>258.3</v>
      </c>
      <c r="F814" t="s">
        <v>143</v>
      </c>
      <c r="G814" s="2">
        <v>1.9099999999999999E-2</v>
      </c>
    </row>
    <row r="815" spans="1:7" x14ac:dyDescent="0.25">
      <c r="A815" s="1">
        <v>45763</v>
      </c>
      <c r="B815">
        <v>261.91000000000003</v>
      </c>
      <c r="C815">
        <v>263.99</v>
      </c>
      <c r="D815">
        <v>263.99</v>
      </c>
      <c r="E815">
        <v>260.02999999999997</v>
      </c>
      <c r="F815" t="s">
        <v>142</v>
      </c>
      <c r="G815" s="2">
        <v>4.0000000000000001E-3</v>
      </c>
    </row>
    <row r="816" spans="1:7" x14ac:dyDescent="0.25">
      <c r="A816" s="1">
        <v>45764</v>
      </c>
      <c r="B816">
        <v>266.54000000000002</v>
      </c>
      <c r="C816">
        <v>262.94</v>
      </c>
      <c r="D816">
        <v>266.79000000000002</v>
      </c>
      <c r="E816">
        <v>260.60000000000002</v>
      </c>
      <c r="F816" t="s">
        <v>141</v>
      </c>
      <c r="G816" s="2">
        <v>1.77E-2</v>
      </c>
    </row>
    <row r="817" spans="1:7" x14ac:dyDescent="0.25">
      <c r="A817" s="1">
        <v>45768</v>
      </c>
      <c r="B817">
        <v>269.7</v>
      </c>
      <c r="C817">
        <v>265.3</v>
      </c>
      <c r="D817">
        <v>270.48</v>
      </c>
      <c r="E817">
        <v>265.01</v>
      </c>
      <c r="F817" t="s">
        <v>140</v>
      </c>
      <c r="G817" s="2">
        <v>1.1900000000000001E-2</v>
      </c>
    </row>
    <row r="818" spans="1:7" x14ac:dyDescent="0.25">
      <c r="A818" s="1">
        <v>45769</v>
      </c>
      <c r="B818">
        <v>270.05</v>
      </c>
      <c r="C818">
        <v>270.11</v>
      </c>
      <c r="D818">
        <v>270.95</v>
      </c>
      <c r="E818">
        <v>269</v>
      </c>
      <c r="F818" t="s">
        <v>139</v>
      </c>
      <c r="G818" s="2">
        <v>1.2999999999999999E-3</v>
      </c>
    </row>
    <row r="819" spans="1:7" x14ac:dyDescent="0.25">
      <c r="A819" s="1">
        <v>45770</v>
      </c>
      <c r="B819">
        <v>271.82</v>
      </c>
      <c r="C819">
        <v>272.89</v>
      </c>
      <c r="D819">
        <v>272.89</v>
      </c>
      <c r="E819">
        <v>269.5</v>
      </c>
      <c r="F819" t="s">
        <v>138</v>
      </c>
      <c r="G819" s="2">
        <v>6.6E-3</v>
      </c>
    </row>
    <row r="820" spans="1:7" x14ac:dyDescent="0.25">
      <c r="A820" s="1">
        <v>45771</v>
      </c>
      <c r="B820">
        <v>270.95</v>
      </c>
      <c r="C820">
        <v>271.77999999999997</v>
      </c>
      <c r="D820">
        <v>272.08999999999997</v>
      </c>
      <c r="E820">
        <v>270.68</v>
      </c>
      <c r="F820" t="s">
        <v>137</v>
      </c>
      <c r="G820" s="2">
        <v>-3.2000000000000002E-3</v>
      </c>
    </row>
    <row r="821" spans="1:7" x14ac:dyDescent="0.25">
      <c r="A821" s="1">
        <v>45772</v>
      </c>
      <c r="B821">
        <v>268.63</v>
      </c>
      <c r="C821">
        <v>271.85000000000002</v>
      </c>
      <c r="D821">
        <v>272.3</v>
      </c>
      <c r="E821">
        <v>266.70999999999998</v>
      </c>
      <c r="F821" t="s">
        <v>136</v>
      </c>
      <c r="G821" s="2">
        <v>-8.6E-3</v>
      </c>
    </row>
    <row r="822" spans="1:7" x14ac:dyDescent="0.25">
      <c r="A822" s="1">
        <v>45775</v>
      </c>
      <c r="B822">
        <v>271.89999999999998</v>
      </c>
      <c r="C822">
        <v>269.89</v>
      </c>
      <c r="D822">
        <v>272.3</v>
      </c>
      <c r="E822">
        <v>268</v>
      </c>
      <c r="F822" t="s">
        <v>135</v>
      </c>
      <c r="G822" s="2">
        <v>1.2200000000000001E-2</v>
      </c>
    </row>
    <row r="823" spans="1:7" x14ac:dyDescent="0.25">
      <c r="A823" s="1">
        <v>45776</v>
      </c>
      <c r="B823">
        <v>271.91000000000003</v>
      </c>
      <c r="C823">
        <v>273.89</v>
      </c>
      <c r="D823">
        <v>273.89</v>
      </c>
      <c r="E823">
        <v>270.89999999999998</v>
      </c>
      <c r="F823" t="s">
        <v>134</v>
      </c>
      <c r="G823" s="2">
        <v>0</v>
      </c>
    </row>
    <row r="824" spans="1:7" x14ac:dyDescent="0.25">
      <c r="A824" s="1">
        <v>45777</v>
      </c>
      <c r="B824">
        <v>271.99</v>
      </c>
      <c r="C824">
        <v>277.08999999999997</v>
      </c>
      <c r="D824">
        <v>277.08999999999997</v>
      </c>
      <c r="E824">
        <v>271.02999999999997</v>
      </c>
      <c r="F824" t="s">
        <v>133</v>
      </c>
      <c r="G824" s="2">
        <v>2.9999999999999997E-4</v>
      </c>
    </row>
    <row r="825" spans="1:7" x14ac:dyDescent="0.25">
      <c r="A825" s="1">
        <v>45779</v>
      </c>
      <c r="B825">
        <v>272.05</v>
      </c>
      <c r="C825">
        <v>274</v>
      </c>
      <c r="D825">
        <v>275.12</v>
      </c>
      <c r="E825">
        <v>270.88</v>
      </c>
      <c r="F825" t="s">
        <v>132</v>
      </c>
      <c r="G825" s="2">
        <v>2.0000000000000001E-4</v>
      </c>
    </row>
    <row r="826" spans="1:7" x14ac:dyDescent="0.25">
      <c r="A826" s="1">
        <v>45782</v>
      </c>
      <c r="B826">
        <v>274.39</v>
      </c>
      <c r="C826">
        <v>272.05</v>
      </c>
      <c r="D826">
        <v>274.55</v>
      </c>
      <c r="E826">
        <v>271.31</v>
      </c>
      <c r="F826" t="s">
        <v>131</v>
      </c>
      <c r="G826" s="2">
        <v>8.6E-3</v>
      </c>
    </row>
    <row r="827" spans="1:7" x14ac:dyDescent="0.25">
      <c r="A827" s="1">
        <v>45783</v>
      </c>
      <c r="B827">
        <v>272.60000000000002</v>
      </c>
      <c r="C827">
        <v>274.89999999999998</v>
      </c>
      <c r="D827">
        <v>274.89999999999998</v>
      </c>
      <c r="E827">
        <v>272.17</v>
      </c>
      <c r="F827" t="s">
        <v>130</v>
      </c>
      <c r="G827" s="2">
        <v>-6.4999999999999997E-3</v>
      </c>
    </row>
    <row r="828" spans="1:7" x14ac:dyDescent="0.25">
      <c r="A828" s="1">
        <v>45784</v>
      </c>
      <c r="B828">
        <v>272.79000000000002</v>
      </c>
      <c r="C828">
        <v>271.89999999999998</v>
      </c>
      <c r="D828">
        <v>273.58999999999997</v>
      </c>
      <c r="E828">
        <v>269.39</v>
      </c>
      <c r="F828" t="s">
        <v>129</v>
      </c>
      <c r="G828" s="2">
        <v>6.9999999999999999E-4</v>
      </c>
    </row>
    <row r="829" spans="1:7" x14ac:dyDescent="0.25">
      <c r="A829" s="1">
        <v>45785</v>
      </c>
      <c r="B829">
        <v>271.04000000000002</v>
      </c>
      <c r="C829">
        <v>273.7</v>
      </c>
      <c r="D829">
        <v>273.7</v>
      </c>
      <c r="E829">
        <v>270</v>
      </c>
      <c r="F829" t="s">
        <v>128</v>
      </c>
      <c r="G829" s="2">
        <v>-6.4000000000000003E-3</v>
      </c>
    </row>
    <row r="830" spans="1:7" x14ac:dyDescent="0.25">
      <c r="A830" s="1">
        <v>45786</v>
      </c>
      <c r="B830">
        <v>268.49</v>
      </c>
      <c r="C830">
        <v>269.5</v>
      </c>
      <c r="D830">
        <v>270.08999999999997</v>
      </c>
      <c r="E830">
        <v>266.16000000000003</v>
      </c>
      <c r="F830" t="s">
        <v>127</v>
      </c>
      <c r="G830" s="2">
        <v>-9.4000000000000004E-3</v>
      </c>
    </row>
    <row r="831" spans="1:7" x14ac:dyDescent="0.25">
      <c r="A831" s="1">
        <v>45789</v>
      </c>
      <c r="B831">
        <v>278.94</v>
      </c>
      <c r="C831">
        <v>272.49</v>
      </c>
      <c r="D831">
        <v>279.49</v>
      </c>
      <c r="E831">
        <v>270.89</v>
      </c>
      <c r="F831" t="s">
        <v>126</v>
      </c>
      <c r="G831" s="2">
        <v>3.8899999999999997E-2</v>
      </c>
    </row>
    <row r="832" spans="1:7" x14ac:dyDescent="0.25">
      <c r="A832" s="1">
        <v>45790</v>
      </c>
      <c r="B832">
        <v>275.64999999999998</v>
      </c>
      <c r="C832">
        <v>278.75</v>
      </c>
      <c r="D832">
        <v>281.25</v>
      </c>
      <c r="E832">
        <v>275.3</v>
      </c>
      <c r="F832" t="s">
        <v>125</v>
      </c>
      <c r="G832" s="2">
        <v>-1.18E-2</v>
      </c>
    </row>
    <row r="833" spans="1:7" x14ac:dyDescent="0.25">
      <c r="A833" s="1">
        <v>45791</v>
      </c>
      <c r="B833">
        <v>276.57</v>
      </c>
      <c r="C833">
        <v>276.89999999999998</v>
      </c>
      <c r="D833">
        <v>277.27</v>
      </c>
      <c r="E833">
        <v>274.7</v>
      </c>
      <c r="F833" t="s">
        <v>124</v>
      </c>
      <c r="G833" s="2">
        <v>3.3E-3</v>
      </c>
    </row>
    <row r="834" spans="1:7" x14ac:dyDescent="0.25">
      <c r="A834" s="1">
        <v>45792</v>
      </c>
      <c r="B834">
        <v>280.17</v>
      </c>
      <c r="C834">
        <v>276.89999999999998</v>
      </c>
      <c r="D834">
        <v>280.76</v>
      </c>
      <c r="E834">
        <v>274.7</v>
      </c>
      <c r="F834" t="s">
        <v>123</v>
      </c>
      <c r="G834" s="2">
        <v>1.2999999999999999E-2</v>
      </c>
    </row>
    <row r="835" spans="1:7" x14ac:dyDescent="0.25">
      <c r="A835" s="1">
        <v>45793</v>
      </c>
      <c r="B835">
        <v>280.20999999999998</v>
      </c>
      <c r="C835">
        <v>280.99</v>
      </c>
      <c r="D835">
        <v>280.99</v>
      </c>
      <c r="E835">
        <v>278.38</v>
      </c>
      <c r="F835" t="s">
        <v>70</v>
      </c>
      <c r="G835" s="2">
        <v>1E-4</v>
      </c>
    </row>
    <row r="836" spans="1:7" x14ac:dyDescent="0.25">
      <c r="A836" s="1">
        <v>45796</v>
      </c>
      <c r="B836">
        <v>279.20999999999998</v>
      </c>
      <c r="C836">
        <v>280.05</v>
      </c>
      <c r="D836">
        <v>281.33999999999997</v>
      </c>
      <c r="E836">
        <v>279</v>
      </c>
      <c r="F836" t="s">
        <v>108</v>
      </c>
      <c r="G836" s="2">
        <v>-3.5999999999999999E-3</v>
      </c>
    </row>
    <row r="837" spans="1:7" x14ac:dyDescent="0.25">
      <c r="A837" s="1">
        <v>45797</v>
      </c>
      <c r="B837">
        <v>276.89</v>
      </c>
      <c r="C837">
        <v>280.89</v>
      </c>
      <c r="D837">
        <v>280.89</v>
      </c>
      <c r="E837">
        <v>276.62</v>
      </c>
      <c r="F837" t="s">
        <v>122</v>
      </c>
      <c r="G837" s="2">
        <v>-8.3000000000000001E-3</v>
      </c>
    </row>
    <row r="838" spans="1:7" x14ac:dyDescent="0.25">
      <c r="A838" s="1">
        <v>45798</v>
      </c>
      <c r="B838">
        <v>277.55</v>
      </c>
      <c r="C838">
        <v>276.89</v>
      </c>
      <c r="D838">
        <v>279.14</v>
      </c>
      <c r="E838">
        <v>276.39999999999998</v>
      </c>
      <c r="F838" t="s">
        <v>121</v>
      </c>
      <c r="G838" s="2">
        <v>2.3999999999999998E-3</v>
      </c>
    </row>
    <row r="839" spans="1:7" x14ac:dyDescent="0.25">
      <c r="A839" s="1">
        <v>45799</v>
      </c>
      <c r="B839">
        <v>275.91000000000003</v>
      </c>
      <c r="C839">
        <v>277.89999999999998</v>
      </c>
      <c r="D839">
        <v>277.89999999999998</v>
      </c>
      <c r="E839">
        <v>274.37</v>
      </c>
      <c r="F839" t="s">
        <v>120</v>
      </c>
      <c r="G839" s="2">
        <v>-5.8999999999999999E-3</v>
      </c>
    </row>
    <row r="840" spans="1:7" x14ac:dyDescent="0.25">
      <c r="A840" s="1">
        <v>45800</v>
      </c>
      <c r="B840">
        <v>278.37</v>
      </c>
      <c r="C840">
        <v>282</v>
      </c>
      <c r="D840">
        <v>284.19</v>
      </c>
      <c r="E840">
        <v>274.98</v>
      </c>
      <c r="F840" t="s">
        <v>119</v>
      </c>
      <c r="G840" s="2">
        <v>8.8999999999999999E-3</v>
      </c>
    </row>
    <row r="841" spans="1:7" x14ac:dyDescent="0.25">
      <c r="A841" s="1">
        <v>45803</v>
      </c>
      <c r="B841">
        <v>279.89</v>
      </c>
      <c r="C841">
        <v>276.51</v>
      </c>
      <c r="D841">
        <v>280.95</v>
      </c>
      <c r="E841">
        <v>276.51</v>
      </c>
      <c r="F841" t="s">
        <v>118</v>
      </c>
      <c r="G841" s="2">
        <v>5.4999999999999997E-3</v>
      </c>
    </row>
    <row r="842" spans="1:7" x14ac:dyDescent="0.25">
      <c r="A842" s="1">
        <v>45804</v>
      </c>
      <c r="B842">
        <v>278.25</v>
      </c>
      <c r="C842">
        <v>279.89</v>
      </c>
      <c r="D842">
        <v>280.89</v>
      </c>
      <c r="E842">
        <v>276.89999999999998</v>
      </c>
      <c r="F842" t="s">
        <v>117</v>
      </c>
      <c r="G842" s="2">
        <v>-5.8999999999999999E-3</v>
      </c>
    </row>
    <row r="843" spans="1:7" x14ac:dyDescent="0.25">
      <c r="A843" s="1">
        <v>45805</v>
      </c>
      <c r="B843">
        <v>277.69</v>
      </c>
      <c r="C843">
        <v>278</v>
      </c>
      <c r="D843">
        <v>279.99</v>
      </c>
      <c r="E843">
        <v>277.12</v>
      </c>
      <c r="F843" t="s">
        <v>116</v>
      </c>
      <c r="G843" s="2">
        <v>-2E-3</v>
      </c>
    </row>
    <row r="844" spans="1:7" x14ac:dyDescent="0.25">
      <c r="A844" s="1">
        <v>45806</v>
      </c>
      <c r="B844">
        <v>278.54000000000002</v>
      </c>
      <c r="C844">
        <v>278.77999999999997</v>
      </c>
      <c r="D844">
        <v>279.08999999999997</v>
      </c>
      <c r="E844">
        <v>277.02</v>
      </c>
      <c r="F844" t="s">
        <v>115</v>
      </c>
      <c r="G844" s="2">
        <v>3.0999999999999999E-3</v>
      </c>
    </row>
    <row r="845" spans="1:7" x14ac:dyDescent="0.25">
      <c r="A845" s="1">
        <v>45807</v>
      </c>
      <c r="B845">
        <v>277.97000000000003</v>
      </c>
      <c r="C845">
        <v>279.89</v>
      </c>
      <c r="D845">
        <v>279.89</v>
      </c>
      <c r="E845">
        <v>277.70999999999998</v>
      </c>
      <c r="F845" t="s">
        <v>114</v>
      </c>
      <c r="G845" s="2">
        <v>-2E-3</v>
      </c>
    </row>
    <row r="846" spans="1:7" x14ac:dyDescent="0.25">
      <c r="A846" s="1">
        <v>45810</v>
      </c>
      <c r="B846">
        <v>277.60000000000002</v>
      </c>
      <c r="C846">
        <v>276</v>
      </c>
      <c r="D846">
        <v>278.38</v>
      </c>
      <c r="E846">
        <v>275</v>
      </c>
      <c r="F846" t="s">
        <v>113</v>
      </c>
      <c r="G846" s="2">
        <v>-1.2999999999999999E-3</v>
      </c>
    </row>
    <row r="847" spans="1:7" x14ac:dyDescent="0.25">
      <c r="A847" s="1">
        <v>45811</v>
      </c>
      <c r="B847">
        <v>275.77</v>
      </c>
      <c r="C847">
        <v>278</v>
      </c>
      <c r="D847">
        <v>278.60000000000002</v>
      </c>
      <c r="E847">
        <v>275.41000000000003</v>
      </c>
      <c r="F847" t="s">
        <v>112</v>
      </c>
      <c r="G847" s="2">
        <v>-6.6E-3</v>
      </c>
    </row>
    <row r="848" spans="1:7" x14ac:dyDescent="0.25">
      <c r="A848" s="1">
        <v>45812</v>
      </c>
      <c r="B848">
        <v>276.45999999999998</v>
      </c>
      <c r="C848">
        <v>276.5</v>
      </c>
      <c r="D848">
        <v>276.89</v>
      </c>
      <c r="E848">
        <v>275.14999999999998</v>
      </c>
      <c r="F848" t="s">
        <v>111</v>
      </c>
      <c r="G848" s="2">
        <v>2.5000000000000001E-3</v>
      </c>
    </row>
    <row r="849" spans="1:7" x14ac:dyDescent="0.25">
      <c r="A849" s="1">
        <v>45813</v>
      </c>
      <c r="B849">
        <v>278.05</v>
      </c>
      <c r="C849">
        <v>277.89999999999998</v>
      </c>
      <c r="D849">
        <v>279.33999999999997</v>
      </c>
      <c r="E849">
        <v>276.37</v>
      </c>
      <c r="F849" t="s">
        <v>110</v>
      </c>
      <c r="G849" s="2">
        <v>5.7999999999999996E-3</v>
      </c>
    </row>
    <row r="850" spans="1:7" x14ac:dyDescent="0.25">
      <c r="A850" s="1">
        <v>45814</v>
      </c>
      <c r="B850">
        <v>280.5</v>
      </c>
      <c r="C850">
        <v>278.89999999999998</v>
      </c>
      <c r="D850">
        <v>280.85000000000002</v>
      </c>
      <c r="E850">
        <v>277</v>
      </c>
      <c r="F850" t="s">
        <v>109</v>
      </c>
      <c r="G850" s="2">
        <v>8.8000000000000005E-3</v>
      </c>
    </row>
    <row r="851" spans="1:7" x14ac:dyDescent="0.25">
      <c r="A851" s="1">
        <v>45817</v>
      </c>
      <c r="B851">
        <v>281.35000000000002</v>
      </c>
      <c r="C851">
        <v>281.05</v>
      </c>
      <c r="D851">
        <v>282.89</v>
      </c>
      <c r="E851">
        <v>281.05</v>
      </c>
      <c r="F851" t="s">
        <v>108</v>
      </c>
      <c r="G851" s="2">
        <v>3.0000000000000001E-3</v>
      </c>
    </row>
    <row r="852" spans="1:7" x14ac:dyDescent="0.25">
      <c r="A852" s="1">
        <v>45818</v>
      </c>
      <c r="B852">
        <v>281.39</v>
      </c>
      <c r="C852">
        <v>282.2</v>
      </c>
      <c r="D852">
        <v>282.8</v>
      </c>
      <c r="E852">
        <v>281</v>
      </c>
      <c r="F852" t="s">
        <v>107</v>
      </c>
      <c r="G852" s="2">
        <v>1E-4</v>
      </c>
    </row>
    <row r="853" spans="1:7" x14ac:dyDescent="0.25">
      <c r="A853" s="1">
        <v>45819</v>
      </c>
      <c r="B853">
        <v>281.87</v>
      </c>
      <c r="C853">
        <v>281.75</v>
      </c>
      <c r="D853">
        <v>282.8</v>
      </c>
      <c r="E853">
        <v>280.5</v>
      </c>
      <c r="F853" t="s">
        <v>106</v>
      </c>
      <c r="G853" s="2">
        <v>1.6999999999999999E-3</v>
      </c>
    </row>
    <row r="854" spans="1:7" x14ac:dyDescent="0.25">
      <c r="A854" s="1">
        <v>45820</v>
      </c>
      <c r="B854">
        <v>278.95</v>
      </c>
      <c r="C854">
        <v>282</v>
      </c>
      <c r="D854">
        <v>282.75</v>
      </c>
      <c r="E854">
        <v>278.43</v>
      </c>
      <c r="F854" t="s">
        <v>105</v>
      </c>
      <c r="G854" s="2">
        <v>-1.04E-2</v>
      </c>
    </row>
    <row r="855" spans="1:7" x14ac:dyDescent="0.25">
      <c r="A855" s="1">
        <v>45821</v>
      </c>
      <c r="B855">
        <v>277.10000000000002</v>
      </c>
      <c r="C855">
        <v>276</v>
      </c>
      <c r="D855">
        <v>277.5</v>
      </c>
      <c r="E855">
        <v>274.08</v>
      </c>
      <c r="F855" t="s">
        <v>104</v>
      </c>
      <c r="G855" s="2">
        <v>-6.6E-3</v>
      </c>
    </row>
    <row r="856" spans="1:7" x14ac:dyDescent="0.25">
      <c r="A856" s="1">
        <v>45824</v>
      </c>
      <c r="B856">
        <v>279.7</v>
      </c>
      <c r="C856">
        <v>279.39</v>
      </c>
      <c r="D856">
        <v>279.97000000000003</v>
      </c>
      <c r="E856">
        <v>276.01</v>
      </c>
      <c r="F856" t="s">
        <v>103</v>
      </c>
      <c r="G856" s="2">
        <v>9.4000000000000004E-3</v>
      </c>
    </row>
    <row r="857" spans="1:7" x14ac:dyDescent="0.25">
      <c r="A857" s="1">
        <v>45825</v>
      </c>
      <c r="B857">
        <v>278.58999999999997</v>
      </c>
      <c r="C857">
        <v>281.49</v>
      </c>
      <c r="D857">
        <v>281.49</v>
      </c>
      <c r="E857">
        <v>278.20999999999998</v>
      </c>
      <c r="F857" t="s">
        <v>102</v>
      </c>
      <c r="G857" s="2">
        <v>-4.0000000000000001E-3</v>
      </c>
    </row>
    <row r="858" spans="1:7" x14ac:dyDescent="0.25">
      <c r="A858" s="1">
        <v>45826</v>
      </c>
      <c r="B858">
        <v>278.24</v>
      </c>
      <c r="C858">
        <v>279.89</v>
      </c>
      <c r="D858">
        <v>279.89</v>
      </c>
      <c r="E858">
        <v>277.38</v>
      </c>
      <c r="F858" t="s">
        <v>101</v>
      </c>
      <c r="G858" s="2">
        <v>-1.2999999999999999E-3</v>
      </c>
    </row>
    <row r="859" spans="1:7" x14ac:dyDescent="0.25">
      <c r="A859" s="1">
        <v>45827</v>
      </c>
      <c r="B859">
        <v>277.91000000000003</v>
      </c>
      <c r="C859">
        <v>278.5</v>
      </c>
      <c r="D859">
        <v>279.89</v>
      </c>
      <c r="E859">
        <v>271.27999999999997</v>
      </c>
      <c r="F859" t="s">
        <v>100</v>
      </c>
      <c r="G859" s="2">
        <v>-1.1999999999999999E-3</v>
      </c>
    </row>
    <row r="860" spans="1:7" x14ac:dyDescent="0.25">
      <c r="A860" s="1">
        <v>45828</v>
      </c>
      <c r="B860">
        <v>281.5</v>
      </c>
      <c r="C860">
        <v>276.51</v>
      </c>
      <c r="D860">
        <v>281.8</v>
      </c>
      <c r="E860">
        <v>276.49</v>
      </c>
      <c r="F860" t="s">
        <v>99</v>
      </c>
      <c r="G860" s="2">
        <v>1.29E-2</v>
      </c>
    </row>
    <row r="861" spans="1:7" x14ac:dyDescent="0.25">
      <c r="A861" s="1">
        <v>45831</v>
      </c>
      <c r="B861">
        <v>280.86</v>
      </c>
      <c r="C861">
        <v>280.89999999999998</v>
      </c>
      <c r="D861">
        <v>281.52999999999997</v>
      </c>
      <c r="E861">
        <v>278.5</v>
      </c>
      <c r="F861" t="s">
        <v>98</v>
      </c>
      <c r="G861" s="2">
        <v>-2.3E-3</v>
      </c>
    </row>
    <row r="862" spans="1:7" x14ac:dyDescent="0.25">
      <c r="A862" s="1">
        <v>45832</v>
      </c>
      <c r="B862">
        <v>281.43</v>
      </c>
      <c r="C862">
        <v>283.89999999999998</v>
      </c>
      <c r="D862">
        <v>284.24</v>
      </c>
      <c r="E862">
        <v>281.17</v>
      </c>
      <c r="F862" t="s">
        <v>97</v>
      </c>
      <c r="G862" s="2">
        <v>2E-3</v>
      </c>
    </row>
    <row r="863" spans="1:7" x14ac:dyDescent="0.25">
      <c r="A863" s="1">
        <v>45833</v>
      </c>
      <c r="B863">
        <v>283.41000000000003</v>
      </c>
      <c r="C863">
        <v>282</v>
      </c>
      <c r="D863">
        <v>283.77999999999997</v>
      </c>
      <c r="E863">
        <v>281.70999999999998</v>
      </c>
      <c r="F863" t="s">
        <v>80</v>
      </c>
      <c r="G863" s="2">
        <v>7.0000000000000001E-3</v>
      </c>
    </row>
    <row r="864" spans="1:7" x14ac:dyDescent="0.25">
      <c r="A864" s="1">
        <v>45834</v>
      </c>
      <c r="B864">
        <v>286.39</v>
      </c>
      <c r="C864">
        <v>283.39999999999998</v>
      </c>
      <c r="D864">
        <v>286.58</v>
      </c>
      <c r="E864">
        <v>282.11</v>
      </c>
      <c r="F864" t="s">
        <v>96</v>
      </c>
      <c r="G864" s="2">
        <v>1.0500000000000001E-2</v>
      </c>
    </row>
    <row r="865" spans="1:7" x14ac:dyDescent="0.25">
      <c r="A865" s="1">
        <v>45835</v>
      </c>
      <c r="B865">
        <v>287.95999999999998</v>
      </c>
      <c r="C865">
        <v>287</v>
      </c>
      <c r="D865">
        <v>288.27999999999997</v>
      </c>
      <c r="E865">
        <v>286.44</v>
      </c>
      <c r="F865" t="s">
        <v>95</v>
      </c>
      <c r="G865" s="2">
        <v>5.4999999999999997E-3</v>
      </c>
    </row>
    <row r="866" spans="1:7" x14ac:dyDescent="0.25">
      <c r="A866" s="1">
        <v>45838</v>
      </c>
      <c r="B866">
        <v>286.51</v>
      </c>
      <c r="C866">
        <v>287.8</v>
      </c>
      <c r="D866">
        <v>289.39</v>
      </c>
      <c r="E866">
        <v>286.11</v>
      </c>
      <c r="F866" t="s">
        <v>94</v>
      </c>
      <c r="G866" s="2">
        <v>-5.0000000000000001E-3</v>
      </c>
    </row>
    <row r="867" spans="1:7" x14ac:dyDescent="0.25">
      <c r="A867" s="1">
        <v>45839</v>
      </c>
      <c r="B867">
        <v>286.83999999999997</v>
      </c>
      <c r="C867">
        <v>287.88</v>
      </c>
      <c r="D867">
        <v>287.89</v>
      </c>
      <c r="E867">
        <v>286.31</v>
      </c>
      <c r="F867" t="s">
        <v>93</v>
      </c>
      <c r="G867" s="2">
        <v>1.1999999999999999E-3</v>
      </c>
    </row>
    <row r="868" spans="1:7" x14ac:dyDescent="0.25">
      <c r="A868" s="1">
        <v>45840</v>
      </c>
      <c r="B868">
        <v>285.77999999999997</v>
      </c>
      <c r="C868">
        <v>287.89</v>
      </c>
      <c r="D868">
        <v>287.89</v>
      </c>
      <c r="E868">
        <v>285.2</v>
      </c>
      <c r="F868" t="s">
        <v>92</v>
      </c>
      <c r="G868" s="2">
        <v>-3.7000000000000002E-3</v>
      </c>
    </row>
    <row r="869" spans="1:7" x14ac:dyDescent="0.25">
      <c r="A869" s="1">
        <v>45841</v>
      </c>
      <c r="B869">
        <v>285.39</v>
      </c>
      <c r="C869">
        <v>286.89</v>
      </c>
      <c r="D869">
        <v>287.26</v>
      </c>
      <c r="E869">
        <v>285.16000000000003</v>
      </c>
      <c r="F869" t="s">
        <v>91</v>
      </c>
      <c r="G869" s="2">
        <v>-1.4E-3</v>
      </c>
    </row>
    <row r="870" spans="1:7" x14ac:dyDescent="0.25">
      <c r="A870" s="1">
        <v>45842</v>
      </c>
      <c r="B870">
        <v>286.11</v>
      </c>
      <c r="C870">
        <v>287.89</v>
      </c>
      <c r="D870">
        <v>287.89</v>
      </c>
      <c r="E870">
        <v>283.01</v>
      </c>
      <c r="F870" t="s">
        <v>90</v>
      </c>
      <c r="G870" s="2">
        <v>2.5000000000000001E-3</v>
      </c>
    </row>
    <row r="871" spans="1:7" x14ac:dyDescent="0.25">
      <c r="A871" s="1">
        <v>45845</v>
      </c>
      <c r="B871">
        <v>286.07</v>
      </c>
      <c r="C871">
        <v>287.79000000000002</v>
      </c>
      <c r="D871">
        <v>287.79000000000002</v>
      </c>
      <c r="E871">
        <v>284.01</v>
      </c>
      <c r="F871" t="s">
        <v>89</v>
      </c>
      <c r="G871" s="2">
        <v>-1E-4</v>
      </c>
    </row>
    <row r="872" spans="1:7" x14ac:dyDescent="0.25">
      <c r="A872" s="1">
        <v>45846</v>
      </c>
      <c r="B872">
        <v>286.91000000000003</v>
      </c>
      <c r="C872">
        <v>285.89999999999998</v>
      </c>
      <c r="D872">
        <v>287.19</v>
      </c>
      <c r="E872">
        <v>285.3</v>
      </c>
      <c r="F872" t="s">
        <v>88</v>
      </c>
      <c r="G872" s="2">
        <v>2.8999999999999998E-3</v>
      </c>
    </row>
    <row r="873" spans="1:7" x14ac:dyDescent="0.25">
      <c r="A873" s="1">
        <v>45847</v>
      </c>
      <c r="B873">
        <v>286.5</v>
      </c>
      <c r="C873">
        <v>286.11</v>
      </c>
      <c r="D873">
        <v>287.69</v>
      </c>
      <c r="E873">
        <v>286</v>
      </c>
      <c r="F873" t="s">
        <v>67</v>
      </c>
      <c r="G873" s="2">
        <v>-1.4E-3</v>
      </c>
    </row>
    <row r="874" spans="1:7" x14ac:dyDescent="0.25">
      <c r="A874" s="1">
        <v>45848</v>
      </c>
      <c r="B874">
        <v>285.16000000000003</v>
      </c>
      <c r="C874">
        <v>285.3</v>
      </c>
      <c r="D874">
        <v>287.69</v>
      </c>
      <c r="E874">
        <v>285</v>
      </c>
      <c r="F874" t="s">
        <v>47</v>
      </c>
      <c r="G874" s="2">
        <v>-4.7000000000000002E-3</v>
      </c>
    </row>
    <row r="875" spans="1:7" x14ac:dyDescent="0.25">
      <c r="A875" s="1">
        <v>45849</v>
      </c>
      <c r="B875">
        <v>283.11</v>
      </c>
      <c r="C875">
        <v>285.39</v>
      </c>
      <c r="D875">
        <v>285.39</v>
      </c>
      <c r="E875">
        <v>282.5</v>
      </c>
      <c r="F875" t="s">
        <v>87</v>
      </c>
      <c r="G875" s="2">
        <v>-7.1999999999999998E-3</v>
      </c>
    </row>
    <row r="876" spans="1:7" x14ac:dyDescent="0.25">
      <c r="A876" s="1">
        <v>45852</v>
      </c>
      <c r="B876">
        <v>282.70999999999998</v>
      </c>
      <c r="C876">
        <v>284.39</v>
      </c>
      <c r="D876">
        <v>284.39</v>
      </c>
      <c r="E876">
        <v>281.69</v>
      </c>
      <c r="F876" t="s">
        <v>86</v>
      </c>
      <c r="G876" s="2">
        <v>-1.4E-3</v>
      </c>
    </row>
    <row r="877" spans="1:7" x14ac:dyDescent="0.25">
      <c r="A877" s="1">
        <v>45853</v>
      </c>
      <c r="B877">
        <v>283.69</v>
      </c>
      <c r="C877">
        <v>283.49</v>
      </c>
      <c r="D877">
        <v>284.38</v>
      </c>
      <c r="E877">
        <v>282.10000000000002</v>
      </c>
      <c r="F877" t="s">
        <v>85</v>
      </c>
      <c r="G877" s="2">
        <v>3.5000000000000001E-3</v>
      </c>
    </row>
    <row r="878" spans="1:7" x14ac:dyDescent="0.25">
      <c r="A878" s="1">
        <v>45854</v>
      </c>
      <c r="B878">
        <v>283.64</v>
      </c>
      <c r="C878">
        <v>283.8</v>
      </c>
      <c r="D878">
        <v>284.39</v>
      </c>
      <c r="E878">
        <v>282.8</v>
      </c>
      <c r="F878" t="s">
        <v>84</v>
      </c>
      <c r="G878" s="2">
        <v>-2.0000000000000001E-4</v>
      </c>
    </row>
    <row r="879" spans="1:7" x14ac:dyDescent="0.25">
      <c r="A879" s="1">
        <v>45855</v>
      </c>
      <c r="B879">
        <v>282.83</v>
      </c>
      <c r="C879">
        <v>284.99</v>
      </c>
      <c r="D879">
        <v>284.99</v>
      </c>
      <c r="E879">
        <v>282.61</v>
      </c>
      <c r="F879" t="s">
        <v>83</v>
      </c>
      <c r="G879" s="2">
        <v>-2.8999999999999998E-3</v>
      </c>
    </row>
    <row r="880" spans="1:7" x14ac:dyDescent="0.25">
      <c r="A880" s="1">
        <v>45856</v>
      </c>
      <c r="B880">
        <v>281.43</v>
      </c>
      <c r="C880">
        <v>283.5</v>
      </c>
      <c r="D880">
        <v>283.69</v>
      </c>
      <c r="E880">
        <v>281</v>
      </c>
      <c r="F880" t="s">
        <v>70</v>
      </c>
      <c r="G880" s="2">
        <v>-4.8999999999999998E-3</v>
      </c>
    </row>
    <row r="881" spans="1:7" x14ac:dyDescent="0.25">
      <c r="A881" s="1">
        <v>45859</v>
      </c>
      <c r="B881">
        <v>282.26</v>
      </c>
      <c r="C881">
        <v>282.79000000000002</v>
      </c>
      <c r="D881">
        <v>282.79000000000002</v>
      </c>
      <c r="E881">
        <v>280.35000000000002</v>
      </c>
      <c r="F881" t="s">
        <v>32</v>
      </c>
      <c r="G881" s="2">
        <v>2.8999999999999998E-3</v>
      </c>
    </row>
    <row r="882" spans="1:7" x14ac:dyDescent="0.25">
      <c r="A882" s="1">
        <v>45860</v>
      </c>
      <c r="B882">
        <v>282.07</v>
      </c>
      <c r="C882">
        <v>283.89</v>
      </c>
      <c r="D882">
        <v>283.89</v>
      </c>
      <c r="E882">
        <v>281.3</v>
      </c>
      <c r="F882" t="s">
        <v>82</v>
      </c>
      <c r="G882" s="2">
        <v>-6.9999999999999999E-4</v>
      </c>
    </row>
    <row r="883" spans="1:7" x14ac:dyDescent="0.25">
      <c r="A883" s="1">
        <v>45861</v>
      </c>
      <c r="B883">
        <v>283.52999999999997</v>
      </c>
      <c r="C883">
        <v>283.69</v>
      </c>
      <c r="D883">
        <v>283.7</v>
      </c>
      <c r="E883">
        <v>281.3</v>
      </c>
      <c r="F883" t="s">
        <v>81</v>
      </c>
      <c r="G883" s="2">
        <v>5.1999999999999998E-3</v>
      </c>
    </row>
    <row r="884" spans="1:7" x14ac:dyDescent="0.25">
      <c r="A884" s="1">
        <v>45862</v>
      </c>
      <c r="B884">
        <v>282.10000000000002</v>
      </c>
      <c r="C884">
        <v>284.49</v>
      </c>
      <c r="D884">
        <v>284.49</v>
      </c>
      <c r="E884">
        <v>281.54000000000002</v>
      </c>
      <c r="F884" t="s">
        <v>80</v>
      </c>
      <c r="G884" s="2">
        <v>-5.0000000000000001E-3</v>
      </c>
    </row>
    <row r="885" spans="1:7" x14ac:dyDescent="0.25">
      <c r="A885" s="1">
        <v>45863</v>
      </c>
      <c r="B885">
        <v>280.02999999999997</v>
      </c>
      <c r="C885">
        <v>282.10000000000002</v>
      </c>
      <c r="D885">
        <v>282.19</v>
      </c>
      <c r="E885">
        <v>279.85000000000002</v>
      </c>
      <c r="F885" t="s">
        <v>79</v>
      </c>
      <c r="G885" s="2">
        <v>-7.3000000000000001E-3</v>
      </c>
    </row>
    <row r="886" spans="1:7" x14ac:dyDescent="0.25">
      <c r="A886" s="1">
        <v>45866</v>
      </c>
      <c r="B886">
        <v>278.49</v>
      </c>
      <c r="C886">
        <v>280.49</v>
      </c>
      <c r="D886">
        <v>280.62</v>
      </c>
      <c r="E886">
        <v>278.13</v>
      </c>
      <c r="F886" t="s">
        <v>78</v>
      </c>
      <c r="G886" s="2">
        <v>-5.4999999999999997E-3</v>
      </c>
    </row>
    <row r="887" spans="1:7" x14ac:dyDescent="0.25">
      <c r="A887" s="1">
        <v>45867</v>
      </c>
      <c r="B887">
        <v>280.08999999999997</v>
      </c>
      <c r="C887">
        <v>286.83999999999997</v>
      </c>
      <c r="D887">
        <v>286.83999999999997</v>
      </c>
      <c r="E887">
        <v>277.41000000000003</v>
      </c>
      <c r="F887" t="s">
        <v>77</v>
      </c>
      <c r="G887" s="2">
        <v>5.7000000000000002E-3</v>
      </c>
    </row>
    <row r="888" spans="1:7" x14ac:dyDescent="0.25">
      <c r="A888" s="1">
        <v>45868</v>
      </c>
      <c r="B888">
        <v>280.13</v>
      </c>
      <c r="C888">
        <v>281.89</v>
      </c>
      <c r="D888">
        <v>281.89</v>
      </c>
      <c r="E888">
        <v>278.45999999999998</v>
      </c>
      <c r="F888" t="s">
        <v>42</v>
      </c>
      <c r="G888" s="2">
        <v>1E-4</v>
      </c>
    </row>
    <row r="889" spans="1:7" x14ac:dyDescent="0.25">
      <c r="A889" s="1">
        <v>45869</v>
      </c>
      <c r="B889">
        <v>279.26</v>
      </c>
      <c r="C889">
        <v>279.89999999999998</v>
      </c>
      <c r="D889">
        <v>281.39</v>
      </c>
      <c r="E889">
        <v>277.33</v>
      </c>
      <c r="F889" t="s">
        <v>76</v>
      </c>
      <c r="G889" s="2">
        <v>-3.0999999999999999E-3</v>
      </c>
    </row>
    <row r="890" spans="1:7" x14ac:dyDescent="0.25">
      <c r="A890" s="1">
        <v>45870</v>
      </c>
      <c r="B890">
        <v>277.35000000000002</v>
      </c>
      <c r="C890">
        <v>280.99</v>
      </c>
      <c r="D890">
        <v>280.99</v>
      </c>
      <c r="E890">
        <v>277.02999999999997</v>
      </c>
      <c r="F890" t="s">
        <v>75</v>
      </c>
      <c r="G890" s="2">
        <v>-6.7999999999999996E-3</v>
      </c>
    </row>
    <row r="891" spans="1:7" x14ac:dyDescent="0.25">
      <c r="A891" s="1">
        <v>45873</v>
      </c>
      <c r="B891">
        <v>278.85000000000002</v>
      </c>
      <c r="C891">
        <v>278.81</v>
      </c>
      <c r="D891">
        <v>279.02</v>
      </c>
      <c r="E891">
        <v>276.98</v>
      </c>
      <c r="F891" t="s">
        <v>74</v>
      </c>
      <c r="G891" s="2">
        <v>5.4000000000000003E-3</v>
      </c>
    </row>
    <row r="892" spans="1:7" x14ac:dyDescent="0.25">
      <c r="A892" s="1">
        <v>45874</v>
      </c>
      <c r="B892">
        <v>278.14</v>
      </c>
      <c r="C892">
        <v>279.39</v>
      </c>
      <c r="D892">
        <v>279.89</v>
      </c>
      <c r="E892">
        <v>277.60000000000002</v>
      </c>
      <c r="F892" t="s">
        <v>73</v>
      </c>
      <c r="G892" s="2">
        <v>-2.5000000000000001E-3</v>
      </c>
    </row>
    <row r="893" spans="1:7" x14ac:dyDescent="0.25">
      <c r="A893" s="1">
        <v>45875</v>
      </c>
      <c r="B893">
        <v>277.31</v>
      </c>
      <c r="C893">
        <v>278.89</v>
      </c>
      <c r="D893">
        <v>278.89</v>
      </c>
      <c r="E893">
        <v>277.01</v>
      </c>
      <c r="F893" t="s">
        <v>72</v>
      </c>
      <c r="G893" s="2">
        <v>-3.0000000000000001E-3</v>
      </c>
    </row>
    <row r="894" spans="1:7" x14ac:dyDescent="0.25">
      <c r="A894" s="1">
        <v>45876</v>
      </c>
      <c r="B894">
        <v>277.29000000000002</v>
      </c>
      <c r="C894">
        <v>275.51</v>
      </c>
      <c r="D894">
        <v>277.99</v>
      </c>
      <c r="E894">
        <v>274.8</v>
      </c>
      <c r="F894" t="s">
        <v>71</v>
      </c>
      <c r="G894" s="2">
        <v>-1E-4</v>
      </c>
    </row>
    <row r="895" spans="1:7" x14ac:dyDescent="0.25">
      <c r="A895" s="1">
        <v>45877</v>
      </c>
      <c r="B895">
        <v>275.14</v>
      </c>
      <c r="C895">
        <v>277.89</v>
      </c>
      <c r="D895">
        <v>277.89</v>
      </c>
      <c r="E895">
        <v>274.8</v>
      </c>
      <c r="F895" t="s">
        <v>70</v>
      </c>
      <c r="G895" s="2">
        <v>-7.7999999999999996E-3</v>
      </c>
    </row>
    <row r="896" spans="1:7" x14ac:dyDescent="0.25">
      <c r="A896" s="1">
        <v>45880</v>
      </c>
      <c r="B896">
        <v>277.29000000000002</v>
      </c>
      <c r="C896">
        <v>277</v>
      </c>
      <c r="D896">
        <v>277.49</v>
      </c>
      <c r="E896">
        <v>274.5</v>
      </c>
      <c r="F896" t="s">
        <v>69</v>
      </c>
      <c r="G896" s="2">
        <v>7.7999999999999996E-3</v>
      </c>
    </row>
    <row r="897" spans="1:7" x14ac:dyDescent="0.25">
      <c r="A897" s="1">
        <v>45881</v>
      </c>
      <c r="B897">
        <v>276.54000000000002</v>
      </c>
      <c r="C897">
        <v>277.89</v>
      </c>
      <c r="D897">
        <v>278.7</v>
      </c>
      <c r="E897">
        <v>276.18</v>
      </c>
      <c r="F897" t="s">
        <v>68</v>
      </c>
      <c r="G897" s="2">
        <v>-2.7000000000000001E-3</v>
      </c>
    </row>
    <row r="898" spans="1:7" x14ac:dyDescent="0.25">
      <c r="A898" s="1">
        <v>45882</v>
      </c>
      <c r="B898">
        <v>278.02</v>
      </c>
      <c r="C898">
        <v>278.89</v>
      </c>
      <c r="D898">
        <v>278.89</v>
      </c>
      <c r="E898">
        <v>277.01</v>
      </c>
      <c r="F898" t="s">
        <v>67</v>
      </c>
      <c r="G898" s="2">
        <v>5.4000000000000003E-3</v>
      </c>
    </row>
    <row r="899" spans="1:7" x14ac:dyDescent="0.25">
      <c r="A899" s="1">
        <v>45883</v>
      </c>
      <c r="B899">
        <v>278.23</v>
      </c>
      <c r="C899">
        <v>278.89</v>
      </c>
      <c r="D899">
        <v>278.89</v>
      </c>
      <c r="E899">
        <v>275.01</v>
      </c>
      <c r="F899" t="s">
        <v>66</v>
      </c>
      <c r="G899" s="2">
        <v>8.0000000000000004E-4</v>
      </c>
    </row>
    <row r="900" spans="1:7" x14ac:dyDescent="0.25">
      <c r="A900" s="1">
        <v>45887</v>
      </c>
      <c r="B900">
        <v>281.07</v>
      </c>
      <c r="C900">
        <v>280.11</v>
      </c>
      <c r="D900">
        <v>282.43</v>
      </c>
      <c r="E900">
        <v>279.77999999999997</v>
      </c>
      <c r="F900" t="s">
        <v>65</v>
      </c>
      <c r="G900" s="2">
        <v>1.0200000000000001E-2</v>
      </c>
    </row>
    <row r="901" spans="1:7" x14ac:dyDescent="0.25">
      <c r="A901" s="1">
        <v>45888</v>
      </c>
      <c r="B901">
        <v>281.95999999999998</v>
      </c>
      <c r="C901">
        <v>281.89</v>
      </c>
      <c r="D901">
        <v>282.22000000000003</v>
      </c>
      <c r="E901">
        <v>280.58</v>
      </c>
      <c r="F901" t="s">
        <v>64</v>
      </c>
      <c r="G901" s="2">
        <v>3.2000000000000002E-3</v>
      </c>
    </row>
    <row r="902" spans="1:7" x14ac:dyDescent="0.25">
      <c r="A902" s="1">
        <v>45889</v>
      </c>
      <c r="B902">
        <v>282.52</v>
      </c>
      <c r="C902">
        <v>282.48</v>
      </c>
      <c r="D902">
        <v>282.85000000000002</v>
      </c>
      <c r="E902">
        <v>281.02</v>
      </c>
      <c r="F902" t="s">
        <v>63</v>
      </c>
      <c r="G902" s="2">
        <v>2E-3</v>
      </c>
    </row>
    <row r="903" spans="1:7" x14ac:dyDescent="0.25">
      <c r="A903" s="1">
        <v>45890</v>
      </c>
      <c r="B903">
        <v>283.06</v>
      </c>
      <c r="C903">
        <v>284.99</v>
      </c>
      <c r="D903">
        <v>284.99</v>
      </c>
      <c r="E903">
        <v>282.55</v>
      </c>
      <c r="F903" t="s">
        <v>62</v>
      </c>
      <c r="G903" s="2">
        <v>1.9E-3</v>
      </c>
    </row>
    <row r="904" spans="1:7" x14ac:dyDescent="0.25">
      <c r="A904" s="1">
        <v>45891</v>
      </c>
      <c r="B904">
        <v>280.75</v>
      </c>
      <c r="C904">
        <v>283.06</v>
      </c>
      <c r="D904">
        <v>283.48</v>
      </c>
      <c r="E904">
        <v>280.58999999999997</v>
      </c>
      <c r="F904" t="s">
        <v>61</v>
      </c>
      <c r="G904" s="2">
        <v>-8.2000000000000007E-3</v>
      </c>
    </row>
    <row r="905" spans="1:7" x14ac:dyDescent="0.25">
      <c r="A905" s="1">
        <v>45894</v>
      </c>
      <c r="B905">
        <v>281.68</v>
      </c>
      <c r="C905">
        <v>280.01</v>
      </c>
      <c r="D905">
        <v>282.29000000000002</v>
      </c>
      <c r="E905">
        <v>272.33</v>
      </c>
      <c r="F905" t="s">
        <v>60</v>
      </c>
      <c r="G905" s="2">
        <v>3.3E-3</v>
      </c>
    </row>
    <row r="906" spans="1:7" x14ac:dyDescent="0.25">
      <c r="A906" s="1">
        <v>45895</v>
      </c>
      <c r="B906">
        <v>279.05</v>
      </c>
      <c r="C906">
        <v>281.99</v>
      </c>
      <c r="D906">
        <v>281.99</v>
      </c>
      <c r="E906">
        <v>278.8</v>
      </c>
      <c r="F906" t="s">
        <v>59</v>
      </c>
      <c r="G906" s="2">
        <v>-9.2999999999999992E-3</v>
      </c>
    </row>
    <row r="907" spans="1:7" x14ac:dyDescent="0.25">
      <c r="A907" s="1">
        <v>45897</v>
      </c>
      <c r="B907">
        <v>276.93</v>
      </c>
      <c r="C907">
        <v>279.79000000000002</v>
      </c>
      <c r="D907">
        <v>279.79000000000002</v>
      </c>
      <c r="E907">
        <v>276.64999999999998</v>
      </c>
      <c r="F907" t="s">
        <v>58</v>
      </c>
      <c r="G907" s="2">
        <v>-7.6E-3</v>
      </c>
    </row>
    <row r="908" spans="1:7" x14ac:dyDescent="0.25">
      <c r="A908" s="1">
        <v>45898</v>
      </c>
      <c r="B908">
        <v>276.06</v>
      </c>
      <c r="C908">
        <v>276.93</v>
      </c>
      <c r="D908">
        <v>277.79000000000002</v>
      </c>
      <c r="E908">
        <v>275.55</v>
      </c>
      <c r="F908" t="s">
        <v>57</v>
      </c>
      <c r="G908" s="2">
        <v>-3.0999999999999999E-3</v>
      </c>
    </row>
    <row r="909" spans="1:7" x14ac:dyDescent="0.25">
      <c r="A909" s="1">
        <v>45901</v>
      </c>
      <c r="B909">
        <v>278.18</v>
      </c>
      <c r="C909">
        <v>276.89</v>
      </c>
      <c r="D909">
        <v>278.25</v>
      </c>
      <c r="E909">
        <v>275.68</v>
      </c>
      <c r="F909" t="s">
        <v>56</v>
      </c>
      <c r="G909" s="2">
        <v>7.7000000000000002E-3</v>
      </c>
    </row>
    <row r="910" spans="1:7" x14ac:dyDescent="0.25">
      <c r="A910" s="1">
        <v>45902</v>
      </c>
      <c r="B910">
        <v>277.68</v>
      </c>
      <c r="C910">
        <v>277.62</v>
      </c>
      <c r="D910">
        <v>279.5</v>
      </c>
      <c r="E910">
        <v>277</v>
      </c>
      <c r="F910" t="s">
        <v>55</v>
      </c>
      <c r="G910" s="2">
        <v>-1.8E-3</v>
      </c>
    </row>
    <row r="911" spans="1:7" x14ac:dyDescent="0.25">
      <c r="A911" s="1">
        <v>45903</v>
      </c>
      <c r="B911">
        <v>278.94</v>
      </c>
      <c r="C911">
        <v>278.69</v>
      </c>
      <c r="D911">
        <v>279.2</v>
      </c>
      <c r="E911">
        <v>277.01</v>
      </c>
      <c r="F911" t="s">
        <v>54</v>
      </c>
      <c r="G911" s="2">
        <v>4.4999999999999997E-3</v>
      </c>
    </row>
    <row r="912" spans="1:7" x14ac:dyDescent="0.25">
      <c r="A912" s="1">
        <v>45904</v>
      </c>
      <c r="B912">
        <v>279.32</v>
      </c>
      <c r="C912">
        <v>282</v>
      </c>
      <c r="D912">
        <v>282.38</v>
      </c>
      <c r="E912">
        <v>277.25</v>
      </c>
      <c r="F912" t="s">
        <v>53</v>
      </c>
      <c r="G912" s="2">
        <v>1.4E-3</v>
      </c>
    </row>
    <row r="913" spans="1:7" x14ac:dyDescent="0.25">
      <c r="A913" s="1">
        <v>45905</v>
      </c>
      <c r="B913">
        <v>279.60000000000002</v>
      </c>
      <c r="C913">
        <v>279.8</v>
      </c>
      <c r="D913">
        <v>280.74</v>
      </c>
      <c r="E913">
        <v>278.2</v>
      </c>
      <c r="F913" t="s">
        <v>45</v>
      </c>
      <c r="G913" s="2">
        <v>1E-3</v>
      </c>
    </row>
    <row r="914" spans="1:7" x14ac:dyDescent="0.25">
      <c r="A914" s="1">
        <v>45908</v>
      </c>
      <c r="B914">
        <v>279.99</v>
      </c>
      <c r="C914">
        <v>281.2</v>
      </c>
      <c r="D914">
        <v>281.2</v>
      </c>
      <c r="E914">
        <v>279.45</v>
      </c>
      <c r="F914" t="s">
        <v>52</v>
      </c>
      <c r="G914" s="2">
        <v>1.4E-3</v>
      </c>
    </row>
    <row r="915" spans="1:7" x14ac:dyDescent="0.25">
      <c r="A915" s="1">
        <v>45909</v>
      </c>
      <c r="B915">
        <v>280.54000000000002</v>
      </c>
      <c r="C915">
        <v>280.83999999999997</v>
      </c>
      <c r="D915">
        <v>281.99</v>
      </c>
      <c r="E915">
        <v>279.76</v>
      </c>
      <c r="F915" t="s">
        <v>51</v>
      </c>
      <c r="G915" s="2">
        <v>2E-3</v>
      </c>
    </row>
    <row r="916" spans="1:7" x14ac:dyDescent="0.25">
      <c r="A916" s="1">
        <v>45910</v>
      </c>
      <c r="B916">
        <v>281.83999999999997</v>
      </c>
      <c r="C916">
        <v>283.99</v>
      </c>
      <c r="D916">
        <v>283.99</v>
      </c>
      <c r="E916">
        <v>281.18</v>
      </c>
      <c r="F916" t="s">
        <v>50</v>
      </c>
      <c r="G916" s="2">
        <v>4.5999999999999999E-3</v>
      </c>
    </row>
    <row r="917" spans="1:7" x14ac:dyDescent="0.25">
      <c r="A917" s="1">
        <v>45911</v>
      </c>
      <c r="B917">
        <v>282.52999999999997</v>
      </c>
      <c r="C917">
        <v>281.89999999999998</v>
      </c>
      <c r="D917">
        <v>282.77</v>
      </c>
      <c r="E917">
        <v>281.14</v>
      </c>
      <c r="F917" t="s">
        <v>49</v>
      </c>
      <c r="G917" s="2">
        <v>2.3999999999999998E-3</v>
      </c>
    </row>
    <row r="918" spans="1:7" x14ac:dyDescent="0.25">
      <c r="A918" s="1">
        <v>45912</v>
      </c>
      <c r="B918">
        <v>283.51</v>
      </c>
      <c r="C918">
        <v>283.58</v>
      </c>
      <c r="D918">
        <v>283.89999999999998</v>
      </c>
      <c r="E918">
        <v>282.7</v>
      </c>
      <c r="F918" t="s">
        <v>47</v>
      </c>
      <c r="G918" s="2">
        <v>3.5000000000000001E-3</v>
      </c>
    </row>
    <row r="919" spans="1:7" x14ac:dyDescent="0.25">
      <c r="A919" s="1">
        <v>45915</v>
      </c>
      <c r="B919">
        <v>283.12</v>
      </c>
      <c r="C919">
        <v>282.01</v>
      </c>
      <c r="D919">
        <v>284.39</v>
      </c>
      <c r="E919">
        <v>282.01</v>
      </c>
      <c r="F919" t="s">
        <v>48</v>
      </c>
      <c r="G919" s="2">
        <v>-1.4E-3</v>
      </c>
    </row>
    <row r="920" spans="1:7" x14ac:dyDescent="0.25">
      <c r="A920" s="1">
        <v>45916</v>
      </c>
      <c r="B920">
        <v>284.89</v>
      </c>
      <c r="C920">
        <v>283.64</v>
      </c>
      <c r="D920">
        <v>285.10000000000002</v>
      </c>
      <c r="E920">
        <v>282.81</v>
      </c>
      <c r="F920" t="s">
        <v>47</v>
      </c>
      <c r="G920" s="2">
        <v>6.3E-3</v>
      </c>
    </row>
    <row r="921" spans="1:7" x14ac:dyDescent="0.25">
      <c r="A921" s="1">
        <v>45917</v>
      </c>
      <c r="B921">
        <v>285.98</v>
      </c>
      <c r="C921">
        <v>285.76</v>
      </c>
      <c r="D921">
        <v>286.19</v>
      </c>
      <c r="E921">
        <v>284.88</v>
      </c>
      <c r="F921" t="s">
        <v>46</v>
      </c>
      <c r="G921" s="2">
        <v>3.8E-3</v>
      </c>
    </row>
    <row r="922" spans="1:7" x14ac:dyDescent="0.25">
      <c r="A922" s="1">
        <v>45918</v>
      </c>
      <c r="B922">
        <v>286.7</v>
      </c>
      <c r="C922">
        <v>286.98</v>
      </c>
      <c r="D922">
        <v>287.54000000000002</v>
      </c>
      <c r="E922">
        <v>285.01</v>
      </c>
      <c r="F922" t="s">
        <v>11</v>
      </c>
      <c r="G922" s="2">
        <v>2.5000000000000001E-3</v>
      </c>
    </row>
    <row r="923" spans="1:7" x14ac:dyDescent="0.25">
      <c r="A923" s="1">
        <v>45919</v>
      </c>
      <c r="B923">
        <v>285.89999999999998</v>
      </c>
      <c r="C923">
        <v>295.3</v>
      </c>
      <c r="D923">
        <v>295.3</v>
      </c>
      <c r="E923">
        <v>285.3</v>
      </c>
      <c r="F923" t="s">
        <v>45</v>
      </c>
      <c r="G923" s="2">
        <v>-2.8E-3</v>
      </c>
    </row>
    <row r="924" spans="1:7" x14ac:dyDescent="0.25">
      <c r="A924" s="1">
        <v>45922</v>
      </c>
      <c r="B924">
        <v>284.49</v>
      </c>
      <c r="C924">
        <v>285.48</v>
      </c>
      <c r="D924">
        <v>285.79000000000002</v>
      </c>
      <c r="E924">
        <v>284.11</v>
      </c>
      <c r="F924" t="s">
        <v>42</v>
      </c>
      <c r="G924" s="2">
        <v>-4.8999999999999998E-3</v>
      </c>
    </row>
    <row r="925" spans="1:7" x14ac:dyDescent="0.25">
      <c r="A925" s="1">
        <v>45923</v>
      </c>
      <c r="B925">
        <v>284.35000000000002</v>
      </c>
      <c r="C925">
        <v>285.39</v>
      </c>
      <c r="D925">
        <v>285.39</v>
      </c>
      <c r="E925">
        <v>283.01</v>
      </c>
      <c r="F925" t="s">
        <v>44</v>
      </c>
      <c r="G925" s="2">
        <v>-5.0000000000000001E-4</v>
      </c>
    </row>
    <row r="926" spans="1:7" x14ac:dyDescent="0.25">
      <c r="A926" s="1">
        <v>45924</v>
      </c>
      <c r="B926">
        <v>282.88</v>
      </c>
      <c r="C926">
        <v>282.01</v>
      </c>
      <c r="D926">
        <v>284.81</v>
      </c>
      <c r="E926">
        <v>282.01</v>
      </c>
      <c r="F926" t="s">
        <v>43</v>
      </c>
      <c r="G926" s="2">
        <v>-5.1999999999999998E-3</v>
      </c>
    </row>
    <row r="927" spans="1:7" x14ac:dyDescent="0.25">
      <c r="A927" s="1">
        <v>45925</v>
      </c>
      <c r="B927">
        <v>281.24</v>
      </c>
      <c r="C927">
        <v>283.69</v>
      </c>
      <c r="D927">
        <v>283.69</v>
      </c>
      <c r="E927">
        <v>281.01</v>
      </c>
      <c r="F927" t="s">
        <v>42</v>
      </c>
      <c r="G927" s="2">
        <v>-5.7999999999999996E-3</v>
      </c>
    </row>
    <row r="928" spans="1:7" x14ac:dyDescent="0.25">
      <c r="A928" s="1">
        <v>45926</v>
      </c>
      <c r="B928">
        <v>278.74</v>
      </c>
      <c r="C928">
        <v>281.69</v>
      </c>
      <c r="D928">
        <v>281.69</v>
      </c>
      <c r="E928">
        <v>278.49</v>
      </c>
      <c r="F928" t="s">
        <v>41</v>
      </c>
      <c r="G928" s="2">
        <v>-8.8999999999999999E-3</v>
      </c>
    </row>
    <row r="929" spans="1:7" x14ac:dyDescent="0.25">
      <c r="A929" s="1">
        <v>45929</v>
      </c>
      <c r="B929">
        <v>278.54000000000002</v>
      </c>
      <c r="C929">
        <v>279.99</v>
      </c>
      <c r="D929">
        <v>280.25</v>
      </c>
      <c r="E929">
        <v>278.19</v>
      </c>
      <c r="F929" t="s">
        <v>40</v>
      </c>
      <c r="G929" s="2">
        <v>-6.9999999999999999E-4</v>
      </c>
    </row>
    <row r="930" spans="1:7" x14ac:dyDescent="0.25">
      <c r="A930" s="1">
        <v>45930</v>
      </c>
      <c r="B930">
        <v>277.52</v>
      </c>
      <c r="C930">
        <v>279.99</v>
      </c>
      <c r="D930">
        <v>279.99</v>
      </c>
      <c r="E930">
        <v>277.25</v>
      </c>
      <c r="F930" t="s">
        <v>39</v>
      </c>
      <c r="G930" s="2">
        <v>-3.7000000000000002E-3</v>
      </c>
    </row>
    <row r="931" spans="1:7" x14ac:dyDescent="0.25">
      <c r="A931" s="1">
        <v>45931</v>
      </c>
      <c r="B931">
        <v>280.51</v>
      </c>
      <c r="C931">
        <v>276.66000000000003</v>
      </c>
      <c r="D931">
        <v>280.63</v>
      </c>
      <c r="E931">
        <v>270.58</v>
      </c>
      <c r="F931" t="s">
        <v>38</v>
      </c>
      <c r="G931" s="2">
        <v>1.0800000000000001E-2</v>
      </c>
    </row>
    <row r="932" spans="1:7" x14ac:dyDescent="0.25">
      <c r="A932" s="1">
        <v>45933</v>
      </c>
      <c r="B932">
        <v>281.16000000000003</v>
      </c>
      <c r="C932">
        <v>280.89</v>
      </c>
      <c r="D932">
        <v>281.31</v>
      </c>
      <c r="E932">
        <v>279.08</v>
      </c>
      <c r="F932" t="s">
        <v>37</v>
      </c>
      <c r="G932" s="2">
        <v>2.3E-3</v>
      </c>
    </row>
    <row r="933" spans="1:7" x14ac:dyDescent="0.25">
      <c r="A933" s="1">
        <v>45936</v>
      </c>
      <c r="B933">
        <v>283.07</v>
      </c>
      <c r="C933">
        <v>281.58</v>
      </c>
      <c r="D933">
        <v>283.2</v>
      </c>
      <c r="E933">
        <v>280.7</v>
      </c>
      <c r="F933" t="s">
        <v>36</v>
      </c>
      <c r="G933" s="2">
        <v>6.7999999999999996E-3</v>
      </c>
    </row>
    <row r="934" spans="1:7" x14ac:dyDescent="0.25">
      <c r="A934" s="1">
        <v>45937</v>
      </c>
      <c r="B934">
        <v>283.41000000000003</v>
      </c>
      <c r="C934">
        <v>283.49</v>
      </c>
      <c r="D934">
        <v>284.5</v>
      </c>
      <c r="E934">
        <v>282.64</v>
      </c>
      <c r="F934" t="s">
        <v>35</v>
      </c>
      <c r="G934" s="2">
        <v>1.1999999999999999E-3</v>
      </c>
    </row>
    <row r="935" spans="1:7" x14ac:dyDescent="0.25">
      <c r="A935" s="1">
        <v>45938</v>
      </c>
      <c r="B935">
        <v>282.38</v>
      </c>
      <c r="C935">
        <v>283.75</v>
      </c>
      <c r="D935">
        <v>284.18</v>
      </c>
      <c r="E935">
        <v>282.01</v>
      </c>
      <c r="F935" t="s">
        <v>34</v>
      </c>
      <c r="G935" s="2">
        <v>-3.5999999999999999E-3</v>
      </c>
    </row>
    <row r="936" spans="1:7" x14ac:dyDescent="0.25">
      <c r="A936" s="1">
        <v>45939</v>
      </c>
      <c r="B936">
        <v>284.05</v>
      </c>
      <c r="C936">
        <v>282.88</v>
      </c>
      <c r="D936">
        <v>284.24</v>
      </c>
      <c r="E936">
        <v>282.24</v>
      </c>
      <c r="F936" t="s">
        <v>33</v>
      </c>
      <c r="G936" s="2">
        <v>5.8999999999999999E-3</v>
      </c>
    </row>
    <row r="937" spans="1:7" x14ac:dyDescent="0.25">
      <c r="A937" s="1">
        <v>45940</v>
      </c>
      <c r="B937">
        <v>285.52</v>
      </c>
      <c r="C937">
        <v>284.77999999999997</v>
      </c>
      <c r="D937">
        <v>285.95</v>
      </c>
      <c r="E937">
        <v>282.01</v>
      </c>
      <c r="F937" t="s">
        <v>32</v>
      </c>
      <c r="G937" s="2">
        <v>5.1999999999999998E-3</v>
      </c>
    </row>
    <row r="938" spans="1:7" x14ac:dyDescent="0.25">
      <c r="A938" s="1">
        <v>45943</v>
      </c>
      <c r="B938">
        <v>284.64</v>
      </c>
      <c r="C938">
        <v>285.14999999999998</v>
      </c>
      <c r="D938">
        <v>285.14999999999998</v>
      </c>
      <c r="E938">
        <v>283.69</v>
      </c>
      <c r="F938" t="s">
        <v>31</v>
      </c>
      <c r="G938" s="2">
        <v>-3.0999999999999999E-3</v>
      </c>
    </row>
    <row r="939" spans="1:7" x14ac:dyDescent="0.25">
      <c r="A939" s="1">
        <v>45944</v>
      </c>
      <c r="B939">
        <v>283.69</v>
      </c>
      <c r="C939">
        <v>286.39</v>
      </c>
      <c r="D939">
        <v>286.39</v>
      </c>
      <c r="E939">
        <v>282.92</v>
      </c>
      <c r="F939" t="s">
        <v>30</v>
      </c>
      <c r="G939" s="2">
        <v>-3.3E-3</v>
      </c>
    </row>
    <row r="940" spans="1:7" x14ac:dyDescent="0.25">
      <c r="A940" s="1">
        <v>45945</v>
      </c>
      <c r="B940">
        <v>286.07</v>
      </c>
      <c r="C940">
        <v>284.27999999999997</v>
      </c>
      <c r="D940">
        <v>286.45</v>
      </c>
      <c r="E940">
        <v>283.73</v>
      </c>
      <c r="F940" t="s">
        <v>29</v>
      </c>
      <c r="G940" s="2">
        <v>8.3999999999999995E-3</v>
      </c>
    </row>
    <row r="941" spans="1:7" x14ac:dyDescent="0.25">
      <c r="A941" s="1">
        <v>45946</v>
      </c>
      <c r="B941">
        <v>288.7</v>
      </c>
      <c r="C941">
        <v>277.49</v>
      </c>
      <c r="D941">
        <v>289</v>
      </c>
      <c r="E941">
        <v>277.49</v>
      </c>
      <c r="F941" t="s">
        <v>28</v>
      </c>
      <c r="G941" s="2">
        <v>9.1999999999999998E-3</v>
      </c>
    </row>
    <row r="942" spans="1:7" x14ac:dyDescent="0.25">
      <c r="A942" s="1">
        <v>45947</v>
      </c>
      <c r="B942">
        <v>290.17</v>
      </c>
      <c r="C942">
        <v>288.69</v>
      </c>
      <c r="D942">
        <v>290.95</v>
      </c>
      <c r="E942">
        <v>287.86</v>
      </c>
      <c r="F942" t="s">
        <v>27</v>
      </c>
      <c r="G942" s="2">
        <v>5.1000000000000004E-3</v>
      </c>
    </row>
    <row r="943" spans="1:7" x14ac:dyDescent="0.25">
      <c r="A943" s="1">
        <v>45950</v>
      </c>
      <c r="B943">
        <v>291.86</v>
      </c>
      <c r="C943">
        <v>292.49</v>
      </c>
      <c r="D943">
        <v>292.54000000000002</v>
      </c>
      <c r="E943">
        <v>289.01</v>
      </c>
      <c r="F943" t="s">
        <v>26</v>
      </c>
      <c r="G943" s="2">
        <v>5.7999999999999996E-3</v>
      </c>
    </row>
    <row r="944" spans="1:7" x14ac:dyDescent="0.25">
      <c r="A944" s="1">
        <v>45951</v>
      </c>
      <c r="B944">
        <v>291.87</v>
      </c>
      <c r="C944">
        <v>292.92</v>
      </c>
      <c r="D944">
        <v>292.92</v>
      </c>
      <c r="E944">
        <v>291.49</v>
      </c>
      <c r="F944" t="s">
        <v>25</v>
      </c>
      <c r="G944" s="2">
        <v>0</v>
      </c>
    </row>
    <row r="945" spans="1:7" x14ac:dyDescent="0.25">
      <c r="A945" s="1">
        <v>45953</v>
      </c>
      <c r="B945">
        <v>292.39</v>
      </c>
      <c r="C945">
        <v>293.13</v>
      </c>
      <c r="D945">
        <v>295.38</v>
      </c>
      <c r="E945">
        <v>291.88</v>
      </c>
      <c r="F945" t="s">
        <v>24</v>
      </c>
      <c r="G945" s="2">
        <v>1.8E-3</v>
      </c>
    </row>
    <row r="946" spans="1:7" x14ac:dyDescent="0.25">
      <c r="A946" s="1">
        <v>45954</v>
      </c>
      <c r="B946">
        <v>291.04000000000002</v>
      </c>
      <c r="C946">
        <v>294.99</v>
      </c>
      <c r="D946">
        <v>294.99</v>
      </c>
      <c r="E946">
        <v>290.14</v>
      </c>
      <c r="F946" t="s">
        <v>23</v>
      </c>
      <c r="G946" s="2">
        <v>-4.5999999999999999E-3</v>
      </c>
    </row>
    <row r="947" spans="1:7" x14ac:dyDescent="0.25">
      <c r="A947" s="1">
        <v>45957</v>
      </c>
      <c r="B947">
        <v>293.35000000000002</v>
      </c>
      <c r="C947">
        <v>294.18</v>
      </c>
      <c r="D947">
        <v>294.33</v>
      </c>
      <c r="E947">
        <v>290.01</v>
      </c>
      <c r="F947" t="s">
        <v>22</v>
      </c>
      <c r="G947" s="2">
        <v>7.9000000000000008E-3</v>
      </c>
    </row>
    <row r="948" spans="1:7" x14ac:dyDescent="0.25">
      <c r="A948" s="1">
        <v>45958</v>
      </c>
      <c r="B948">
        <v>293.10000000000002</v>
      </c>
      <c r="C948">
        <v>294.99</v>
      </c>
      <c r="D948">
        <v>294.99</v>
      </c>
      <c r="E948">
        <v>292</v>
      </c>
      <c r="F948" t="s">
        <v>21</v>
      </c>
      <c r="G948" s="2">
        <v>-8.9999999999999998E-4</v>
      </c>
    </row>
    <row r="949" spans="1:7" x14ac:dyDescent="0.25">
      <c r="A949" s="1">
        <v>45959</v>
      </c>
      <c r="B949">
        <v>294.5</v>
      </c>
      <c r="C949">
        <v>291.01</v>
      </c>
      <c r="D949">
        <v>294.89999999999998</v>
      </c>
      <c r="E949">
        <v>291.01</v>
      </c>
      <c r="F949" t="s">
        <v>20</v>
      </c>
      <c r="G949" s="2">
        <v>4.7999999999999996E-3</v>
      </c>
    </row>
    <row r="950" spans="1:7" x14ac:dyDescent="0.25">
      <c r="A950" s="1">
        <v>45960</v>
      </c>
      <c r="B950">
        <v>292.58</v>
      </c>
      <c r="C950">
        <v>294.99</v>
      </c>
      <c r="D950">
        <v>294.99</v>
      </c>
      <c r="E950">
        <v>291.91000000000003</v>
      </c>
      <c r="F950" t="s">
        <v>19</v>
      </c>
      <c r="G950" s="2">
        <v>-6.4999999999999997E-3</v>
      </c>
    </row>
    <row r="951" spans="1:7" x14ac:dyDescent="0.25">
      <c r="A951" s="1">
        <v>45961</v>
      </c>
      <c r="B951">
        <v>291.08</v>
      </c>
      <c r="C951">
        <v>295</v>
      </c>
      <c r="D951">
        <v>295</v>
      </c>
      <c r="E951">
        <v>290.89999999999998</v>
      </c>
      <c r="F951" t="s">
        <v>18</v>
      </c>
      <c r="G951" s="2">
        <v>-5.1000000000000004E-3</v>
      </c>
    </row>
    <row r="952" spans="1:7" x14ac:dyDescent="0.25">
      <c r="A952" s="1">
        <v>45964</v>
      </c>
      <c r="B952">
        <v>291.35000000000002</v>
      </c>
      <c r="C952">
        <v>292.79000000000002</v>
      </c>
      <c r="D952">
        <v>292.79000000000002</v>
      </c>
      <c r="E952">
        <v>290.05</v>
      </c>
      <c r="F952" t="s">
        <v>17</v>
      </c>
      <c r="G952" s="2">
        <v>8.9999999999999998E-4</v>
      </c>
    </row>
    <row r="953" spans="1:7" x14ac:dyDescent="0.25">
      <c r="A953" s="1">
        <v>45965</v>
      </c>
      <c r="B953">
        <v>289.58999999999997</v>
      </c>
      <c r="C953">
        <v>291.54000000000002</v>
      </c>
      <c r="D953">
        <v>291.64</v>
      </c>
      <c r="E953">
        <v>289.5</v>
      </c>
      <c r="F953" t="s">
        <v>16</v>
      </c>
      <c r="G953" s="2">
        <v>-6.0000000000000001E-3</v>
      </c>
    </row>
    <row r="954" spans="1:7" x14ac:dyDescent="0.25">
      <c r="A954" s="1">
        <v>45967</v>
      </c>
      <c r="B954">
        <v>288.24</v>
      </c>
      <c r="C954">
        <v>290.39999999999998</v>
      </c>
      <c r="D954">
        <v>290.39999999999998</v>
      </c>
      <c r="E954">
        <v>287.98</v>
      </c>
      <c r="F954" t="s">
        <v>15</v>
      </c>
      <c r="G954" s="2">
        <v>-4.7000000000000002E-3</v>
      </c>
    </row>
    <row r="955" spans="1:7" x14ac:dyDescent="0.25">
      <c r="A955" s="1">
        <v>45968</v>
      </c>
      <c r="B955">
        <v>288.44</v>
      </c>
      <c r="C955">
        <v>288.24</v>
      </c>
      <c r="D955">
        <v>289.16000000000003</v>
      </c>
      <c r="E955">
        <v>286.35000000000002</v>
      </c>
      <c r="F955" t="s">
        <v>14</v>
      </c>
      <c r="G955" s="2">
        <v>6.9999999999999999E-4</v>
      </c>
    </row>
    <row r="956" spans="1:7" x14ac:dyDescent="0.25">
      <c r="A956" s="1">
        <v>45971</v>
      </c>
      <c r="B956">
        <v>289.49</v>
      </c>
      <c r="C956">
        <v>289.89</v>
      </c>
      <c r="D956">
        <v>290.3</v>
      </c>
      <c r="E956">
        <v>288.13</v>
      </c>
      <c r="F956" t="s">
        <v>13</v>
      </c>
      <c r="G956" s="2">
        <v>3.5999999999999999E-3</v>
      </c>
    </row>
    <row r="957" spans="1:7" x14ac:dyDescent="0.25">
      <c r="A957" s="1">
        <v>45972</v>
      </c>
      <c r="B957">
        <v>290.82</v>
      </c>
      <c r="C957">
        <v>287.01</v>
      </c>
      <c r="D957">
        <v>291.08</v>
      </c>
      <c r="E957">
        <v>287.01</v>
      </c>
      <c r="F957" t="s">
        <v>12</v>
      </c>
      <c r="G957" s="2">
        <v>4.5999999999999999E-3</v>
      </c>
    </row>
    <row r="958" spans="1:7" x14ac:dyDescent="0.25">
      <c r="A958" s="1">
        <v>45973</v>
      </c>
      <c r="B958">
        <v>292.72000000000003</v>
      </c>
      <c r="C958">
        <v>292.29000000000002</v>
      </c>
      <c r="D958">
        <v>293.10000000000002</v>
      </c>
      <c r="E958">
        <v>291.55</v>
      </c>
      <c r="F958" t="s">
        <v>11</v>
      </c>
      <c r="G958" s="2">
        <v>6.4999999999999997E-3</v>
      </c>
    </row>
    <row r="959" spans="1:7" x14ac:dyDescent="0.25">
      <c r="A959" s="1">
        <v>45974</v>
      </c>
      <c r="B959">
        <v>292.39</v>
      </c>
      <c r="C959">
        <v>293.20999999999998</v>
      </c>
      <c r="D959">
        <v>293.75</v>
      </c>
      <c r="E959">
        <v>291.75</v>
      </c>
      <c r="F959" t="s">
        <v>10</v>
      </c>
      <c r="G959" s="2">
        <v>-1.1000000000000001E-3</v>
      </c>
    </row>
    <row r="960" spans="1:7" x14ac:dyDescent="0.25">
      <c r="A960" s="1">
        <v>45975</v>
      </c>
      <c r="B960">
        <v>292.83</v>
      </c>
      <c r="C960">
        <v>290.83999999999997</v>
      </c>
      <c r="D960">
        <v>293.25</v>
      </c>
      <c r="E960">
        <v>290.83999999999997</v>
      </c>
      <c r="F960" t="s">
        <v>9</v>
      </c>
      <c r="G960" s="2">
        <v>1.5E-3</v>
      </c>
    </row>
    <row r="961" spans="1:7" x14ac:dyDescent="0.25">
      <c r="A961" s="1">
        <v>45978</v>
      </c>
      <c r="B961">
        <v>293.97000000000003</v>
      </c>
      <c r="C961">
        <v>301.61</v>
      </c>
      <c r="D961">
        <v>301.61</v>
      </c>
      <c r="E961">
        <v>292.74</v>
      </c>
      <c r="F961" t="s">
        <v>8</v>
      </c>
      <c r="G961" s="2">
        <v>3.8999999999999998E-3</v>
      </c>
    </row>
    <row r="962" spans="1:7" x14ac:dyDescent="0.25">
      <c r="A962" s="1">
        <v>45979</v>
      </c>
      <c r="B962">
        <v>292.97000000000003</v>
      </c>
      <c r="C962">
        <v>294.89</v>
      </c>
      <c r="D962">
        <v>294.89</v>
      </c>
      <c r="E962">
        <v>292.5</v>
      </c>
      <c r="F962" t="s">
        <v>7</v>
      </c>
      <c r="G962" s="2">
        <v>-3.3999999999999998E-3</v>
      </c>
    </row>
  </sheetData>
  <sortState xmlns:xlrd2="http://schemas.microsoft.com/office/spreadsheetml/2017/richdata2" ref="A2:G962">
    <sortCondition ref="A2:A9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DD7C-576D-4D1B-8A6E-6BAA48ACDD98}">
  <dimension ref="A1:U963"/>
  <sheetViews>
    <sheetView topLeftCell="H1" zoomScale="64" workbookViewId="0">
      <selection activeCell="M30" sqref="M30"/>
    </sheetView>
  </sheetViews>
  <sheetFormatPr defaultRowHeight="15" x14ac:dyDescent="0.25"/>
  <cols>
    <col min="1" max="1" width="13.140625" customWidth="1"/>
    <col min="2" max="2" width="9.85546875" bestFit="1" customWidth="1"/>
    <col min="3" max="3" width="16.140625" bestFit="1" customWidth="1"/>
    <col min="4" max="4" width="7.5703125" bestFit="1" customWidth="1"/>
    <col min="5" max="5" width="31.140625" bestFit="1" customWidth="1"/>
    <col min="6" max="6" width="30.85546875" bestFit="1" customWidth="1"/>
    <col min="7" max="7" width="15.140625" bestFit="1" customWidth="1"/>
    <col min="8" max="9" width="11.85546875" bestFit="1" customWidth="1"/>
    <col min="10" max="10" width="31.7109375" bestFit="1" customWidth="1"/>
    <col min="11" max="11" width="14.140625" customWidth="1"/>
    <col min="12" max="12" width="14.85546875" bestFit="1" customWidth="1"/>
    <col min="13" max="13" width="21.140625" bestFit="1" customWidth="1"/>
    <col min="14" max="14" width="12" bestFit="1" customWidth="1"/>
    <col min="15" max="15" width="12.140625" customWidth="1"/>
    <col min="17" max="17" width="11.85546875" bestFit="1" customWidth="1"/>
    <col min="18" max="18" width="18.140625" bestFit="1" customWidth="1"/>
    <col min="20" max="20" width="25.140625" bestFit="1" customWidth="1"/>
  </cols>
  <sheetData>
    <row r="1" spans="1:21" ht="15.75" thickBot="1" x14ac:dyDescent="0.3">
      <c r="A1" s="17" t="s">
        <v>0</v>
      </c>
      <c r="B1" s="18" t="s">
        <v>524</v>
      </c>
      <c r="C1" s="18" t="s">
        <v>525</v>
      </c>
      <c r="D1" s="18" t="s">
        <v>506</v>
      </c>
      <c r="E1" s="18" t="s">
        <v>512</v>
      </c>
      <c r="F1" s="18" t="s">
        <v>513</v>
      </c>
      <c r="G1" s="18" t="s">
        <v>507</v>
      </c>
      <c r="H1" s="18" t="s">
        <v>508</v>
      </c>
      <c r="I1" s="18" t="s">
        <v>509</v>
      </c>
      <c r="J1" s="19" t="s">
        <v>512</v>
      </c>
      <c r="K1" s="6"/>
      <c r="Q1" s="11" t="s">
        <v>520</v>
      </c>
      <c r="R1" s="11" t="s">
        <v>521</v>
      </c>
    </row>
    <row r="2" spans="1:21" ht="15.75" thickBot="1" x14ac:dyDescent="0.3">
      <c r="A2" s="20">
        <v>44564</v>
      </c>
      <c r="B2" s="14">
        <v>190.72</v>
      </c>
      <c r="C2" s="15"/>
      <c r="D2" s="16"/>
      <c r="E2" s="16"/>
      <c r="F2" s="16"/>
      <c r="G2" s="16"/>
      <c r="H2" s="16"/>
      <c r="I2" s="16"/>
      <c r="J2" s="21"/>
      <c r="Q2" s="7">
        <f>(1-$N$3) * $N$3^(D3-1)</f>
        <v>9.0864137434954411E-5</v>
      </c>
      <c r="R2" s="7">
        <f t="shared" ref="R2:R65" si="0">Q2/$U$2</f>
        <v>9.9035000556004296E-4</v>
      </c>
      <c r="T2" s="11" t="s">
        <v>522</v>
      </c>
      <c r="U2" s="7">
        <f>SUM(Q2:Q963)</f>
        <v>9.174951979080441E-2</v>
      </c>
    </row>
    <row r="3" spans="1:21" x14ac:dyDescent="0.25">
      <c r="A3" s="22">
        <v>44565</v>
      </c>
      <c r="B3" s="12">
        <v>192.46</v>
      </c>
      <c r="C3" s="13">
        <v>9.1000000000000004E-3</v>
      </c>
      <c r="D3" s="7">
        <v>959</v>
      </c>
      <c r="E3" s="7">
        <v>-3.6200000000000003E-2</v>
      </c>
      <c r="F3" s="7">
        <v>923</v>
      </c>
      <c r="G3" s="8">
        <f>$N$3^F3</f>
        <v>0.9118273506673813</v>
      </c>
      <c r="H3" s="9">
        <f>G3/$N$4</f>
        <v>9.9609341899763301E-4</v>
      </c>
      <c r="I3" s="10">
        <f>SUM($H$3:H3)</f>
        <v>9.9609341899763301E-4</v>
      </c>
      <c r="J3" s="23">
        <v>-3.6200000000000003E-2</v>
      </c>
      <c r="M3" s="34" t="s">
        <v>519</v>
      </c>
      <c r="N3" s="37">
        <v>0.99990000000000001</v>
      </c>
      <c r="Q3" s="7">
        <f t="shared" ref="Q3:Q66" si="1">(1-$N$3) * $N$3^(D4-1)</f>
        <v>9.0873224757430138E-5</v>
      </c>
      <c r="R3" s="7">
        <f t="shared" si="0"/>
        <v>9.9044905046508916E-4</v>
      </c>
      <c r="T3" s="11" t="s">
        <v>523</v>
      </c>
      <c r="U3" s="7">
        <f>SUM(R2:R963)</f>
        <v>1.0000000000000013</v>
      </c>
    </row>
    <row r="4" spans="1:21" x14ac:dyDescent="0.25">
      <c r="A4" s="22">
        <v>44566</v>
      </c>
      <c r="B4" s="12">
        <v>193.34</v>
      </c>
      <c r="C4" s="13">
        <v>4.5999999999999999E-3</v>
      </c>
      <c r="D4" s="7">
        <v>958</v>
      </c>
      <c r="E4" s="7">
        <v>-3.1300000000000001E-2</v>
      </c>
      <c r="F4" s="7">
        <v>152</v>
      </c>
      <c r="G4" s="8">
        <f t="shared" ref="G4:G67" si="2">$N$3^F4</f>
        <v>0.98491418833109756</v>
      </c>
      <c r="H4" s="9">
        <f>G4/$N$4</f>
        <v>1.075934540191126E-3</v>
      </c>
      <c r="I4" s="10">
        <f>SUM($H$3:H4)</f>
        <v>2.072027959188759E-3</v>
      </c>
      <c r="J4" s="23">
        <v>-3.1300000000000001E-2</v>
      </c>
      <c r="M4" s="35" t="s">
        <v>518</v>
      </c>
      <c r="N4" s="38">
        <f>SUM(G3:G962)</f>
        <v>915.40344838835654</v>
      </c>
      <c r="Q4" s="7">
        <f t="shared" si="1"/>
        <v>9.0882312988729011E-5</v>
      </c>
      <c r="R4" s="7">
        <f t="shared" si="0"/>
        <v>9.9054810527561673E-4</v>
      </c>
    </row>
    <row r="5" spans="1:21" ht="15.75" thickBot="1" x14ac:dyDescent="0.3">
      <c r="A5" s="22">
        <v>44567</v>
      </c>
      <c r="B5" s="12">
        <v>191.92</v>
      </c>
      <c r="C5" s="13">
        <v>-7.3000000000000001E-3</v>
      </c>
      <c r="D5" s="7">
        <v>957</v>
      </c>
      <c r="E5" s="7">
        <v>-2.9700000000000001E-2</v>
      </c>
      <c r="F5" s="7">
        <v>362</v>
      </c>
      <c r="G5" s="8">
        <f t="shared" si="2"/>
        <v>0.96444563895138335</v>
      </c>
      <c r="H5" s="9">
        <f t="shared" ref="H5:H67" si="3">G5/$N$4</f>
        <v>1.053574400063021E-3</v>
      </c>
      <c r="I5" s="10">
        <f>SUM($H$3:H5)</f>
        <v>3.1256023592517801E-3</v>
      </c>
      <c r="J5" s="23">
        <v>-2.9700000000000001E-2</v>
      </c>
      <c r="M5" s="36" t="s">
        <v>517</v>
      </c>
      <c r="N5" s="39">
        <f>SUM(H3:H962)</f>
        <v>0.99999999999999767</v>
      </c>
      <c r="Q5" s="7">
        <f t="shared" si="1"/>
        <v>9.0891402128941902E-5</v>
      </c>
      <c r="R5" s="7">
        <f t="shared" si="0"/>
        <v>9.90647169992616E-4</v>
      </c>
    </row>
    <row r="6" spans="1:21" ht="15.75" thickBot="1" x14ac:dyDescent="0.3">
      <c r="A6" s="22">
        <v>44568</v>
      </c>
      <c r="B6" s="12">
        <v>192.42</v>
      </c>
      <c r="C6" s="13">
        <v>2.5999999999999999E-3</v>
      </c>
      <c r="D6" s="7">
        <v>956</v>
      </c>
      <c r="E6" s="7">
        <v>-2.8799999999999999E-2</v>
      </c>
      <c r="F6" s="7">
        <v>931</v>
      </c>
      <c r="G6" s="8">
        <f t="shared" si="2"/>
        <v>0.91109814404744993</v>
      </c>
      <c r="H6" s="9">
        <f t="shared" si="3"/>
        <v>9.9529682311281825E-4</v>
      </c>
      <c r="I6" s="10">
        <f>SUM($H$3:H6)</f>
        <v>4.1208991823645982E-3</v>
      </c>
      <c r="J6" s="23">
        <v>-2.8799999999999999E-2</v>
      </c>
      <c r="Q6" s="7">
        <f t="shared" si="1"/>
        <v>9.0900492178159719E-5</v>
      </c>
      <c r="R6" s="7">
        <f t="shared" si="0"/>
        <v>9.9074624461707771E-4</v>
      </c>
    </row>
    <row r="7" spans="1:21" x14ac:dyDescent="0.25">
      <c r="A7" s="22">
        <v>44571</v>
      </c>
      <c r="B7" s="12">
        <v>194.35</v>
      </c>
      <c r="C7" s="13">
        <v>0.01</v>
      </c>
      <c r="D7" s="7">
        <v>955</v>
      </c>
      <c r="E7" s="7">
        <v>-2.5999999999999999E-2</v>
      </c>
      <c r="F7" s="7">
        <v>851</v>
      </c>
      <c r="G7" s="8">
        <f t="shared" si="2"/>
        <v>0.91841652963425324</v>
      </c>
      <c r="H7" s="9">
        <f t="shared" si="3"/>
        <v>1.0032915336414797E-3</v>
      </c>
      <c r="I7" s="10">
        <f>SUM($H$3:H7)</f>
        <v>5.124190716006078E-3</v>
      </c>
      <c r="J7" s="23">
        <v>-2.5999999999999999E-2</v>
      </c>
      <c r="M7" s="40" t="s">
        <v>516</v>
      </c>
      <c r="N7" s="34" t="s">
        <v>510</v>
      </c>
      <c r="O7" s="43" t="s">
        <v>511</v>
      </c>
      <c r="Q7" s="7">
        <f t="shared" si="1"/>
        <v>9.090958313647336E-5</v>
      </c>
      <c r="R7" s="7">
        <f t="shared" si="0"/>
        <v>9.908453291499926E-4</v>
      </c>
    </row>
    <row r="8" spans="1:21" x14ac:dyDescent="0.25">
      <c r="A8" s="22">
        <v>44572</v>
      </c>
      <c r="B8" s="12">
        <v>194.69</v>
      </c>
      <c r="C8" s="13">
        <v>1.6999999999999999E-3</v>
      </c>
      <c r="D8" s="7">
        <v>954</v>
      </c>
      <c r="E8" s="7">
        <v>-2.5399999999999999E-2</v>
      </c>
      <c r="F8" s="7">
        <v>945</v>
      </c>
      <c r="G8" s="8">
        <f t="shared" si="2"/>
        <v>0.90982343541354627</v>
      </c>
      <c r="H8" s="9">
        <f t="shared" si="3"/>
        <v>9.9390431291838119E-4</v>
      </c>
      <c r="I8" s="10">
        <f>SUM($H$3:H8)</f>
        <v>6.1180950289244588E-3</v>
      </c>
      <c r="J8" s="23">
        <v>-2.5399999999999999E-2</v>
      </c>
      <c r="L8" s="32">
        <v>0.05</v>
      </c>
      <c r="M8" s="41">
        <f>100%-L8</f>
        <v>0.95</v>
      </c>
      <c r="N8" s="46">
        <f>_xlfn.PERCENTILE.INC($C$3:$C$962,L8)</f>
        <v>-1.2704999999999999E-2</v>
      </c>
      <c r="O8" s="44">
        <f>VLOOKUP(L8,$I$3:$J$962,2,1)</f>
        <v>-1.2800000000000001E-2</v>
      </c>
      <c r="Q8" s="7">
        <f t="shared" si="1"/>
        <v>9.0918675003973749E-5</v>
      </c>
      <c r="R8" s="7">
        <f t="shared" si="0"/>
        <v>9.9094442359235185E-4</v>
      </c>
    </row>
    <row r="9" spans="1:21" x14ac:dyDescent="0.25">
      <c r="A9" s="22">
        <v>44573</v>
      </c>
      <c r="B9" s="12">
        <v>196.2</v>
      </c>
      <c r="C9" s="13">
        <v>7.7999999999999996E-3</v>
      </c>
      <c r="D9" s="7">
        <v>953</v>
      </c>
      <c r="E9" s="7">
        <v>-2.47E-2</v>
      </c>
      <c r="F9" s="7">
        <v>868</v>
      </c>
      <c r="G9" s="8">
        <f t="shared" si="2"/>
        <v>0.91685646995605097</v>
      </c>
      <c r="H9" s="9">
        <f t="shared" si="3"/>
        <v>1.0015873018287757E-3</v>
      </c>
      <c r="I9" s="10">
        <f>SUM($H$3:H9)</f>
        <v>7.1196823307532343E-3</v>
      </c>
      <c r="J9" s="23">
        <v>-2.47E-2</v>
      </c>
      <c r="L9" s="32">
        <v>2.5000000000000001E-2</v>
      </c>
      <c r="M9" s="41">
        <f>100%-L9</f>
        <v>0.97499999999999998</v>
      </c>
      <c r="N9" s="46">
        <f>_xlfn.PERCENTILE.INC($C$3:$C$962,L9)</f>
        <v>-1.58125E-2</v>
      </c>
      <c r="O9" s="44">
        <f>VLOOKUP(L9,$I$3:$J$962,2,1)</f>
        <v>-1.6299999999999999E-2</v>
      </c>
      <c r="Q9" s="7">
        <f t="shared" si="1"/>
        <v>9.0927767780751823E-5</v>
      </c>
      <c r="R9" s="7">
        <f t="shared" si="0"/>
        <v>9.910435279451462E-4</v>
      </c>
    </row>
    <row r="10" spans="1:21" x14ac:dyDescent="0.25">
      <c r="A10" s="22">
        <v>44574</v>
      </c>
      <c r="B10" s="12">
        <v>197</v>
      </c>
      <c r="C10" s="13">
        <v>4.1000000000000003E-3</v>
      </c>
      <c r="D10" s="7">
        <v>952</v>
      </c>
      <c r="E10" s="7">
        <v>-2.2499999999999999E-2</v>
      </c>
      <c r="F10" s="7">
        <v>320</v>
      </c>
      <c r="G10" s="8">
        <f t="shared" si="2"/>
        <v>0.96850503236659891</v>
      </c>
      <c r="H10" s="9">
        <f t="shared" si="3"/>
        <v>1.0580089402893688E-3</v>
      </c>
      <c r="I10" s="10">
        <f>SUM($H$3:H10)</f>
        <v>8.1776912710426024E-3</v>
      </c>
      <c r="J10" s="23">
        <v>-2.2499999999999999E-2</v>
      </c>
      <c r="L10" s="32">
        <v>0.01</v>
      </c>
      <c r="M10" s="41">
        <f>100%-L10</f>
        <v>0.99</v>
      </c>
      <c r="N10" s="46">
        <f>_xlfn.PERCENTILE.INC($C$3:$C$962,L10)</f>
        <v>-2.1232999999999998E-2</v>
      </c>
      <c r="O10" s="44">
        <f>VLOOKUP(L10,$I$3:$J$962,2,1)</f>
        <v>-2.23E-2</v>
      </c>
      <c r="Q10" s="7">
        <f t="shared" si="1"/>
        <v>9.093686146689852E-5</v>
      </c>
      <c r="R10" s="7">
        <f t="shared" si="0"/>
        <v>9.9114264220936726E-4</v>
      </c>
    </row>
    <row r="11" spans="1:21" ht="15.75" thickBot="1" x14ac:dyDescent="0.3">
      <c r="A11" s="22">
        <v>44575</v>
      </c>
      <c r="B11" s="12">
        <v>197.36</v>
      </c>
      <c r="C11" s="13">
        <v>1.8E-3</v>
      </c>
      <c r="D11" s="7">
        <v>951</v>
      </c>
      <c r="E11" s="7">
        <v>-2.23E-2</v>
      </c>
      <c r="F11" s="7">
        <v>917</v>
      </c>
      <c r="G11" s="8">
        <f t="shared" si="2"/>
        <v>0.91237463861259915</v>
      </c>
      <c r="H11" s="9">
        <f t="shared" si="3"/>
        <v>9.9669128428444328E-4</v>
      </c>
      <c r="I11" s="10">
        <f>SUM($H$3:H11)</f>
        <v>9.1743825553270465E-3</v>
      </c>
      <c r="J11" s="23">
        <v>-2.23E-2</v>
      </c>
      <c r="L11" s="33">
        <v>1E-3</v>
      </c>
      <c r="M11" s="42">
        <f>100%-L11</f>
        <v>0.999</v>
      </c>
      <c r="N11" s="47">
        <f>_xlfn.PERCENTILE.INC($C$3:$C$962,L11)</f>
        <v>-3.1500899999999998E-2</v>
      </c>
      <c r="O11" s="45">
        <f>VLOOKUP(L11,$I$3:$J$962,2,1)</f>
        <v>-3.6200000000000003E-2</v>
      </c>
      <c r="Q11" s="7">
        <f t="shared" si="1"/>
        <v>9.0945956062504776E-5</v>
      </c>
      <c r="R11" s="7">
        <f t="shared" si="0"/>
        <v>9.91241766386006E-4</v>
      </c>
    </row>
    <row r="12" spans="1:21" x14ac:dyDescent="0.25">
      <c r="A12" s="22">
        <v>44578</v>
      </c>
      <c r="B12" s="12">
        <v>198.03</v>
      </c>
      <c r="C12" s="13">
        <v>3.3999999999999998E-3</v>
      </c>
      <c r="D12" s="7">
        <v>950</v>
      </c>
      <c r="E12" s="7">
        <v>-2.1999999999999999E-2</v>
      </c>
      <c r="F12" s="7">
        <v>879</v>
      </c>
      <c r="G12" s="8">
        <f t="shared" si="2"/>
        <v>0.91584843195890697</v>
      </c>
      <c r="H12" s="9">
        <f t="shared" si="3"/>
        <v>1.0004861065045516E-3</v>
      </c>
      <c r="I12" s="10">
        <f>SUM($H$3:H12)</f>
        <v>1.0174868661831598E-2</v>
      </c>
      <c r="J12" s="23">
        <v>-2.1999999999999999E-2</v>
      </c>
      <c r="Q12" s="7">
        <f t="shared" si="1"/>
        <v>9.095505156766153E-5</v>
      </c>
      <c r="R12" s="7">
        <f t="shared" si="0"/>
        <v>9.9134090047605337E-4</v>
      </c>
    </row>
    <row r="13" spans="1:21" ht="15.75" thickBot="1" x14ac:dyDescent="0.3">
      <c r="A13" s="22">
        <v>44579</v>
      </c>
      <c r="B13" s="12">
        <v>195.97</v>
      </c>
      <c r="C13" s="13">
        <v>-1.04E-2</v>
      </c>
      <c r="D13" s="7">
        <v>949</v>
      </c>
      <c r="E13" s="7">
        <v>-2.07E-2</v>
      </c>
      <c r="F13" s="7">
        <v>848</v>
      </c>
      <c r="G13" s="8">
        <f t="shared" si="2"/>
        <v>0.91869210970732063</v>
      </c>
      <c r="H13" s="9">
        <f t="shared" si="3"/>
        <v>1.0035925813090983E-3</v>
      </c>
      <c r="I13" s="10">
        <f>SUM($H$3:H13)</f>
        <v>1.1178461243140696E-2</v>
      </c>
      <c r="J13" s="23">
        <v>-2.07E-2</v>
      </c>
      <c r="Q13" s="7">
        <f t="shared" si="1"/>
        <v>9.0964147982459774E-5</v>
      </c>
      <c r="R13" s="7">
        <f t="shared" si="0"/>
        <v>9.9144004448050143E-4</v>
      </c>
    </row>
    <row r="14" spans="1:21" x14ac:dyDescent="0.25">
      <c r="A14" s="22">
        <v>44580</v>
      </c>
      <c r="B14" s="12">
        <v>194.18</v>
      </c>
      <c r="C14" s="13">
        <v>-9.1000000000000004E-3</v>
      </c>
      <c r="D14" s="7">
        <v>948</v>
      </c>
      <c r="E14" s="7">
        <v>-2.06E-2</v>
      </c>
      <c r="F14" s="7">
        <v>873</v>
      </c>
      <c r="G14" s="8">
        <f t="shared" si="2"/>
        <v>0.91639813339755183</v>
      </c>
      <c r="H14" s="9">
        <f t="shared" si="3"/>
        <v>1.0010866083265762E-3</v>
      </c>
      <c r="I14" s="10">
        <f>SUM($H$3:H14)</f>
        <v>1.2179547851467272E-2</v>
      </c>
      <c r="J14" s="23">
        <v>-2.06E-2</v>
      </c>
      <c r="M14" s="50" t="s">
        <v>514</v>
      </c>
      <c r="N14" s="51"/>
      <c r="O14" s="52"/>
      <c r="Q14" s="7">
        <f t="shared" si="1"/>
        <v>9.0973245306990471E-5</v>
      </c>
      <c r="R14" s="7">
        <f t="shared" si="0"/>
        <v>9.9153919840034156E-4</v>
      </c>
    </row>
    <row r="15" spans="1:21" ht="15.75" thickBot="1" x14ac:dyDescent="0.3">
      <c r="A15" s="22">
        <v>44581</v>
      </c>
      <c r="B15" s="12">
        <v>192.18</v>
      </c>
      <c r="C15" s="13">
        <v>-1.03E-2</v>
      </c>
      <c r="D15" s="7">
        <v>947</v>
      </c>
      <c r="E15" s="7">
        <v>-0.02</v>
      </c>
      <c r="F15" s="7">
        <v>454</v>
      </c>
      <c r="G15" s="8">
        <f t="shared" si="2"/>
        <v>0.95561298992140353</v>
      </c>
      <c r="H15" s="9">
        <f t="shared" si="3"/>
        <v>1.0439254861928247E-3</v>
      </c>
      <c r="I15" s="10">
        <f>SUM($H$3:H15)</f>
        <v>1.3223473337660097E-2</v>
      </c>
      <c r="J15" s="23">
        <v>-0.02</v>
      </c>
      <c r="M15" s="53" t="s">
        <v>515</v>
      </c>
      <c r="N15" s="54"/>
      <c r="O15" s="55"/>
      <c r="Q15" s="7">
        <f t="shared" si="1"/>
        <v>9.09823435413446E-5</v>
      </c>
      <c r="R15" s="7">
        <f t="shared" si="0"/>
        <v>9.9163836223656516E-4</v>
      </c>
    </row>
    <row r="16" spans="1:21" x14ac:dyDescent="0.25">
      <c r="A16" s="22">
        <v>44582</v>
      </c>
      <c r="B16" s="12">
        <v>190.64</v>
      </c>
      <c r="C16" s="13">
        <v>-8.0000000000000002E-3</v>
      </c>
      <c r="D16" s="7">
        <v>946</v>
      </c>
      <c r="E16" s="7">
        <v>-1.9400000000000001E-2</v>
      </c>
      <c r="F16" s="7">
        <v>785</v>
      </c>
      <c r="G16" s="8">
        <f t="shared" si="2"/>
        <v>0.92449843102617912</v>
      </c>
      <c r="H16" s="9">
        <f t="shared" si="3"/>
        <v>1.009935490907135E-3</v>
      </c>
      <c r="I16" s="10">
        <f>SUM($H$3:H16)</f>
        <v>1.4233408828567232E-2</v>
      </c>
      <c r="J16" s="23">
        <v>-1.9400000000000001E-2</v>
      </c>
      <c r="Q16" s="7">
        <f t="shared" si="1"/>
        <v>9.0991442685613166E-5</v>
      </c>
      <c r="R16" s="7">
        <f t="shared" si="0"/>
        <v>9.9173753599016406E-4</v>
      </c>
    </row>
    <row r="17" spans="1:18" x14ac:dyDescent="0.25">
      <c r="A17" s="22">
        <v>44585</v>
      </c>
      <c r="B17" s="12">
        <v>185.79</v>
      </c>
      <c r="C17" s="13">
        <v>-2.5399999999999999E-2</v>
      </c>
      <c r="D17" s="7">
        <v>945</v>
      </c>
      <c r="E17" s="7">
        <v>-1.9400000000000001E-2</v>
      </c>
      <c r="F17" s="7">
        <v>279</v>
      </c>
      <c r="G17" s="8">
        <f t="shared" si="2"/>
        <v>0.97248425379310965</v>
      </c>
      <c r="H17" s="9">
        <f t="shared" si="3"/>
        <v>1.0623558994727938E-3</v>
      </c>
      <c r="I17" s="10">
        <f>SUM($H$3:H17)</f>
        <v>1.5295764728040026E-2</v>
      </c>
      <c r="J17" s="23">
        <v>-1.9400000000000001E-2</v>
      </c>
      <c r="Q17" s="7">
        <f t="shared" si="1"/>
        <v>9.1000542739887147E-5</v>
      </c>
      <c r="R17" s="7">
        <f t="shared" si="0"/>
        <v>9.918367196621303E-4</v>
      </c>
    </row>
    <row r="18" spans="1:18" x14ac:dyDescent="0.25">
      <c r="A18" s="22">
        <v>44586</v>
      </c>
      <c r="B18" s="12">
        <v>187.07</v>
      </c>
      <c r="C18" s="13">
        <v>6.8999999999999999E-3</v>
      </c>
      <c r="D18" s="7">
        <v>944</v>
      </c>
      <c r="E18" s="7">
        <v>-1.8100000000000002E-2</v>
      </c>
      <c r="F18" s="7">
        <v>779</v>
      </c>
      <c r="G18" s="8">
        <f t="shared" si="2"/>
        <v>0.92505332428124887</v>
      </c>
      <c r="H18" s="9">
        <f t="shared" si="3"/>
        <v>1.0105416643447014E-3</v>
      </c>
      <c r="I18" s="10">
        <f>SUM($H$3:H18)</f>
        <v>1.6306306392384728E-2</v>
      </c>
      <c r="J18" s="23">
        <v>-1.8100000000000002E-2</v>
      </c>
      <c r="Q18" s="7">
        <f t="shared" si="1"/>
        <v>9.100964370425759E-5</v>
      </c>
      <c r="R18" s="7">
        <f t="shared" si="0"/>
        <v>9.9193591325345571E-4</v>
      </c>
    </row>
    <row r="19" spans="1:18" x14ac:dyDescent="0.25">
      <c r="A19" s="22">
        <v>44588</v>
      </c>
      <c r="B19" s="12">
        <v>185.33</v>
      </c>
      <c r="C19" s="13">
        <v>-9.2999999999999992E-3</v>
      </c>
      <c r="D19" s="7">
        <v>943</v>
      </c>
      <c r="E19" s="7">
        <v>-1.7500000000000002E-2</v>
      </c>
      <c r="F19" s="7">
        <v>890</v>
      </c>
      <c r="G19" s="8">
        <f t="shared" si="2"/>
        <v>0.91484150224930527</v>
      </c>
      <c r="H19" s="9">
        <f t="shared" si="3"/>
        <v>9.9938612188970807E-4</v>
      </c>
      <c r="I19" s="10">
        <f>SUM($H$3:H19)</f>
        <v>1.7305692514274437E-2</v>
      </c>
      <c r="J19" s="23">
        <v>-1.7500000000000002E-2</v>
      </c>
      <c r="Q19" s="7">
        <f t="shared" si="1"/>
        <v>9.1018745578815458E-5</v>
      </c>
      <c r="R19" s="7">
        <f t="shared" si="0"/>
        <v>9.9203511676513212E-4</v>
      </c>
    </row>
    <row r="20" spans="1:18" x14ac:dyDescent="0.25">
      <c r="A20" s="22">
        <v>44589</v>
      </c>
      <c r="B20" s="12">
        <v>185.1</v>
      </c>
      <c r="C20" s="13">
        <v>-1.1999999999999999E-3</v>
      </c>
      <c r="D20" s="7">
        <v>942</v>
      </c>
      <c r="E20" s="7">
        <v>-1.7100000000000001E-2</v>
      </c>
      <c r="F20" s="7">
        <v>936</v>
      </c>
      <c r="G20" s="8">
        <f t="shared" si="2"/>
        <v>0.91064268607613008</v>
      </c>
      <c r="H20" s="9">
        <f t="shared" si="3"/>
        <v>9.947992742209916E-4</v>
      </c>
      <c r="I20" s="10">
        <f>SUM($H$3:H20)</f>
        <v>1.8300491788495427E-2</v>
      </c>
      <c r="J20" s="23">
        <v>-1.7100000000000001E-2</v>
      </c>
      <c r="Q20" s="7">
        <f t="shared" si="1"/>
        <v>9.1027848363651825E-5</v>
      </c>
      <c r="R20" s="7">
        <f t="shared" si="0"/>
        <v>9.9213433019815201E-4</v>
      </c>
    </row>
    <row r="21" spans="1:18" x14ac:dyDescent="0.25">
      <c r="A21" s="22">
        <v>44592</v>
      </c>
      <c r="B21" s="12">
        <v>187.63</v>
      </c>
      <c r="C21" s="13">
        <v>1.37E-2</v>
      </c>
      <c r="D21" s="7">
        <v>941</v>
      </c>
      <c r="E21" s="7">
        <v>-1.7100000000000001E-2</v>
      </c>
      <c r="F21" s="7">
        <v>718</v>
      </c>
      <c r="G21" s="8">
        <f t="shared" si="2"/>
        <v>0.93071367911136993</v>
      </c>
      <c r="H21" s="9">
        <f t="shared" si="3"/>
        <v>1.0167251180339865E-3</v>
      </c>
      <c r="I21" s="10">
        <f>SUM($H$3:H21)</f>
        <v>1.9317216906529412E-2</v>
      </c>
      <c r="J21" s="23">
        <v>-1.7100000000000001E-2</v>
      </c>
      <c r="Q21" s="7">
        <f t="shared" si="1"/>
        <v>9.1036952058857709E-5</v>
      </c>
      <c r="R21" s="7">
        <f t="shared" si="0"/>
        <v>9.9223355355350742E-4</v>
      </c>
    </row>
    <row r="22" spans="1:18" x14ac:dyDescent="0.25">
      <c r="A22" s="22">
        <v>44593</v>
      </c>
      <c r="B22" s="12">
        <v>189.7</v>
      </c>
      <c r="C22" s="13">
        <v>1.0999999999999999E-2</v>
      </c>
      <c r="D22" s="7">
        <v>940</v>
      </c>
      <c r="E22" s="7">
        <v>-1.7100000000000001E-2</v>
      </c>
      <c r="F22" s="7">
        <v>450</v>
      </c>
      <c r="G22" s="8">
        <f t="shared" si="2"/>
        <v>0.95599533069778664</v>
      </c>
      <c r="H22" s="9">
        <f t="shared" si="3"/>
        <v>1.0443431608007326E-3</v>
      </c>
      <c r="I22" s="10">
        <f>SUM($H$3:H22)</f>
        <v>2.0361560067330146E-2</v>
      </c>
      <c r="J22" s="23">
        <v>-1.7100000000000001E-2</v>
      </c>
      <c r="Q22" s="7">
        <f t="shared" si="1"/>
        <v>9.1046056664524156E-5</v>
      </c>
      <c r="R22" s="7">
        <f t="shared" si="0"/>
        <v>9.923327868321904E-4</v>
      </c>
    </row>
    <row r="23" spans="1:18" x14ac:dyDescent="0.25">
      <c r="A23" s="22">
        <v>44594</v>
      </c>
      <c r="B23" s="12">
        <v>192.12</v>
      </c>
      <c r="C23" s="13">
        <v>1.2800000000000001E-2</v>
      </c>
      <c r="D23" s="7">
        <v>939</v>
      </c>
      <c r="E23" s="7">
        <v>-1.7000000000000001E-2</v>
      </c>
      <c r="F23" s="7">
        <v>877</v>
      </c>
      <c r="G23" s="8">
        <f t="shared" si="2"/>
        <v>0.91603162912441549</v>
      </c>
      <c r="H23" s="9">
        <f t="shared" si="3"/>
        <v>1.0006862337444378E-3</v>
      </c>
      <c r="I23" s="10">
        <f>SUM($H$3:H23)</f>
        <v>2.1362246301074583E-2</v>
      </c>
      <c r="J23" s="23">
        <v>-1.7000000000000001E-2</v>
      </c>
      <c r="Q23" s="7">
        <f t="shared" si="1"/>
        <v>9.1055162180742212E-5</v>
      </c>
      <c r="R23" s="7">
        <f t="shared" si="0"/>
        <v>9.9243203003519386E-4</v>
      </c>
    </row>
    <row r="24" spans="1:18" x14ac:dyDescent="0.25">
      <c r="A24" s="22">
        <v>44595</v>
      </c>
      <c r="B24" s="12">
        <v>190.01</v>
      </c>
      <c r="C24" s="13">
        <v>-1.0999999999999999E-2</v>
      </c>
      <c r="D24" s="7">
        <v>938</v>
      </c>
      <c r="E24" s="7">
        <v>-1.7000000000000001E-2</v>
      </c>
      <c r="F24" s="7">
        <v>780</v>
      </c>
      <c r="G24" s="8">
        <f t="shared" si="2"/>
        <v>0.92496081894882065</v>
      </c>
      <c r="H24" s="9">
        <f t="shared" si="3"/>
        <v>1.0104406101782669E-3</v>
      </c>
      <c r="I24" s="10">
        <f>SUM($H$3:H24)</f>
        <v>2.237268691125285E-2</v>
      </c>
      <c r="J24" s="23">
        <v>-1.7000000000000001E-2</v>
      </c>
      <c r="Q24" s="7">
        <f t="shared" si="1"/>
        <v>9.1064268607602978E-5</v>
      </c>
      <c r="R24" s="7">
        <f t="shared" si="0"/>
        <v>9.9253128316351027E-4</v>
      </c>
    </row>
    <row r="25" spans="1:18" x14ac:dyDescent="0.25">
      <c r="A25" s="22">
        <v>44596</v>
      </c>
      <c r="B25" s="12">
        <v>189.59</v>
      </c>
      <c r="C25" s="13">
        <v>-2.2000000000000001E-3</v>
      </c>
      <c r="D25" s="7">
        <v>937</v>
      </c>
      <c r="E25" s="7">
        <v>-1.6400000000000001E-2</v>
      </c>
      <c r="F25" s="7">
        <v>852</v>
      </c>
      <c r="G25" s="8">
        <f t="shared" si="2"/>
        <v>0.91832468798128986</v>
      </c>
      <c r="H25" s="9">
        <f t="shared" si="3"/>
        <v>1.0031912044881155E-3</v>
      </c>
      <c r="I25" s="10">
        <f>SUM($H$3:H25)</f>
        <v>2.3375878115740965E-2</v>
      </c>
      <c r="J25" s="23">
        <v>-1.6400000000000001E-2</v>
      </c>
      <c r="Q25" s="7">
        <f t="shared" si="1"/>
        <v>9.1073375945197499E-5</v>
      </c>
      <c r="R25" s="7">
        <f t="shared" si="0"/>
        <v>9.9263054621813213E-4</v>
      </c>
    </row>
    <row r="26" spans="1:18" x14ac:dyDescent="0.25">
      <c r="A26" s="22">
        <v>44599</v>
      </c>
      <c r="B26" s="12">
        <v>186.34</v>
      </c>
      <c r="C26" s="13">
        <v>-1.7100000000000001E-2</v>
      </c>
      <c r="D26" s="7">
        <v>936</v>
      </c>
      <c r="E26" s="7">
        <v>-1.6299999999999999E-2</v>
      </c>
      <c r="F26" s="7">
        <v>176</v>
      </c>
      <c r="G26" s="8">
        <f t="shared" si="2"/>
        <v>0.98255311064984319</v>
      </c>
      <c r="H26" s="9">
        <f t="shared" si="3"/>
        <v>1.0733552646974502E-3</v>
      </c>
      <c r="I26" s="10">
        <f>SUM($H$3:H26)</f>
        <v>2.4449233380438414E-2</v>
      </c>
      <c r="J26" s="23">
        <v>-1.6299999999999999E-2</v>
      </c>
      <c r="Q26" s="7">
        <f t="shared" si="1"/>
        <v>9.1082484193616875E-5</v>
      </c>
      <c r="R26" s="7">
        <f t="shared" si="0"/>
        <v>9.9272981920005233E-4</v>
      </c>
    </row>
    <row r="27" spans="1:18" x14ac:dyDescent="0.25">
      <c r="A27" s="22">
        <v>44600</v>
      </c>
      <c r="B27" s="12">
        <v>186.81</v>
      </c>
      <c r="C27" s="13">
        <v>2.5000000000000001E-3</v>
      </c>
      <c r="D27" s="7">
        <v>935</v>
      </c>
      <c r="E27" s="7">
        <v>-1.5800000000000002E-2</v>
      </c>
      <c r="F27" s="7">
        <v>225</v>
      </c>
      <c r="G27" s="8">
        <f t="shared" si="2"/>
        <v>0.97775013715048209</v>
      </c>
      <c r="H27" s="9">
        <f t="shared" si="3"/>
        <v>1.0681084268055708E-3</v>
      </c>
      <c r="I27" s="10">
        <f>SUM($H$3:H27)</f>
        <v>2.5517341807243986E-2</v>
      </c>
      <c r="J27" s="23">
        <v>-1.5800000000000002E-2</v>
      </c>
      <c r="Q27" s="7">
        <f t="shared" si="1"/>
        <v>9.1091593352952152E-5</v>
      </c>
      <c r="R27" s="7">
        <f t="shared" si="0"/>
        <v>9.9282910211026315E-4</v>
      </c>
    </row>
    <row r="28" spans="1:18" x14ac:dyDescent="0.25">
      <c r="A28" s="22">
        <v>44601</v>
      </c>
      <c r="B28" s="12">
        <v>189.03</v>
      </c>
      <c r="C28" s="13">
        <v>1.1900000000000001E-2</v>
      </c>
      <c r="D28" s="7">
        <v>934</v>
      </c>
      <c r="E28" s="7">
        <v>-1.55E-2</v>
      </c>
      <c r="F28" s="7">
        <v>694</v>
      </c>
      <c r="G28" s="8">
        <f t="shared" si="2"/>
        <v>0.93295018650376382</v>
      </c>
      <c r="H28" s="9">
        <f t="shared" si="3"/>
        <v>1.0191683111378919E-3</v>
      </c>
      <c r="I28" s="10">
        <f>SUM($H$3:H28)</f>
        <v>2.6536510118381876E-2</v>
      </c>
      <c r="J28" s="23">
        <v>-1.55E-2</v>
      </c>
      <c r="Q28" s="7">
        <f t="shared" si="1"/>
        <v>9.1100703423294485E-5</v>
      </c>
      <c r="R28" s="7">
        <f t="shared" si="0"/>
        <v>9.9292839494975814E-4</v>
      </c>
    </row>
    <row r="29" spans="1:18" x14ac:dyDescent="0.25">
      <c r="A29" s="22">
        <v>44602</v>
      </c>
      <c r="B29" s="12">
        <v>190.11</v>
      </c>
      <c r="C29" s="13">
        <v>5.7000000000000002E-3</v>
      </c>
      <c r="D29" s="7">
        <v>933</v>
      </c>
      <c r="E29" s="7">
        <v>-1.5299999999999999E-2</v>
      </c>
      <c r="F29" s="7">
        <v>769</v>
      </c>
      <c r="G29" s="8">
        <f t="shared" si="2"/>
        <v>0.92597888658843608</v>
      </c>
      <c r="H29" s="9">
        <f t="shared" si="3"/>
        <v>1.0115527620293528E-3</v>
      </c>
      <c r="I29" s="10">
        <f>SUM($H$3:H29)</f>
        <v>2.7548062880411228E-2</v>
      </c>
      <c r="J29" s="23">
        <v>-1.5299999999999999E-2</v>
      </c>
      <c r="Q29" s="7">
        <f t="shared" si="1"/>
        <v>9.1109814404734959E-5</v>
      </c>
      <c r="R29" s="7">
        <f t="shared" si="0"/>
        <v>9.9302769771953E-4</v>
      </c>
    </row>
    <row r="30" spans="1:18" x14ac:dyDescent="0.25">
      <c r="A30" s="22">
        <v>44603</v>
      </c>
      <c r="B30" s="12">
        <v>188</v>
      </c>
      <c r="C30" s="13">
        <v>-1.11E-2</v>
      </c>
      <c r="D30" s="7">
        <v>932</v>
      </c>
      <c r="E30" s="7">
        <v>-1.52E-2</v>
      </c>
      <c r="F30" s="7">
        <v>379</v>
      </c>
      <c r="G30" s="8">
        <f t="shared" si="2"/>
        <v>0.96280739235564183</v>
      </c>
      <c r="H30" s="9">
        <f t="shared" si="3"/>
        <v>1.0517847557279184E-3</v>
      </c>
      <c r="I30" s="10">
        <f>SUM($H$3:H30)</f>
        <v>2.8599847636139146E-2</v>
      </c>
      <c r="J30" s="23">
        <v>-1.52E-2</v>
      </c>
      <c r="Q30" s="7">
        <f t="shared" si="1"/>
        <v>9.1118926297364676E-5</v>
      </c>
      <c r="R30" s="7">
        <f t="shared" si="0"/>
        <v>9.9312701042057186E-4</v>
      </c>
    </row>
    <row r="31" spans="1:18" x14ac:dyDescent="0.25">
      <c r="A31" s="22">
        <v>44606</v>
      </c>
      <c r="B31" s="12">
        <v>182.59</v>
      </c>
      <c r="C31" s="13">
        <v>-2.8799999999999999E-2</v>
      </c>
      <c r="D31" s="7">
        <v>931</v>
      </c>
      <c r="E31" s="7">
        <v>-1.4999999999999999E-2</v>
      </c>
      <c r="F31" s="7">
        <v>415</v>
      </c>
      <c r="G31" s="8">
        <f t="shared" si="2"/>
        <v>0.95934734456095738</v>
      </c>
      <c r="H31" s="9">
        <f t="shared" si="3"/>
        <v>1.0480049493477087E-3</v>
      </c>
      <c r="I31" s="10">
        <f>SUM($H$3:H31)</f>
        <v>2.9647852585486856E-2</v>
      </c>
      <c r="J31" s="23">
        <v>-1.4999999999999999E-2</v>
      </c>
      <c r="Q31" s="7">
        <f t="shared" si="1"/>
        <v>9.1128039101274802E-5</v>
      </c>
      <c r="R31" s="7">
        <f t="shared" si="0"/>
        <v>9.9322633305387728E-4</v>
      </c>
    </row>
    <row r="32" spans="1:18" x14ac:dyDescent="0.25">
      <c r="A32" s="22">
        <v>44607</v>
      </c>
      <c r="B32" s="12">
        <v>187.59</v>
      </c>
      <c r="C32" s="13">
        <v>2.7400000000000001E-2</v>
      </c>
      <c r="D32" s="7">
        <v>930</v>
      </c>
      <c r="E32" s="7">
        <v>-1.46E-2</v>
      </c>
      <c r="F32" s="7">
        <v>473</v>
      </c>
      <c r="G32" s="8">
        <f t="shared" si="2"/>
        <v>0.95379895841314744</v>
      </c>
      <c r="H32" s="9">
        <f t="shared" si="3"/>
        <v>1.041943811870481E-3</v>
      </c>
      <c r="I32" s="10">
        <f>SUM($H$3:H32)</f>
        <v>3.0689796397357336E-2</v>
      </c>
      <c r="J32" s="23">
        <v>-1.46E-2</v>
      </c>
      <c r="Q32" s="7">
        <f t="shared" si="1"/>
        <v>9.1137152816556465E-5</v>
      </c>
      <c r="R32" s="7">
        <f t="shared" si="0"/>
        <v>9.9332566562043939E-4</v>
      </c>
    </row>
    <row r="33" spans="1:18" x14ac:dyDescent="0.25">
      <c r="A33" s="22">
        <v>44608</v>
      </c>
      <c r="B33" s="12">
        <v>187.14</v>
      </c>
      <c r="C33" s="13">
        <v>-2.3999999999999998E-3</v>
      </c>
      <c r="D33" s="7">
        <v>929</v>
      </c>
      <c r="E33" s="7">
        <v>-1.46E-2</v>
      </c>
      <c r="F33" s="7">
        <v>215</v>
      </c>
      <c r="G33" s="8">
        <f t="shared" si="2"/>
        <v>0.97872842526538273</v>
      </c>
      <c r="H33" s="9">
        <f t="shared" si="3"/>
        <v>1.0691771229270712E-3</v>
      </c>
      <c r="I33" s="10">
        <f>SUM($H$3:H33)</f>
        <v>3.1758973520284409E-2</v>
      </c>
      <c r="J33" s="23">
        <v>-1.46E-2</v>
      </c>
      <c r="Q33" s="7">
        <f t="shared" si="1"/>
        <v>9.1146267443300793E-5</v>
      </c>
      <c r="R33" s="7">
        <f t="shared" si="0"/>
        <v>9.9342500812125154E-4</v>
      </c>
    </row>
    <row r="34" spans="1:18" x14ac:dyDescent="0.25">
      <c r="A34" s="22">
        <v>44609</v>
      </c>
      <c r="B34" s="12">
        <v>186.93</v>
      </c>
      <c r="C34" s="13">
        <v>-1.1000000000000001E-3</v>
      </c>
      <c r="D34" s="7">
        <v>928</v>
      </c>
      <c r="E34" s="7">
        <v>-1.46E-2</v>
      </c>
      <c r="F34" s="7">
        <v>210</v>
      </c>
      <c r="G34" s="8">
        <f t="shared" si="2"/>
        <v>0.97921793632154142</v>
      </c>
      <c r="H34" s="9">
        <f t="shared" si="3"/>
        <v>1.0697118719025316E-3</v>
      </c>
      <c r="I34" s="10">
        <f>SUM($H$3:H34)</f>
        <v>3.2828685392186939E-2</v>
      </c>
      <c r="J34" s="23">
        <v>-1.46E-2</v>
      </c>
      <c r="Q34" s="7">
        <f t="shared" si="1"/>
        <v>9.1155382981598966E-5</v>
      </c>
      <c r="R34" s="7">
        <f t="shared" si="0"/>
        <v>9.9352436055730729E-4</v>
      </c>
    </row>
    <row r="35" spans="1:18" x14ac:dyDescent="0.25">
      <c r="A35" s="22">
        <v>44610</v>
      </c>
      <c r="B35" s="12">
        <v>186.64</v>
      </c>
      <c r="C35" s="13">
        <v>-1.6000000000000001E-3</v>
      </c>
      <c r="D35" s="7">
        <v>927</v>
      </c>
      <c r="E35" s="7">
        <v>-1.4500000000000001E-2</v>
      </c>
      <c r="F35" s="7">
        <v>918</v>
      </c>
      <c r="G35" s="8">
        <f t="shared" si="2"/>
        <v>0.91228340114873785</v>
      </c>
      <c r="H35" s="9">
        <f t="shared" si="3"/>
        <v>9.9659161515601468E-4</v>
      </c>
      <c r="I35" s="10">
        <f>SUM($H$3:H35)</f>
        <v>3.3825277007342953E-2</v>
      </c>
      <c r="J35" s="23">
        <v>-1.4500000000000001E-2</v>
      </c>
      <c r="Q35" s="7">
        <f t="shared" si="1"/>
        <v>9.1164499431542112E-5</v>
      </c>
      <c r="R35" s="7">
        <f t="shared" si="0"/>
        <v>9.936237229296002E-4</v>
      </c>
    </row>
    <row r="36" spans="1:18" x14ac:dyDescent="0.25">
      <c r="A36" s="22">
        <v>44613</v>
      </c>
      <c r="B36" s="12">
        <v>186.29</v>
      </c>
      <c r="C36" s="13">
        <v>-1.9E-3</v>
      </c>
      <c r="D36" s="7">
        <v>926</v>
      </c>
      <c r="E36" s="7">
        <v>-1.43E-2</v>
      </c>
      <c r="F36" s="7">
        <v>257</v>
      </c>
      <c r="G36" s="8">
        <f t="shared" si="2"/>
        <v>0.97462618150615499</v>
      </c>
      <c r="H36" s="9">
        <f t="shared" si="3"/>
        <v>1.0646957723636119E-3</v>
      </c>
      <c r="I36" s="10">
        <f>SUM($H$3:H36)</f>
        <v>3.4889972779706568E-2</v>
      </c>
      <c r="J36" s="23">
        <v>-1.43E-2</v>
      </c>
      <c r="Q36" s="7">
        <f t="shared" si="1"/>
        <v>9.1173616793221413E-5</v>
      </c>
      <c r="R36" s="7">
        <f t="shared" si="0"/>
        <v>9.9372309523912384E-4</v>
      </c>
    </row>
    <row r="37" spans="1:18" x14ac:dyDescent="0.25">
      <c r="A37" s="22">
        <v>44614</v>
      </c>
      <c r="B37" s="12">
        <v>185.27</v>
      </c>
      <c r="C37" s="13">
        <v>-5.4999999999999997E-3</v>
      </c>
      <c r="D37" s="7">
        <v>925</v>
      </c>
      <c r="E37" s="7">
        <v>-1.4200000000000001E-2</v>
      </c>
      <c r="F37" s="7">
        <v>241</v>
      </c>
      <c r="G37" s="8">
        <f t="shared" si="2"/>
        <v>0.97618690968384414</v>
      </c>
      <c r="H37" s="9">
        <f t="shared" si="3"/>
        <v>1.0664007344548482E-3</v>
      </c>
      <c r="I37" s="10">
        <f>SUM($H$3:H37)</f>
        <v>3.5956373514161415E-2</v>
      </c>
      <c r="J37" s="23">
        <v>-1.4200000000000001E-2</v>
      </c>
      <c r="Q37" s="7">
        <f t="shared" si="1"/>
        <v>9.1182735066728089E-5</v>
      </c>
      <c r="R37" s="7">
        <f t="shared" si="0"/>
        <v>9.9382247748687263E-4</v>
      </c>
    </row>
    <row r="38" spans="1:18" x14ac:dyDescent="0.25">
      <c r="A38" s="22">
        <v>44615</v>
      </c>
      <c r="B38" s="12">
        <v>185.05</v>
      </c>
      <c r="C38" s="13">
        <v>-1.1999999999999999E-3</v>
      </c>
      <c r="D38" s="7">
        <v>924</v>
      </c>
      <c r="E38" s="7">
        <v>-1.41E-2</v>
      </c>
      <c r="F38" s="7">
        <v>676</v>
      </c>
      <c r="G38" s="8">
        <f t="shared" si="2"/>
        <v>0.93463109324841098</v>
      </c>
      <c r="H38" s="9">
        <f t="shared" si="3"/>
        <v>1.021004558038214E-3</v>
      </c>
      <c r="I38" s="10">
        <f>SUM($H$3:H38)</f>
        <v>3.6977378072199626E-2</v>
      </c>
      <c r="J38" s="23">
        <v>-1.41E-2</v>
      </c>
      <c r="Q38" s="7">
        <f t="shared" si="1"/>
        <v>9.119185425215331E-5</v>
      </c>
      <c r="R38" s="7">
        <f t="shared" si="0"/>
        <v>9.9392186967384014E-4</v>
      </c>
    </row>
    <row r="39" spans="1:18" x14ac:dyDescent="0.25">
      <c r="A39" s="22">
        <v>44616</v>
      </c>
      <c r="B39" s="12">
        <v>178.36</v>
      </c>
      <c r="C39" s="13">
        <v>-3.6200000000000003E-2</v>
      </c>
      <c r="D39" s="7">
        <v>923</v>
      </c>
      <c r="E39" s="7">
        <v>-1.38E-2</v>
      </c>
      <c r="F39" s="7">
        <v>774</v>
      </c>
      <c r="G39" s="8">
        <f t="shared" si="2"/>
        <v>0.92551598973377147</v>
      </c>
      <c r="H39" s="9">
        <f t="shared" si="3"/>
        <v>1.0110470867934994E-3</v>
      </c>
      <c r="I39" s="10">
        <f>SUM($H$3:H39)</f>
        <v>3.7988425158993123E-2</v>
      </c>
      <c r="J39" s="23">
        <v>-1.38E-2</v>
      </c>
      <c r="Q39" s="7">
        <f t="shared" si="1"/>
        <v>9.1200974349588257E-5</v>
      </c>
      <c r="R39" s="7">
        <f t="shared" si="0"/>
        <v>9.9402127180101994E-4</v>
      </c>
    </row>
    <row r="40" spans="1:18" x14ac:dyDescent="0.25">
      <c r="A40" s="22">
        <v>44617</v>
      </c>
      <c r="B40" s="12">
        <v>180.85</v>
      </c>
      <c r="C40" s="13">
        <v>1.4E-2</v>
      </c>
      <c r="D40" s="7">
        <v>922</v>
      </c>
      <c r="E40" s="7">
        <v>-1.38E-2</v>
      </c>
      <c r="F40" s="7">
        <v>664</v>
      </c>
      <c r="G40" s="8">
        <f t="shared" si="2"/>
        <v>0.93575337991289476</v>
      </c>
      <c r="H40" s="9">
        <f t="shared" si="3"/>
        <v>1.0222305602631998E-3</v>
      </c>
      <c r="I40" s="10">
        <f>SUM($H$3:H40)</f>
        <v>3.9010655719256326E-2</v>
      </c>
      <c r="J40" s="23">
        <v>-1.38E-2</v>
      </c>
      <c r="Q40" s="7">
        <f t="shared" si="1"/>
        <v>9.1210095359124164E-5</v>
      </c>
      <c r="R40" s="7">
        <f t="shared" si="0"/>
        <v>9.9412068386940688E-4</v>
      </c>
    </row>
    <row r="41" spans="1:18" x14ac:dyDescent="0.25">
      <c r="A41" s="22">
        <v>44620</v>
      </c>
      <c r="B41" s="12">
        <v>181.84</v>
      </c>
      <c r="C41" s="13">
        <v>5.4999999999999997E-3</v>
      </c>
      <c r="D41" s="7">
        <v>921</v>
      </c>
      <c r="E41" s="7">
        <v>-1.37E-2</v>
      </c>
      <c r="F41" s="7">
        <v>889</v>
      </c>
      <c r="G41" s="8">
        <f t="shared" si="2"/>
        <v>0.9149329955488601</v>
      </c>
      <c r="H41" s="9">
        <f t="shared" si="3"/>
        <v>9.9948607049675769E-4</v>
      </c>
      <c r="I41" s="10">
        <f>SUM($H$3:H41)</f>
        <v>4.0010141789753081E-2</v>
      </c>
      <c r="J41" s="23">
        <v>-1.37E-2</v>
      </c>
      <c r="Q41" s="7">
        <f t="shared" si="1"/>
        <v>9.1219217280852241E-5</v>
      </c>
      <c r="R41" s="7">
        <f t="shared" si="0"/>
        <v>9.9422010587999475E-4</v>
      </c>
    </row>
    <row r="42" spans="1:18" x14ac:dyDescent="0.25">
      <c r="A42" s="22">
        <v>44622</v>
      </c>
      <c r="B42" s="12">
        <v>180.1</v>
      </c>
      <c r="C42" s="13">
        <v>-9.5999999999999992E-3</v>
      </c>
      <c r="D42" s="7">
        <v>920</v>
      </c>
      <c r="E42" s="7">
        <v>-1.37E-2</v>
      </c>
      <c r="F42" s="7">
        <v>803</v>
      </c>
      <c r="G42" s="8">
        <f t="shared" si="2"/>
        <v>0.92283574757882414</v>
      </c>
      <c r="H42" s="9">
        <f t="shared" si="3"/>
        <v>1.0081191514010055E-3</v>
      </c>
      <c r="I42" s="10">
        <f>SUM($H$3:H42)</f>
        <v>4.1018260941154086E-2</v>
      </c>
      <c r="J42" s="23">
        <v>-1.37E-2</v>
      </c>
      <c r="Q42" s="7">
        <f t="shared" si="1"/>
        <v>9.1228340114863737E-5</v>
      </c>
      <c r="R42" s="7">
        <f t="shared" si="0"/>
        <v>9.943195378337784E-4</v>
      </c>
    </row>
    <row r="43" spans="1:18" x14ac:dyDescent="0.25">
      <c r="A43" s="22">
        <v>44623</v>
      </c>
      <c r="B43" s="12">
        <v>178.86</v>
      </c>
      <c r="C43" s="13">
        <v>-6.8999999999999999E-3</v>
      </c>
      <c r="D43" s="7">
        <v>919</v>
      </c>
      <c r="E43" s="7">
        <v>-1.37E-2</v>
      </c>
      <c r="F43" s="7">
        <v>156</v>
      </c>
      <c r="G43" s="8">
        <f t="shared" si="2"/>
        <v>0.98452028174667683</v>
      </c>
      <c r="H43" s="9">
        <f t="shared" si="3"/>
        <v>1.0755042309268184E-3</v>
      </c>
      <c r="I43" s="10">
        <f>SUM($H$3:H43)</f>
        <v>4.2093765172080903E-2</v>
      </c>
      <c r="J43" s="23">
        <v>-1.37E-2</v>
      </c>
      <c r="Q43" s="7">
        <f t="shared" si="1"/>
        <v>9.1237463861249861E-5</v>
      </c>
      <c r="R43" s="7">
        <f t="shared" si="0"/>
        <v>9.9441897973175141E-4</v>
      </c>
    </row>
    <row r="44" spans="1:18" x14ac:dyDescent="0.25">
      <c r="A44" s="22">
        <v>44624</v>
      </c>
      <c r="B44" s="12">
        <v>176.26</v>
      </c>
      <c r="C44" s="13">
        <v>-1.4500000000000001E-2</v>
      </c>
      <c r="D44" s="7">
        <v>918</v>
      </c>
      <c r="E44" s="7">
        <v>-1.3599999999999999E-2</v>
      </c>
      <c r="F44" s="7">
        <v>724</v>
      </c>
      <c r="G44" s="8">
        <f t="shared" si="2"/>
        <v>0.93015539049234219</v>
      </c>
      <c r="H44" s="9">
        <f t="shared" si="3"/>
        <v>1.0161152354516009E-3</v>
      </c>
      <c r="I44" s="10">
        <f>SUM($H$3:H44)</f>
        <v>4.3109880407532504E-2</v>
      </c>
      <c r="J44" s="23">
        <v>-1.3599999999999999E-2</v>
      </c>
      <c r="Q44" s="7">
        <f t="shared" si="1"/>
        <v>9.124658852010186E-5</v>
      </c>
      <c r="R44" s="7">
        <f t="shared" si="0"/>
        <v>9.9451843157490885E-4</v>
      </c>
    </row>
    <row r="45" spans="1:18" x14ac:dyDescent="0.25">
      <c r="A45" s="22">
        <v>44627</v>
      </c>
      <c r="B45" s="12">
        <v>172.33</v>
      </c>
      <c r="C45" s="13">
        <v>-2.23E-2</v>
      </c>
      <c r="D45" s="7">
        <v>917</v>
      </c>
      <c r="E45" s="7">
        <v>-1.32E-2</v>
      </c>
      <c r="F45" s="7">
        <v>250</v>
      </c>
      <c r="G45" s="8">
        <f t="shared" si="2"/>
        <v>0.97530869281042898</v>
      </c>
      <c r="H45" s="9">
        <f t="shared" si="3"/>
        <v>1.0654413576085392E-3</v>
      </c>
      <c r="I45" s="10">
        <f>SUM($H$3:H45)</f>
        <v>4.4175321765141044E-2</v>
      </c>
      <c r="J45" s="23">
        <v>-1.32E-2</v>
      </c>
      <c r="Q45" s="7">
        <f t="shared" si="1"/>
        <v>9.1255714091511013E-5</v>
      </c>
      <c r="R45" s="7">
        <f t="shared" si="0"/>
        <v>9.9461789336424537E-4</v>
      </c>
    </row>
    <row r="46" spans="1:18" x14ac:dyDescent="0.25">
      <c r="A46" s="22">
        <v>44628</v>
      </c>
      <c r="B46" s="12">
        <v>173.4</v>
      </c>
      <c r="C46" s="13">
        <v>6.1999999999999998E-3</v>
      </c>
      <c r="D46" s="7">
        <v>916</v>
      </c>
      <c r="E46" s="7">
        <v>-1.2999999999999999E-2</v>
      </c>
      <c r="F46" s="7">
        <v>511</v>
      </c>
      <c r="G46" s="8">
        <f t="shared" si="2"/>
        <v>0.95018121953864376</v>
      </c>
      <c r="H46" s="9">
        <f t="shared" si="3"/>
        <v>1.0379917414682198E-3</v>
      </c>
      <c r="I46" s="10">
        <f>SUM($H$3:H46)</f>
        <v>4.5213313506609266E-2</v>
      </c>
      <c r="J46" s="23">
        <v>-1.2999999999999999E-2</v>
      </c>
      <c r="Q46" s="7">
        <f t="shared" si="1"/>
        <v>9.1264840575568568E-5</v>
      </c>
      <c r="R46" s="7">
        <f t="shared" si="0"/>
        <v>9.947173651007554E-4</v>
      </c>
    </row>
    <row r="47" spans="1:18" x14ac:dyDescent="0.25">
      <c r="A47" s="22">
        <v>44629</v>
      </c>
      <c r="B47" s="12">
        <v>176.98</v>
      </c>
      <c r="C47" s="13">
        <v>2.06E-2</v>
      </c>
      <c r="D47" s="7">
        <v>915</v>
      </c>
      <c r="E47" s="7">
        <v>-1.29E-2</v>
      </c>
      <c r="F47" s="7">
        <v>798</v>
      </c>
      <c r="G47" s="8">
        <f t="shared" si="2"/>
        <v>0.92329730391028131</v>
      </c>
      <c r="H47" s="9">
        <f t="shared" si="3"/>
        <v>1.00862336222987E-3</v>
      </c>
      <c r="I47" s="10">
        <f>SUM($H$3:H47)</f>
        <v>4.6221936868839138E-2</v>
      </c>
      <c r="J47" s="23">
        <v>-1.29E-2</v>
      </c>
      <c r="Q47" s="7">
        <f t="shared" si="1"/>
        <v>9.1273967972365801E-5</v>
      </c>
      <c r="R47" s="7">
        <f t="shared" si="0"/>
        <v>9.948168467854338E-4</v>
      </c>
    </row>
    <row r="48" spans="1:18" x14ac:dyDescent="0.25">
      <c r="A48" s="22">
        <v>44630</v>
      </c>
      <c r="B48" s="12">
        <v>179.65</v>
      </c>
      <c r="C48" s="13">
        <v>1.5100000000000001E-2</v>
      </c>
      <c r="D48" s="7">
        <v>914</v>
      </c>
      <c r="E48" s="7">
        <v>-1.29E-2</v>
      </c>
      <c r="F48" s="7">
        <v>204</v>
      </c>
      <c r="G48" s="8">
        <f t="shared" si="2"/>
        <v>0.97980567277394937</v>
      </c>
      <c r="H48" s="9">
        <f t="shared" si="3"/>
        <v>1.0703539237250834E-3</v>
      </c>
      <c r="I48" s="10">
        <f>SUM($H$3:H48)</f>
        <v>4.7292290792564223E-2</v>
      </c>
      <c r="J48" s="23">
        <v>-1.29E-2</v>
      </c>
      <c r="Q48" s="7">
        <f t="shared" si="1"/>
        <v>9.1283096281994001E-5</v>
      </c>
      <c r="R48" s="7">
        <f t="shared" si="0"/>
        <v>9.9491633841927588E-4</v>
      </c>
    </row>
    <row r="49" spans="1:18" x14ac:dyDescent="0.25">
      <c r="A49" s="22">
        <v>44631</v>
      </c>
      <c r="B49" s="12">
        <v>179.98</v>
      </c>
      <c r="C49" s="13">
        <v>1.8E-3</v>
      </c>
      <c r="D49" s="7">
        <v>913</v>
      </c>
      <c r="E49" s="7">
        <v>-1.2800000000000001E-2</v>
      </c>
      <c r="F49" s="7">
        <v>844</v>
      </c>
      <c r="G49" s="8">
        <f t="shared" si="2"/>
        <v>0.91905967843879155</v>
      </c>
      <c r="H49" s="9">
        <f t="shared" si="3"/>
        <v>1.0039941187209554E-3</v>
      </c>
      <c r="I49" s="10">
        <f>SUM($H$3:H49)</f>
        <v>4.8296284911285181E-2</v>
      </c>
      <c r="J49" s="23">
        <v>-1.2800000000000001E-2</v>
      </c>
      <c r="Q49" s="7">
        <f t="shared" si="1"/>
        <v>9.1292225504544447E-5</v>
      </c>
      <c r="R49" s="7">
        <f t="shared" si="0"/>
        <v>9.9501584000327606E-4</v>
      </c>
    </row>
    <row r="50" spans="1:18" x14ac:dyDescent="0.25">
      <c r="A50" s="22">
        <v>44634</v>
      </c>
      <c r="B50" s="12">
        <v>182.61</v>
      </c>
      <c r="C50" s="13">
        <v>1.46E-2</v>
      </c>
      <c r="D50" s="7">
        <v>912</v>
      </c>
      <c r="E50" s="7">
        <v>-1.2800000000000001E-2</v>
      </c>
      <c r="F50" s="7">
        <v>188</v>
      </c>
      <c r="G50" s="8">
        <f t="shared" si="2"/>
        <v>0.98137469518600351</v>
      </c>
      <c r="H50" s="9">
        <f t="shared" si="3"/>
        <v>1.0720679465582032E-3</v>
      </c>
      <c r="I50" s="10">
        <f>SUM($H$3:H50)</f>
        <v>4.9368352857843384E-2</v>
      </c>
      <c r="J50" s="23">
        <v>-1.2800000000000001E-2</v>
      </c>
      <c r="Q50" s="7">
        <f t="shared" si="1"/>
        <v>9.1301355640108467E-5</v>
      </c>
      <c r="R50" s="7">
        <f t="shared" si="0"/>
        <v>9.9511535153842985E-4</v>
      </c>
    </row>
    <row r="51" spans="1:18" x14ac:dyDescent="0.25">
      <c r="A51" s="22">
        <v>44635</v>
      </c>
      <c r="B51" s="12">
        <v>180.6</v>
      </c>
      <c r="C51" s="13">
        <v>-1.0999999999999999E-2</v>
      </c>
      <c r="D51" s="7">
        <v>911</v>
      </c>
      <c r="E51" s="7">
        <v>-1.2699999999999999E-2</v>
      </c>
      <c r="F51" s="7">
        <v>153</v>
      </c>
      <c r="G51" s="8">
        <f t="shared" si="2"/>
        <v>0.98481569691226445</v>
      </c>
      <c r="H51" s="9">
        <f t="shared" si="3"/>
        <v>1.0758269467371069E-3</v>
      </c>
      <c r="I51" s="10">
        <f>SUM($H$3:H51)</f>
        <v>5.0444179804580491E-2</v>
      </c>
      <c r="J51" s="23">
        <v>-1.2699999999999999E-2</v>
      </c>
      <c r="Q51" s="7">
        <f t="shared" si="1"/>
        <v>9.1310486688777324E-5</v>
      </c>
      <c r="R51" s="7">
        <f t="shared" si="0"/>
        <v>9.9521487302573234E-4</v>
      </c>
    </row>
    <row r="52" spans="1:18" x14ac:dyDescent="0.25">
      <c r="A52" s="22">
        <v>44636</v>
      </c>
      <c r="B52" s="12">
        <v>183.66</v>
      </c>
      <c r="C52" s="13">
        <v>1.6899999999999998E-2</v>
      </c>
      <c r="D52" s="7">
        <v>910</v>
      </c>
      <c r="E52" s="7">
        <v>-1.23E-2</v>
      </c>
      <c r="F52" s="7">
        <v>281</v>
      </c>
      <c r="G52" s="8">
        <f t="shared" si="2"/>
        <v>0.97228976666719358</v>
      </c>
      <c r="H52" s="9">
        <f t="shared" si="3"/>
        <v>1.0621434389164583E-3</v>
      </c>
      <c r="I52" s="10">
        <f>SUM($H$3:H52)</f>
        <v>5.1506323243496951E-2</v>
      </c>
      <c r="J52" s="23">
        <v>-1.23E-2</v>
      </c>
      <c r="Q52" s="7">
        <f t="shared" si="1"/>
        <v>9.131961865064239E-5</v>
      </c>
      <c r="R52" s="7">
        <f t="shared" si="0"/>
        <v>9.9531440446617905E-4</v>
      </c>
    </row>
    <row r="53" spans="1:18" x14ac:dyDescent="0.25">
      <c r="A53" s="22">
        <v>44637</v>
      </c>
      <c r="B53" s="12">
        <v>186.71</v>
      </c>
      <c r="C53" s="13">
        <v>1.66E-2</v>
      </c>
      <c r="D53" s="7">
        <v>909</v>
      </c>
      <c r="E53" s="7">
        <v>-1.2E-2</v>
      </c>
      <c r="F53" s="7">
        <v>885</v>
      </c>
      <c r="G53" s="8">
        <f t="shared" si="2"/>
        <v>0.91529906025868102</v>
      </c>
      <c r="H53" s="9">
        <f t="shared" si="3"/>
        <v>9.9988596489355682E-4</v>
      </c>
      <c r="I53" s="10">
        <f>SUM($H$3:H53)</f>
        <v>5.2506209208390511E-2</v>
      </c>
      <c r="J53" s="23">
        <v>-1.2E-2</v>
      </c>
      <c r="Q53" s="7">
        <f t="shared" si="1"/>
        <v>9.1328751525794982E-5</v>
      </c>
      <c r="R53" s="7">
        <f t="shared" si="0"/>
        <v>9.9541394586076526E-4</v>
      </c>
    </row>
    <row r="54" spans="1:18" x14ac:dyDescent="0.25">
      <c r="A54" s="22">
        <v>44641</v>
      </c>
      <c r="B54" s="12">
        <v>185.38</v>
      </c>
      <c r="C54" s="13">
        <v>-7.1000000000000004E-3</v>
      </c>
      <c r="D54" s="7">
        <v>908</v>
      </c>
      <c r="E54" s="7">
        <v>-1.2E-2</v>
      </c>
      <c r="F54" s="7">
        <v>695</v>
      </c>
      <c r="G54" s="8">
        <f t="shared" si="2"/>
        <v>0.93285689148511342</v>
      </c>
      <c r="H54" s="9">
        <f t="shared" si="3"/>
        <v>1.0190663943067781E-3</v>
      </c>
      <c r="I54" s="10">
        <f>SUM($H$3:H54)</f>
        <v>5.3525275602697292E-2</v>
      </c>
      <c r="J54" s="23">
        <v>-1.2E-2</v>
      </c>
      <c r="Q54" s="7">
        <f t="shared" si="1"/>
        <v>9.1337885314326402E-5</v>
      </c>
      <c r="R54" s="7">
        <f t="shared" si="0"/>
        <v>9.9551349721048606E-4</v>
      </c>
    </row>
    <row r="55" spans="1:18" x14ac:dyDescent="0.25">
      <c r="A55" s="22">
        <v>44642</v>
      </c>
      <c r="B55" s="12">
        <v>187.34</v>
      </c>
      <c r="C55" s="13">
        <v>1.06E-2</v>
      </c>
      <c r="D55" s="7">
        <v>907</v>
      </c>
      <c r="E55" s="7">
        <v>-1.18E-2</v>
      </c>
      <c r="F55" s="7">
        <v>228</v>
      </c>
      <c r="G55" s="8">
        <f t="shared" si="2"/>
        <v>0.97745684144086342</v>
      </c>
      <c r="H55" s="9">
        <f t="shared" si="3"/>
        <v>1.0677880263197141E-3</v>
      </c>
      <c r="I55" s="10">
        <f>SUM($H$3:H55)</f>
        <v>5.4593063629017009E-2</v>
      </c>
      <c r="J55" s="23">
        <v>-1.18E-2</v>
      </c>
      <c r="Q55" s="7">
        <f t="shared" si="1"/>
        <v>9.1347020016328037E-5</v>
      </c>
      <c r="R55" s="7">
        <f t="shared" si="0"/>
        <v>9.9561305851633762E-4</v>
      </c>
    </row>
    <row r="56" spans="1:18" x14ac:dyDescent="0.25">
      <c r="A56" s="22">
        <v>44643</v>
      </c>
      <c r="B56" s="12">
        <v>186.34</v>
      </c>
      <c r="C56" s="13">
        <v>-5.3E-3</v>
      </c>
      <c r="D56" s="7">
        <v>906</v>
      </c>
      <c r="E56" s="7">
        <v>-1.18E-2</v>
      </c>
      <c r="F56" s="7">
        <v>130</v>
      </c>
      <c r="G56" s="8">
        <f t="shared" si="2"/>
        <v>0.9870834933730348</v>
      </c>
      <c r="H56" s="9">
        <f t="shared" si="3"/>
        <v>1.0783043204729858E-3</v>
      </c>
      <c r="I56" s="10">
        <f>SUM($H$3:H56)</f>
        <v>5.5671367949489993E-2</v>
      </c>
      <c r="J56" s="23">
        <v>-1.18E-2</v>
      </c>
      <c r="Q56" s="7">
        <f t="shared" si="1"/>
        <v>9.1356155631891215E-5</v>
      </c>
      <c r="R56" s="7">
        <f t="shared" si="0"/>
        <v>9.9571262977931545E-4</v>
      </c>
    </row>
    <row r="57" spans="1:18" x14ac:dyDescent="0.25">
      <c r="A57" s="22">
        <v>44644</v>
      </c>
      <c r="B57" s="12">
        <v>186.09</v>
      </c>
      <c r="C57" s="13">
        <v>-1.2999999999999999E-3</v>
      </c>
      <c r="D57" s="7">
        <v>905</v>
      </c>
      <c r="E57" s="7">
        <v>-1.17E-2</v>
      </c>
      <c r="F57" s="7">
        <v>254</v>
      </c>
      <c r="G57" s="8">
        <f t="shared" si="2"/>
        <v>0.97491862784792549</v>
      </c>
      <c r="H57" s="9">
        <f t="shared" si="3"/>
        <v>1.065015244987716E-3</v>
      </c>
      <c r="I57" s="10">
        <f>SUM($H$3:H57)</f>
        <v>5.6736383194477706E-2</v>
      </c>
      <c r="J57" s="23">
        <v>-1.17E-2</v>
      </c>
      <c r="Q57" s="7">
        <f t="shared" si="1"/>
        <v>9.1365292161107336E-5</v>
      </c>
      <c r="R57" s="7">
        <f t="shared" si="0"/>
        <v>9.9581221100041571E-4</v>
      </c>
    </row>
    <row r="58" spans="1:18" x14ac:dyDescent="0.25">
      <c r="A58" s="22">
        <v>44645</v>
      </c>
      <c r="B58" s="12">
        <v>185.82</v>
      </c>
      <c r="C58" s="13">
        <v>-1.5E-3</v>
      </c>
      <c r="D58" s="7">
        <v>904</v>
      </c>
      <c r="E58" s="7">
        <v>-1.11E-2</v>
      </c>
      <c r="F58" s="7">
        <v>932</v>
      </c>
      <c r="G58" s="8">
        <f t="shared" si="2"/>
        <v>0.91100703423304519</v>
      </c>
      <c r="H58" s="9">
        <f t="shared" si="3"/>
        <v>9.9519729343050685E-4</v>
      </c>
      <c r="I58" s="10">
        <f>SUM($H$3:H58)</f>
        <v>5.7731580487908211E-2</v>
      </c>
      <c r="J58" s="23">
        <v>-1.11E-2</v>
      </c>
      <c r="Q58" s="7">
        <f t="shared" si="1"/>
        <v>9.1374429604067743E-5</v>
      </c>
      <c r="R58" s="7">
        <f t="shared" si="0"/>
        <v>9.959118021806337E-4</v>
      </c>
    </row>
    <row r="59" spans="1:18" x14ac:dyDescent="0.25">
      <c r="A59" s="22">
        <v>44648</v>
      </c>
      <c r="B59" s="12">
        <v>186.32</v>
      </c>
      <c r="C59" s="13">
        <v>2.7000000000000001E-3</v>
      </c>
      <c r="D59" s="7">
        <v>903</v>
      </c>
      <c r="E59" s="7">
        <v>-1.0999999999999999E-2</v>
      </c>
      <c r="F59" s="7">
        <v>938</v>
      </c>
      <c r="G59" s="8">
        <f t="shared" si="2"/>
        <v>0.91046056664534181</v>
      </c>
      <c r="H59" s="9">
        <f t="shared" si="3"/>
        <v>9.9460032431414021E-4</v>
      </c>
      <c r="I59" s="10">
        <f>SUM($H$3:H59)</f>
        <v>5.8726180812222355E-2</v>
      </c>
      <c r="J59" s="23">
        <v>-1.0999999999999999E-2</v>
      </c>
      <c r="Q59" s="7">
        <f t="shared" si="1"/>
        <v>9.1383567960863821E-5</v>
      </c>
      <c r="R59" s="7">
        <f t="shared" si="0"/>
        <v>9.9601140332096581E-4</v>
      </c>
    </row>
    <row r="60" spans="1:18" x14ac:dyDescent="0.25">
      <c r="A60" s="22">
        <v>44649</v>
      </c>
      <c r="B60" s="12">
        <v>187.22</v>
      </c>
      <c r="C60" s="13">
        <v>4.7999999999999996E-3</v>
      </c>
      <c r="D60" s="7">
        <v>902</v>
      </c>
      <c r="E60" s="7">
        <v>-1.0999999999999999E-2</v>
      </c>
      <c r="F60" s="7">
        <v>911</v>
      </c>
      <c r="G60" s="8">
        <f t="shared" si="2"/>
        <v>0.91292225504554503</v>
      </c>
      <c r="H60" s="9">
        <f t="shared" si="3"/>
        <v>9.9728950841601063E-4</v>
      </c>
      <c r="I60" s="10">
        <f>SUM($H$3:H60)</f>
        <v>5.9723470320638364E-2</v>
      </c>
      <c r="J60" s="23">
        <v>-1.0999999999999999E-2</v>
      </c>
      <c r="Q60" s="7">
        <f t="shared" si="1"/>
        <v>9.1392707231586969E-5</v>
      </c>
      <c r="R60" s="7">
        <f t="shared" si="0"/>
        <v>9.9611101442240797E-4</v>
      </c>
    </row>
    <row r="61" spans="1:18" x14ac:dyDescent="0.25">
      <c r="A61" s="22">
        <v>44650</v>
      </c>
      <c r="B61" s="12">
        <v>188.91</v>
      </c>
      <c r="C61" s="13">
        <v>8.9999999999999993E-3</v>
      </c>
      <c r="D61" s="7">
        <v>901</v>
      </c>
      <c r="E61" s="7">
        <v>-1.0800000000000001E-2</v>
      </c>
      <c r="F61" s="7">
        <v>796</v>
      </c>
      <c r="G61" s="8">
        <f t="shared" si="2"/>
        <v>0.9234819910736759</v>
      </c>
      <c r="H61" s="9">
        <f t="shared" si="3"/>
        <v>1.0088251171650514E-3</v>
      </c>
      <c r="I61" s="10">
        <f>SUM($H$3:H61)</f>
        <v>6.0732295437803417E-2</v>
      </c>
      <c r="J61" s="23">
        <v>-1.0800000000000001E-2</v>
      </c>
      <c r="Q61" s="7">
        <f t="shared" si="1"/>
        <v>9.1401847416328611E-5</v>
      </c>
      <c r="R61" s="7">
        <f t="shared" si="0"/>
        <v>9.9621063548595659E-4</v>
      </c>
    </row>
    <row r="62" spans="1:18" x14ac:dyDescent="0.25">
      <c r="A62" s="22">
        <v>44651</v>
      </c>
      <c r="B62" s="12">
        <v>188.87</v>
      </c>
      <c r="C62" s="13">
        <v>-2.0000000000000001E-4</v>
      </c>
      <c r="D62" s="7">
        <v>900</v>
      </c>
      <c r="E62" s="7">
        <v>-1.0800000000000001E-2</v>
      </c>
      <c r="F62" s="7">
        <v>706</v>
      </c>
      <c r="G62" s="8">
        <f t="shared" si="2"/>
        <v>0.93183126182187981</v>
      </c>
      <c r="H62" s="9">
        <f t="shared" si="3"/>
        <v>1.0179459815914456E-3</v>
      </c>
      <c r="I62" s="10">
        <f>SUM($H$3:H62)</f>
        <v>6.1750241419394863E-2</v>
      </c>
      <c r="J62" s="23">
        <v>-1.0800000000000001E-2</v>
      </c>
      <c r="Q62" s="7">
        <f t="shared" si="1"/>
        <v>9.1410988515180133E-5</v>
      </c>
      <c r="R62" s="7">
        <f t="shared" si="0"/>
        <v>9.9631026651260781E-4</v>
      </c>
    </row>
    <row r="63" spans="1:18" x14ac:dyDescent="0.25">
      <c r="A63" s="22">
        <v>44652</v>
      </c>
      <c r="B63" s="12">
        <v>190.47</v>
      </c>
      <c r="C63" s="13">
        <v>8.5000000000000006E-3</v>
      </c>
      <c r="D63" s="7">
        <v>899</v>
      </c>
      <c r="E63" s="7">
        <v>-1.0800000000000001E-2</v>
      </c>
      <c r="F63" s="7">
        <v>395</v>
      </c>
      <c r="G63" s="8">
        <f t="shared" si="2"/>
        <v>0.96126805535774718</v>
      </c>
      <c r="H63" s="9">
        <f t="shared" si="3"/>
        <v>1.0501031616716532E-3</v>
      </c>
      <c r="I63" s="10">
        <f>SUM($H$3:H63)</f>
        <v>6.2800344581066522E-2</v>
      </c>
      <c r="J63" s="23">
        <v>-1.0800000000000001E-2</v>
      </c>
      <c r="Q63" s="7">
        <f t="shared" si="1"/>
        <v>9.1420130528232946E-5</v>
      </c>
      <c r="R63" s="7">
        <f t="shared" si="0"/>
        <v>9.9640990750335802E-4</v>
      </c>
    </row>
    <row r="64" spans="1:18" x14ac:dyDescent="0.25">
      <c r="A64" s="22">
        <v>44655</v>
      </c>
      <c r="B64" s="12">
        <v>195.19</v>
      </c>
      <c r="C64" s="13">
        <v>2.4799999999999999E-2</v>
      </c>
      <c r="D64" s="7">
        <v>898</v>
      </c>
      <c r="E64" s="7">
        <v>-1.0699999999999999E-2</v>
      </c>
      <c r="F64" s="7">
        <v>886</v>
      </c>
      <c r="G64" s="8">
        <f t="shared" si="2"/>
        <v>0.91520753035265523</v>
      </c>
      <c r="H64" s="9">
        <f t="shared" si="3"/>
        <v>9.9978597629706749E-4</v>
      </c>
      <c r="I64" s="10">
        <f>SUM($H$3:H64)</f>
        <v>6.3800130557363596E-2</v>
      </c>
      <c r="J64" s="23">
        <v>-1.0699999999999999E-2</v>
      </c>
      <c r="Q64" s="7">
        <f t="shared" si="1"/>
        <v>9.1429273455578502E-5</v>
      </c>
      <c r="R64" s="7">
        <f t="shared" si="0"/>
        <v>9.9650955845920403E-4</v>
      </c>
    </row>
    <row r="65" spans="1:18" x14ac:dyDescent="0.25">
      <c r="A65" s="22">
        <v>44656</v>
      </c>
      <c r="B65" s="12">
        <v>194.55</v>
      </c>
      <c r="C65" s="13">
        <v>-3.3E-3</v>
      </c>
      <c r="D65" s="7">
        <v>897</v>
      </c>
      <c r="E65" s="7">
        <v>-1.0699999999999999E-2</v>
      </c>
      <c r="F65" s="7">
        <v>804</v>
      </c>
      <c r="G65" s="8">
        <f t="shared" si="2"/>
        <v>0.92274346400406626</v>
      </c>
      <c r="H65" s="9">
        <f t="shared" si="3"/>
        <v>1.0080183394858655E-3</v>
      </c>
      <c r="I65" s="10">
        <f>SUM($H$3:H65)</f>
        <v>6.4808148896849466E-2</v>
      </c>
      <c r="J65" s="23">
        <v>-1.0699999999999999E-2</v>
      </c>
      <c r="Q65" s="7">
        <f t="shared" si="1"/>
        <v>9.1438417297308241E-5</v>
      </c>
      <c r="R65" s="7">
        <f t="shared" si="0"/>
        <v>9.9660921938114224E-4</v>
      </c>
    </row>
    <row r="66" spans="1:18" x14ac:dyDescent="0.25">
      <c r="A66" s="22">
        <v>44657</v>
      </c>
      <c r="B66" s="12">
        <v>193</v>
      </c>
      <c r="C66" s="13">
        <v>-8.0000000000000002E-3</v>
      </c>
      <c r="D66" s="7">
        <v>896</v>
      </c>
      <c r="E66" s="7">
        <v>-1.0500000000000001E-2</v>
      </c>
      <c r="F66" s="7">
        <v>535</v>
      </c>
      <c r="G66" s="8">
        <f t="shared" si="2"/>
        <v>0.94790340518975991</v>
      </c>
      <c r="H66" s="9">
        <f t="shared" si="3"/>
        <v>1.0355034240461102E-3</v>
      </c>
      <c r="I66" s="10">
        <f>SUM($H$3:H66)</f>
        <v>6.5843652320895577E-2</v>
      </c>
      <c r="J66" s="23">
        <v>-1.0500000000000001E-2</v>
      </c>
      <c r="Q66" s="7">
        <f t="shared" si="1"/>
        <v>9.1447562053513601E-5</v>
      </c>
      <c r="R66" s="7">
        <f t="shared" ref="R66:R129" si="4">Q66/$U$2</f>
        <v>9.9670889027016923E-4</v>
      </c>
    </row>
    <row r="67" spans="1:18" x14ac:dyDescent="0.25">
      <c r="A67" s="22">
        <v>44658</v>
      </c>
      <c r="B67" s="12">
        <v>191.26</v>
      </c>
      <c r="C67" s="13">
        <v>-8.9999999999999993E-3</v>
      </c>
      <c r="D67" s="7">
        <v>895</v>
      </c>
      <c r="E67" s="7">
        <v>-1.0500000000000001E-2</v>
      </c>
      <c r="F67" s="7">
        <v>266</v>
      </c>
      <c r="G67" s="8">
        <f t="shared" si="2"/>
        <v>0.97374936872636875</v>
      </c>
      <c r="H67" s="9">
        <f t="shared" si="3"/>
        <v>1.063737929369542E-3</v>
      </c>
      <c r="I67" s="10">
        <f>SUM($H$3:H67)</f>
        <v>6.6907390250265125E-2</v>
      </c>
      <c r="J67" s="23">
        <v>-1.0500000000000001E-2</v>
      </c>
      <c r="Q67" s="7">
        <f t="shared" ref="Q67:Q130" si="5">(1-$N$3) * $N$3^(D68-1)</f>
        <v>9.1456707724285995E-5</v>
      </c>
      <c r="R67" s="7">
        <f t="shared" si="4"/>
        <v>9.968085711272816E-4</v>
      </c>
    </row>
    <row r="68" spans="1:18" x14ac:dyDescent="0.25">
      <c r="A68" s="22">
        <v>44659</v>
      </c>
      <c r="B68" s="12">
        <v>192.76</v>
      </c>
      <c r="C68" s="13">
        <v>7.7999999999999996E-3</v>
      </c>
      <c r="D68" s="7">
        <v>894</v>
      </c>
      <c r="E68" s="7">
        <v>-1.04E-2</v>
      </c>
      <c r="F68" s="7">
        <v>949</v>
      </c>
      <c r="G68" s="8">
        <f t="shared" ref="G68:G131" si="6">$N$3^F68</f>
        <v>0.90945956062514788</v>
      </c>
      <c r="H68" s="9">
        <f t="shared" ref="H68:H131" si="7">G68/$N$4</f>
        <v>9.9350681082349722E-4</v>
      </c>
      <c r="I68" s="10">
        <f>SUM($H$3:H68)</f>
        <v>6.7900897061088622E-2</v>
      </c>
      <c r="J68" s="23">
        <v>-1.04E-2</v>
      </c>
      <c r="Q68" s="7">
        <f t="shared" si="5"/>
        <v>9.1465854309716956E-5</v>
      </c>
      <c r="R68" s="7">
        <f t="shared" si="4"/>
        <v>9.9690826195347683E-4</v>
      </c>
    </row>
    <row r="69" spans="1:18" x14ac:dyDescent="0.25">
      <c r="A69" s="22">
        <v>44662</v>
      </c>
      <c r="B69" s="12">
        <v>191.67</v>
      </c>
      <c r="C69" s="13">
        <v>-5.7000000000000002E-3</v>
      </c>
      <c r="D69" s="7">
        <v>893</v>
      </c>
      <c r="E69" s="7">
        <v>-1.04E-2</v>
      </c>
      <c r="F69" s="7">
        <v>179</v>
      </c>
      <c r="G69" s="8">
        <f t="shared" si="6"/>
        <v>0.98225837419225903</v>
      </c>
      <c r="H69" s="9">
        <f t="shared" si="7"/>
        <v>1.0730332903176256E-3</v>
      </c>
      <c r="I69" s="10">
        <f>SUM($H$3:H69)</f>
        <v>6.8973930351406254E-2</v>
      </c>
      <c r="J69" s="23">
        <v>-1.04E-2</v>
      </c>
      <c r="Q69" s="7">
        <f t="shared" si="5"/>
        <v>9.1475001809897949E-5</v>
      </c>
      <c r="R69" s="7">
        <f t="shared" si="4"/>
        <v>9.9700796274975194E-4</v>
      </c>
    </row>
    <row r="70" spans="1:18" x14ac:dyDescent="0.25">
      <c r="A70" s="22">
        <v>44663</v>
      </c>
      <c r="B70" s="12">
        <v>190.42</v>
      </c>
      <c r="C70" s="13">
        <v>-6.4999999999999997E-3</v>
      </c>
      <c r="D70" s="7">
        <v>892</v>
      </c>
      <c r="E70" s="7">
        <v>-1.04E-2</v>
      </c>
      <c r="F70" s="7">
        <v>108</v>
      </c>
      <c r="G70" s="8">
        <f t="shared" si="6"/>
        <v>0.98925757637879941</v>
      </c>
      <c r="H70" s="9">
        <f t="shared" si="7"/>
        <v>1.0806793202718093E-3</v>
      </c>
      <c r="I70" s="10">
        <f>SUM($H$3:H70)</f>
        <v>7.0054609671678064E-2</v>
      </c>
      <c r="J70" s="23">
        <v>-1.04E-2</v>
      </c>
      <c r="Q70" s="7">
        <f t="shared" si="5"/>
        <v>9.1484150224920455E-5</v>
      </c>
      <c r="R70" s="7">
        <f t="shared" si="4"/>
        <v>9.9710767351710375E-4</v>
      </c>
    </row>
    <row r="71" spans="1:18" x14ac:dyDescent="0.25">
      <c r="A71" s="22">
        <v>44664</v>
      </c>
      <c r="B71" s="12">
        <v>189.54</v>
      </c>
      <c r="C71" s="13">
        <v>-4.5999999999999999E-3</v>
      </c>
      <c r="D71" s="7">
        <v>891</v>
      </c>
      <c r="E71" s="7">
        <v>-1.03E-2</v>
      </c>
      <c r="F71" s="7">
        <v>947</v>
      </c>
      <c r="G71" s="8">
        <f t="shared" si="6"/>
        <v>0.9096414798246979</v>
      </c>
      <c r="H71" s="9">
        <f t="shared" si="7"/>
        <v>9.9370554199484061E-4</v>
      </c>
      <c r="I71" s="10">
        <f>SUM($H$3:H71)</f>
        <v>7.10483152136729E-2</v>
      </c>
      <c r="J71" s="23">
        <v>-1.03E-2</v>
      </c>
      <c r="Q71" s="7">
        <f t="shared" si="5"/>
        <v>9.1493299554875926E-5</v>
      </c>
      <c r="R71" s="7">
        <f t="shared" si="4"/>
        <v>9.9720739425652929E-4</v>
      </c>
    </row>
    <row r="72" spans="1:18" x14ac:dyDescent="0.25">
      <c r="A72" s="22">
        <v>44669</v>
      </c>
      <c r="B72" s="12">
        <v>186.23</v>
      </c>
      <c r="C72" s="13">
        <v>-1.7500000000000002E-2</v>
      </c>
      <c r="D72" s="7">
        <v>890</v>
      </c>
      <c r="E72" s="7">
        <v>-1.03E-2</v>
      </c>
      <c r="F72" s="7">
        <v>251</v>
      </c>
      <c r="G72" s="8">
        <f t="shared" si="6"/>
        <v>0.97521116194114799</v>
      </c>
      <c r="H72" s="9">
        <f t="shared" si="7"/>
        <v>1.0653348134727785E-3</v>
      </c>
      <c r="I72" s="10">
        <f>SUM($H$3:H72)</f>
        <v>7.2113650027145676E-2</v>
      </c>
      <c r="J72" s="23">
        <v>-1.03E-2</v>
      </c>
      <c r="Q72" s="7">
        <f t="shared" si="5"/>
        <v>9.150244979985591E-5</v>
      </c>
      <c r="R72" s="7">
        <f t="shared" si="4"/>
        <v>9.9730712496902602E-4</v>
      </c>
    </row>
    <row r="73" spans="1:18" x14ac:dyDescent="0.25">
      <c r="A73" s="22">
        <v>44670</v>
      </c>
      <c r="B73" s="12">
        <v>183.68</v>
      </c>
      <c r="C73" s="13">
        <v>-1.37E-2</v>
      </c>
      <c r="D73" s="7">
        <v>889</v>
      </c>
      <c r="E73" s="7">
        <v>-1.01E-2</v>
      </c>
      <c r="F73" s="7">
        <v>710</v>
      </c>
      <c r="G73" s="8">
        <f t="shared" si="6"/>
        <v>0.93145858522329961</v>
      </c>
      <c r="H73" s="9">
        <f t="shared" si="7"/>
        <v>1.0175388642714963E-3</v>
      </c>
      <c r="I73" s="10">
        <f>SUM($H$3:H73)</f>
        <v>7.3131188891417176E-2</v>
      </c>
      <c r="J73" s="23">
        <v>-1.01E-2</v>
      </c>
      <c r="Q73" s="7">
        <f t="shared" si="5"/>
        <v>9.1511600959951899E-5</v>
      </c>
      <c r="R73" s="7">
        <f t="shared" si="4"/>
        <v>9.9740686565559164E-4</v>
      </c>
    </row>
    <row r="74" spans="1:18" x14ac:dyDescent="0.25">
      <c r="A74" s="22">
        <v>44671</v>
      </c>
      <c r="B74" s="12">
        <v>185.86</v>
      </c>
      <c r="C74" s="13">
        <v>1.1900000000000001E-2</v>
      </c>
      <c r="D74" s="7">
        <v>888</v>
      </c>
      <c r="E74" s="7">
        <v>-9.9000000000000008E-3</v>
      </c>
      <c r="F74" s="7">
        <v>513</v>
      </c>
      <c r="G74" s="8">
        <f t="shared" si="6"/>
        <v>0.9499911927965482</v>
      </c>
      <c r="H74" s="9">
        <f t="shared" si="7"/>
        <v>1.0377841534998434E-3</v>
      </c>
      <c r="I74" s="10">
        <f>SUM($H$3:H74)</f>
        <v>7.4168973044917014E-2</v>
      </c>
      <c r="J74" s="23">
        <v>-9.9000000000000008E-3</v>
      </c>
      <c r="Q74" s="7">
        <f t="shared" si="5"/>
        <v>9.152075303525544E-5</v>
      </c>
      <c r="R74" s="7">
        <f t="shared" si="4"/>
        <v>9.975066163172236E-4</v>
      </c>
    </row>
    <row r="75" spans="1:18" x14ac:dyDescent="0.25">
      <c r="A75" s="22">
        <v>44672</v>
      </c>
      <c r="B75" s="12">
        <v>188.1</v>
      </c>
      <c r="C75" s="13">
        <v>1.21E-2</v>
      </c>
      <c r="D75" s="7">
        <v>887</v>
      </c>
      <c r="E75" s="7">
        <v>-9.9000000000000008E-3</v>
      </c>
      <c r="F75" s="7">
        <v>425</v>
      </c>
      <c r="G75" s="8">
        <f t="shared" si="6"/>
        <v>0.95838842880760011</v>
      </c>
      <c r="H75" s="9">
        <f t="shared" si="7"/>
        <v>1.0469574158748498E-3</v>
      </c>
      <c r="I75" s="10">
        <f>SUM($H$3:H75)</f>
        <v>7.5215930460791863E-2</v>
      </c>
      <c r="J75" s="23">
        <v>-9.9000000000000008E-3</v>
      </c>
      <c r="Q75" s="7">
        <f t="shared" si="5"/>
        <v>9.1529906025858028E-5</v>
      </c>
      <c r="R75" s="7">
        <f t="shared" si="4"/>
        <v>9.9760637695491894E-4</v>
      </c>
    </row>
    <row r="76" spans="1:18" x14ac:dyDescent="0.25">
      <c r="A76" s="22">
        <v>44673</v>
      </c>
      <c r="B76" s="12">
        <v>186.09</v>
      </c>
      <c r="C76" s="13">
        <v>-1.0699999999999999E-2</v>
      </c>
      <c r="D76" s="7">
        <v>886</v>
      </c>
      <c r="E76" s="7">
        <v>-9.7999999999999997E-3</v>
      </c>
      <c r="F76" s="7">
        <v>665</v>
      </c>
      <c r="G76" s="8">
        <f t="shared" si="6"/>
        <v>0.9356598045749035</v>
      </c>
      <c r="H76" s="9">
        <f t="shared" si="7"/>
        <v>1.0221283372071734E-3</v>
      </c>
      <c r="I76" s="10">
        <f>SUM($H$3:H76)</f>
        <v>7.6238058797999039E-2</v>
      </c>
      <c r="J76" s="23">
        <v>-9.7999999999999997E-3</v>
      </c>
      <c r="Q76" s="7">
        <f t="shared" si="5"/>
        <v>9.1539059931851195E-5</v>
      </c>
      <c r="R76" s="7">
        <f t="shared" si="4"/>
        <v>9.9770614756967578E-4</v>
      </c>
    </row>
    <row r="77" spans="1:18" x14ac:dyDescent="0.25">
      <c r="A77" s="22">
        <v>44676</v>
      </c>
      <c r="B77" s="12">
        <v>183.86</v>
      </c>
      <c r="C77" s="13">
        <v>-1.2E-2</v>
      </c>
      <c r="D77" s="7">
        <v>885</v>
      </c>
      <c r="E77" s="7">
        <v>-9.7999999999999997E-3</v>
      </c>
      <c r="F77" s="7">
        <v>568</v>
      </c>
      <c r="G77" s="8">
        <f t="shared" si="6"/>
        <v>0.94478032371472942</v>
      </c>
      <c r="H77" s="9">
        <f t="shared" si="7"/>
        <v>1.032091724559366E-3</v>
      </c>
      <c r="I77" s="10">
        <f>SUM($H$3:H77)</f>
        <v>7.7270150522558409E-2</v>
      </c>
      <c r="J77" s="23">
        <v>-9.7999999999999997E-3</v>
      </c>
      <c r="Q77" s="7">
        <f t="shared" si="5"/>
        <v>9.154821475332653E-5</v>
      </c>
      <c r="R77" s="7">
        <f t="shared" si="4"/>
        <v>9.9780592816249201E-4</v>
      </c>
    </row>
    <row r="78" spans="1:18" x14ac:dyDescent="0.25">
      <c r="A78" s="22">
        <v>44677</v>
      </c>
      <c r="B78" s="12">
        <v>186.11</v>
      </c>
      <c r="C78" s="13">
        <v>1.2200000000000001E-2</v>
      </c>
      <c r="D78" s="7">
        <v>884</v>
      </c>
      <c r="E78" s="7">
        <v>-9.7999999999999997E-3</v>
      </c>
      <c r="F78" s="7">
        <v>411</v>
      </c>
      <c r="G78" s="8">
        <f t="shared" si="6"/>
        <v>0.95973117945270636</v>
      </c>
      <c r="H78" s="9">
        <f t="shared" si="7"/>
        <v>1.0484242561489062E-3</v>
      </c>
      <c r="I78" s="10">
        <f>SUM($H$3:H78)</f>
        <v>7.8318574778707309E-2</v>
      </c>
      <c r="J78" s="23">
        <v>-9.7999999999999997E-3</v>
      </c>
      <c r="Q78" s="7">
        <f t="shared" si="5"/>
        <v>9.1557370490375579E-5</v>
      </c>
      <c r="R78" s="7">
        <f t="shared" si="4"/>
        <v>9.9790571873436575E-4</v>
      </c>
    </row>
    <row r="79" spans="1:18" x14ac:dyDescent="0.25">
      <c r="A79" s="22">
        <v>44678</v>
      </c>
      <c r="B79" s="12">
        <v>184.78</v>
      </c>
      <c r="C79" s="13">
        <v>-7.1000000000000004E-3</v>
      </c>
      <c r="D79" s="7">
        <v>883</v>
      </c>
      <c r="E79" s="7">
        <v>-9.7000000000000003E-3</v>
      </c>
      <c r="F79" s="7">
        <v>200</v>
      </c>
      <c r="G79" s="8">
        <f t="shared" si="6"/>
        <v>0.98019769304322568</v>
      </c>
      <c r="H79" s="9">
        <f t="shared" si="7"/>
        <v>1.0707821723513766E-3</v>
      </c>
      <c r="I79" s="10">
        <f>SUM($H$3:H79)</f>
        <v>7.9389356951058684E-2</v>
      </c>
      <c r="J79" s="23">
        <v>-9.7000000000000003E-3</v>
      </c>
      <c r="Q79" s="7">
        <f t="shared" si="5"/>
        <v>9.1566527143089878E-5</v>
      </c>
      <c r="R79" s="7">
        <f t="shared" si="4"/>
        <v>9.9800551928629425E-4</v>
      </c>
    </row>
    <row r="80" spans="1:18" x14ac:dyDescent="0.25">
      <c r="A80" s="22">
        <v>44679</v>
      </c>
      <c r="B80" s="12">
        <v>186.41</v>
      </c>
      <c r="C80" s="13">
        <v>8.8000000000000005E-3</v>
      </c>
      <c r="D80" s="7">
        <v>882</v>
      </c>
      <c r="E80" s="7">
        <v>-9.5999999999999992E-3</v>
      </c>
      <c r="F80" s="7">
        <v>920</v>
      </c>
      <c r="G80" s="8">
        <f t="shared" si="6"/>
        <v>0.91210095359134213</v>
      </c>
      <c r="H80" s="9">
        <f t="shared" si="7"/>
        <v>9.9639230679889968E-4</v>
      </c>
      <c r="I80" s="10">
        <f>SUM($H$3:H80)</f>
        <v>8.0385749257857589E-2</v>
      </c>
      <c r="J80" s="23">
        <v>-9.5999999999999992E-3</v>
      </c>
      <c r="Q80" s="7">
        <f t="shared" si="5"/>
        <v>9.1575684711561013E-5</v>
      </c>
      <c r="R80" s="7">
        <f t="shared" si="4"/>
        <v>9.9810532981927584E-4</v>
      </c>
    </row>
    <row r="81" spans="1:18" x14ac:dyDescent="0.25">
      <c r="A81" s="22">
        <v>44680</v>
      </c>
      <c r="B81" s="12">
        <v>185.43</v>
      </c>
      <c r="C81" s="13">
        <v>-5.3E-3</v>
      </c>
      <c r="D81" s="7">
        <v>881</v>
      </c>
      <c r="E81" s="7">
        <v>-9.4999999999999998E-3</v>
      </c>
      <c r="F81" s="7">
        <v>321</v>
      </c>
      <c r="G81" s="8">
        <f t="shared" si="6"/>
        <v>0.96840818186336231</v>
      </c>
      <c r="H81" s="9">
        <f t="shared" si="7"/>
        <v>1.0579031393953399E-3</v>
      </c>
      <c r="I81" s="10">
        <f>SUM($H$3:H81)</f>
        <v>8.144365239725293E-2</v>
      </c>
      <c r="J81" s="23">
        <v>-9.4999999999999998E-3</v>
      </c>
      <c r="Q81" s="7">
        <f t="shared" si="5"/>
        <v>9.1584843195880613E-5</v>
      </c>
      <c r="R81" s="7">
        <f t="shared" si="4"/>
        <v>9.9820515033430951E-4</v>
      </c>
    </row>
    <row r="82" spans="1:18" x14ac:dyDescent="0.25">
      <c r="A82" s="22">
        <v>44683</v>
      </c>
      <c r="B82" s="12">
        <v>185.12</v>
      </c>
      <c r="C82" s="13">
        <v>-1.6999999999999999E-3</v>
      </c>
      <c r="D82" s="7">
        <v>880</v>
      </c>
      <c r="E82" s="7">
        <v>-9.4000000000000004E-3</v>
      </c>
      <c r="F82" s="7">
        <v>132</v>
      </c>
      <c r="G82" s="8">
        <f t="shared" si="6"/>
        <v>0.98688608654519516</v>
      </c>
      <c r="H82" s="9">
        <f t="shared" si="7"/>
        <v>1.0780886703919345E-3</v>
      </c>
      <c r="I82" s="10">
        <f>SUM($H$3:H82)</f>
        <v>8.2521741067644871E-2</v>
      </c>
      <c r="J82" s="23">
        <v>-9.4000000000000004E-3</v>
      </c>
      <c r="Q82" s="7">
        <f t="shared" si="5"/>
        <v>9.1594002596140226E-5</v>
      </c>
      <c r="R82" s="7">
        <f t="shared" si="4"/>
        <v>9.9830498083239272E-4</v>
      </c>
    </row>
    <row r="83" spans="1:18" x14ac:dyDescent="0.25">
      <c r="A83" s="22">
        <v>44685</v>
      </c>
      <c r="B83" s="12">
        <v>181.05</v>
      </c>
      <c r="C83" s="13">
        <v>-2.1999999999999999E-2</v>
      </c>
      <c r="D83" s="7">
        <v>879</v>
      </c>
      <c r="E83" s="7">
        <v>-9.2999999999999992E-3</v>
      </c>
      <c r="F83" s="7">
        <v>943</v>
      </c>
      <c r="G83" s="8">
        <f t="shared" si="6"/>
        <v>0.91000542739897172</v>
      </c>
      <c r="H83" s="9">
        <f t="shared" si="7"/>
        <v>9.9410312360207029E-4</v>
      </c>
      <c r="I83" s="10">
        <f>SUM($H$3:H83)</f>
        <v>8.3515844191246941E-2</v>
      </c>
      <c r="J83" s="23">
        <v>-9.2999999999999992E-3</v>
      </c>
      <c r="Q83" s="7">
        <f t="shared" si="5"/>
        <v>9.1603162912431467E-5</v>
      </c>
      <c r="R83" s="7">
        <f t="shared" si="4"/>
        <v>9.9840482131452403E-4</v>
      </c>
    </row>
    <row r="84" spans="1:18" x14ac:dyDescent="0.25">
      <c r="A84" s="22">
        <v>44686</v>
      </c>
      <c r="B84" s="12">
        <v>181.01</v>
      </c>
      <c r="C84" s="13">
        <v>-2.0000000000000001E-4</v>
      </c>
      <c r="D84" s="7">
        <v>878</v>
      </c>
      <c r="E84" s="7">
        <v>-9.2999999999999992E-3</v>
      </c>
      <c r="F84" s="7">
        <v>297</v>
      </c>
      <c r="G84" s="8">
        <f t="shared" si="6"/>
        <v>0.97073526924394105</v>
      </c>
      <c r="H84" s="9">
        <f t="shared" si="7"/>
        <v>1.0604452833917119E-3</v>
      </c>
      <c r="I84" s="10">
        <f>SUM($H$3:H84)</f>
        <v>8.4576289474638647E-2</v>
      </c>
      <c r="J84" s="23">
        <v>-9.2999999999999992E-3</v>
      </c>
      <c r="Q84" s="7">
        <f t="shared" si="5"/>
        <v>9.161232414484595E-5</v>
      </c>
      <c r="R84" s="7">
        <f t="shared" si="4"/>
        <v>9.985046717817022E-4</v>
      </c>
    </row>
    <row r="85" spans="1:18" x14ac:dyDescent="0.25">
      <c r="A85" s="22">
        <v>44687</v>
      </c>
      <c r="B85" s="12">
        <v>177.94</v>
      </c>
      <c r="C85" s="13">
        <v>-1.7000000000000001E-2</v>
      </c>
      <c r="D85" s="7">
        <v>877</v>
      </c>
      <c r="E85" s="7">
        <v>-9.2999999999999992E-3</v>
      </c>
      <c r="F85" s="7">
        <v>56</v>
      </c>
      <c r="G85" s="8">
        <f t="shared" si="6"/>
        <v>0.99441537231669219</v>
      </c>
      <c r="H85" s="9">
        <f t="shared" si="7"/>
        <v>1.0863137713403228E-3</v>
      </c>
      <c r="I85" s="10">
        <f>SUM($H$3:H85)</f>
        <v>8.5662603245978963E-2</v>
      </c>
      <c r="J85" s="23">
        <v>-9.2999999999999992E-3</v>
      </c>
      <c r="Q85" s="7">
        <f t="shared" si="5"/>
        <v>9.1621486293475292E-5</v>
      </c>
      <c r="R85" s="7">
        <f t="shared" si="4"/>
        <v>9.9860453223492556E-4</v>
      </c>
    </row>
    <row r="86" spans="1:18" x14ac:dyDescent="0.25">
      <c r="A86" s="22">
        <v>44690</v>
      </c>
      <c r="B86" s="12">
        <v>176.95</v>
      </c>
      <c r="C86" s="13">
        <v>-5.5999999999999999E-3</v>
      </c>
      <c r="D86" s="7">
        <v>876</v>
      </c>
      <c r="E86" s="7">
        <v>-9.1999999999999998E-3</v>
      </c>
      <c r="F86" s="7">
        <v>576</v>
      </c>
      <c r="G86" s="8">
        <f t="shared" si="6"/>
        <v>0.94402476394134749</v>
      </c>
      <c r="H86" s="9">
        <f t="shared" si="7"/>
        <v>1.0312663401076116E-3</v>
      </c>
      <c r="I86" s="10">
        <f>SUM($H$3:H86)</f>
        <v>8.6693869586086575E-2</v>
      </c>
      <c r="J86" s="23">
        <v>-9.1999999999999998E-3</v>
      </c>
      <c r="Q86" s="7">
        <f t="shared" si="5"/>
        <v>9.163064935841112E-5</v>
      </c>
      <c r="R86" s="7">
        <f t="shared" si="4"/>
        <v>9.987044026751931E-4</v>
      </c>
    </row>
    <row r="87" spans="1:18" x14ac:dyDescent="0.25">
      <c r="A87" s="22">
        <v>44691</v>
      </c>
      <c r="B87" s="12">
        <v>176.16</v>
      </c>
      <c r="C87" s="13">
        <v>-4.4999999999999997E-3</v>
      </c>
      <c r="D87" s="7">
        <v>875</v>
      </c>
      <c r="E87" s="7">
        <v>-9.1000000000000004E-3</v>
      </c>
      <c r="F87" s="7">
        <v>948</v>
      </c>
      <c r="G87" s="8">
        <f t="shared" si="6"/>
        <v>0.90955051567671541</v>
      </c>
      <c r="H87" s="9">
        <f t="shared" si="7"/>
        <v>9.9360617144064116E-4</v>
      </c>
      <c r="I87" s="10">
        <f>SUM($H$3:H87)</f>
        <v>8.7687475757527222E-2</v>
      </c>
      <c r="J87" s="23">
        <v>-9.1000000000000004E-3</v>
      </c>
      <c r="Q87" s="7">
        <f t="shared" si="5"/>
        <v>9.163981333974509E-5</v>
      </c>
      <c r="R87" s="7">
        <f t="shared" si="4"/>
        <v>9.9880428310350337E-4</v>
      </c>
    </row>
    <row r="88" spans="1:18" x14ac:dyDescent="0.25">
      <c r="A88" s="22">
        <v>44692</v>
      </c>
      <c r="B88" s="12">
        <v>175.34</v>
      </c>
      <c r="C88" s="13">
        <v>-4.7000000000000002E-3</v>
      </c>
      <c r="D88" s="7">
        <v>874</v>
      </c>
      <c r="E88" s="7">
        <v>-8.9999999999999993E-3</v>
      </c>
      <c r="F88" s="7">
        <v>895</v>
      </c>
      <c r="G88" s="8">
        <f t="shared" si="6"/>
        <v>0.91438417297318308</v>
      </c>
      <c r="H88" s="9">
        <f t="shared" si="7"/>
        <v>9.9888652875738232E-4</v>
      </c>
      <c r="I88" s="10">
        <f>SUM($H$3:H88)</f>
        <v>8.8686362286284598E-2</v>
      </c>
      <c r="J88" s="23">
        <v>-8.9999999999999993E-3</v>
      </c>
      <c r="Q88" s="7">
        <f t="shared" si="5"/>
        <v>9.1648978237568858E-5</v>
      </c>
      <c r="R88" s="7">
        <f t="shared" si="4"/>
        <v>9.9890417352085556E-4</v>
      </c>
    </row>
    <row r="89" spans="1:18" x14ac:dyDescent="0.25">
      <c r="A89" s="22">
        <v>44693</v>
      </c>
      <c r="B89" s="12">
        <v>171.72</v>
      </c>
      <c r="C89" s="13">
        <v>-2.06E-2</v>
      </c>
      <c r="D89" s="7">
        <v>873</v>
      </c>
      <c r="E89" s="7">
        <v>-8.9999999999999993E-3</v>
      </c>
      <c r="F89" s="7">
        <v>720</v>
      </c>
      <c r="G89" s="8">
        <f t="shared" si="6"/>
        <v>0.93052754568268448</v>
      </c>
      <c r="H89" s="9">
        <f t="shared" si="7"/>
        <v>1.0165217831776309E-3</v>
      </c>
      <c r="I89" s="10">
        <f>SUM($H$3:H89)</f>
        <v>8.9702884069462224E-2</v>
      </c>
      <c r="J89" s="23">
        <v>-8.9999999999999993E-3</v>
      </c>
      <c r="Q89" s="7">
        <f t="shared" si="5"/>
        <v>9.1658144051974053E-5</v>
      </c>
      <c r="R89" s="7">
        <f t="shared" si="4"/>
        <v>9.9900407392824824E-4</v>
      </c>
    </row>
    <row r="90" spans="1:18" x14ac:dyDescent="0.25">
      <c r="A90" s="22">
        <v>44694</v>
      </c>
      <c r="B90" s="12">
        <v>171.4</v>
      </c>
      <c r="C90" s="13">
        <v>-1.9E-3</v>
      </c>
      <c r="D90" s="7">
        <v>872</v>
      </c>
      <c r="E90" s="7">
        <v>-8.9999999999999993E-3</v>
      </c>
      <c r="F90" s="7">
        <v>534</v>
      </c>
      <c r="G90" s="8">
        <f t="shared" si="6"/>
        <v>0.947998205010261</v>
      </c>
      <c r="H90" s="9">
        <f t="shared" si="7"/>
        <v>1.0356069847445848E-3</v>
      </c>
      <c r="I90" s="10">
        <f>SUM($H$3:H90)</f>
        <v>9.073849105420681E-2</v>
      </c>
      <c r="J90" s="23">
        <v>-8.9999999999999993E-3</v>
      </c>
      <c r="Q90" s="7">
        <f t="shared" si="5"/>
        <v>9.1667310783052357E-5</v>
      </c>
      <c r="R90" s="7">
        <f t="shared" si="4"/>
        <v>9.9910398432668103E-4</v>
      </c>
    </row>
    <row r="91" spans="1:18" x14ac:dyDescent="0.25">
      <c r="A91" s="22">
        <v>44697</v>
      </c>
      <c r="B91" s="12">
        <v>172.13</v>
      </c>
      <c r="C91" s="13">
        <v>4.3E-3</v>
      </c>
      <c r="D91" s="7">
        <v>871</v>
      </c>
      <c r="E91" s="7">
        <v>-8.9999999999999993E-3</v>
      </c>
      <c r="F91" s="7">
        <v>278</v>
      </c>
      <c r="G91" s="8">
        <f t="shared" si="6"/>
        <v>0.97258151194430409</v>
      </c>
      <c r="H91" s="9">
        <f t="shared" si="7"/>
        <v>1.0624621456873625E-3</v>
      </c>
      <c r="I91" s="10">
        <f>SUM($H$3:H91)</f>
        <v>9.1800953199894175E-2</v>
      </c>
      <c r="J91" s="23">
        <v>-8.9999999999999993E-3</v>
      </c>
      <c r="Q91" s="7">
        <f t="shared" si="5"/>
        <v>9.1676478430895454E-5</v>
      </c>
      <c r="R91" s="7">
        <f t="shared" si="4"/>
        <v>9.992039047171527E-4</v>
      </c>
    </row>
    <row r="92" spans="1:18" x14ac:dyDescent="0.25">
      <c r="A92" s="22">
        <v>44698</v>
      </c>
      <c r="B92" s="12">
        <v>176.44</v>
      </c>
      <c r="C92" s="13">
        <v>2.5000000000000001E-2</v>
      </c>
      <c r="D92" s="7">
        <v>870</v>
      </c>
      <c r="E92" s="7">
        <v>-8.8999999999999999E-3</v>
      </c>
      <c r="F92" s="7">
        <v>34</v>
      </c>
      <c r="G92" s="8">
        <f t="shared" si="6"/>
        <v>0.99660560402063569</v>
      </c>
      <c r="H92" s="9">
        <f t="shared" si="7"/>
        <v>1.0887064122111865E-3</v>
      </c>
      <c r="I92" s="10">
        <f>SUM($H$3:H92)</f>
        <v>9.2889659612105366E-2</v>
      </c>
      <c r="J92" s="23">
        <v>-8.8999999999999999E-3</v>
      </c>
      <c r="Q92" s="7">
        <f t="shared" si="5"/>
        <v>9.1685646995594999E-5</v>
      </c>
      <c r="R92" s="7">
        <f t="shared" si="4"/>
        <v>9.9930383510066266E-4</v>
      </c>
    </row>
    <row r="93" spans="1:18" x14ac:dyDescent="0.25">
      <c r="A93" s="22">
        <v>44699</v>
      </c>
      <c r="B93" s="12">
        <v>176.05</v>
      </c>
      <c r="C93" s="13">
        <v>-2.2000000000000001E-3</v>
      </c>
      <c r="D93" s="7">
        <v>869</v>
      </c>
      <c r="E93" s="7">
        <v>-8.8000000000000005E-3</v>
      </c>
      <c r="F93" s="7">
        <v>855</v>
      </c>
      <c r="G93" s="8">
        <f t="shared" si="6"/>
        <v>0.91804921812371776</v>
      </c>
      <c r="H93" s="9">
        <f t="shared" si="7"/>
        <v>1.002890277221502E-3</v>
      </c>
      <c r="I93" s="10">
        <f>SUM($H$3:H93)</f>
        <v>9.3892549889326868E-2</v>
      </c>
      <c r="J93" s="23">
        <v>-8.8000000000000005E-3</v>
      </c>
      <c r="Q93" s="7">
        <f t="shared" si="5"/>
        <v>9.1694816477242729E-5</v>
      </c>
      <c r="R93" s="7">
        <f t="shared" si="4"/>
        <v>9.9940377547821056E-4</v>
      </c>
    </row>
    <row r="94" spans="1:18" x14ac:dyDescent="0.25">
      <c r="A94" s="22">
        <v>44700</v>
      </c>
      <c r="B94" s="12">
        <v>171.7</v>
      </c>
      <c r="C94" s="13">
        <v>-2.47E-2</v>
      </c>
      <c r="D94" s="7">
        <v>868</v>
      </c>
      <c r="E94" s="7">
        <v>-8.6E-3</v>
      </c>
      <c r="F94" s="7">
        <v>461</v>
      </c>
      <c r="G94" s="8">
        <f t="shared" si="6"/>
        <v>0.95494426147374345</v>
      </c>
      <c r="H94" s="9">
        <f t="shared" si="7"/>
        <v>1.0431949575403084E-3</v>
      </c>
      <c r="I94" s="10">
        <f>SUM($H$3:H94)</f>
        <v>9.4935744846867176E-2</v>
      </c>
      <c r="J94" s="23">
        <v>-8.6E-3</v>
      </c>
      <c r="Q94" s="7">
        <f t="shared" si="5"/>
        <v>9.1703986875930313E-5</v>
      </c>
      <c r="R94" s="7">
        <f t="shared" si="4"/>
        <v>9.9950372585079559E-4</v>
      </c>
    </row>
    <row r="95" spans="1:18" x14ac:dyDescent="0.25">
      <c r="A95" s="22">
        <v>44701</v>
      </c>
      <c r="B95" s="12">
        <v>175.92</v>
      </c>
      <c r="C95" s="13">
        <v>2.46E-2</v>
      </c>
      <c r="D95" s="7">
        <v>867</v>
      </c>
      <c r="E95" s="7">
        <v>-8.6E-3</v>
      </c>
      <c r="F95" s="7">
        <v>141</v>
      </c>
      <c r="G95" s="8">
        <f t="shared" si="6"/>
        <v>0.98599824426340987</v>
      </c>
      <c r="H95" s="9">
        <f t="shared" si="7"/>
        <v>1.0771187786099575E-3</v>
      </c>
      <c r="I95" s="10">
        <f>SUM($H$3:H95)</f>
        <v>9.6012863625477132E-2</v>
      </c>
      <c r="J95" s="23">
        <v>-8.6E-3</v>
      </c>
      <c r="Q95" s="7">
        <f t="shared" si="5"/>
        <v>9.1713158191749475E-5</v>
      </c>
      <c r="R95" s="7">
        <f t="shared" si="4"/>
        <v>9.9960368621941739E-4</v>
      </c>
    </row>
    <row r="96" spans="1:18" x14ac:dyDescent="0.25">
      <c r="A96" s="22">
        <v>44704</v>
      </c>
      <c r="B96" s="12">
        <v>175.53</v>
      </c>
      <c r="C96" s="13">
        <v>-2.2000000000000001E-3</v>
      </c>
      <c r="D96" s="7">
        <v>866</v>
      </c>
      <c r="E96" s="7">
        <v>-8.5000000000000006E-3</v>
      </c>
      <c r="F96" s="7">
        <v>820</v>
      </c>
      <c r="G96" s="8">
        <f t="shared" si="6"/>
        <v>0.92126818123724841</v>
      </c>
      <c r="H96" s="9">
        <f t="shared" si="7"/>
        <v>1.006406719200389E-3</v>
      </c>
      <c r="I96" s="10">
        <f>SUM($H$3:H96)</f>
        <v>9.7019270344677527E-2</v>
      </c>
      <c r="J96" s="23">
        <v>-8.5000000000000006E-3</v>
      </c>
      <c r="Q96" s="7">
        <f t="shared" si="5"/>
        <v>9.1722330424791953E-5</v>
      </c>
      <c r="R96" s="7">
        <f t="shared" si="4"/>
        <v>9.9970365658507581E-4</v>
      </c>
    </row>
    <row r="97" spans="1:18" x14ac:dyDescent="0.25">
      <c r="A97" s="22">
        <v>44705</v>
      </c>
      <c r="B97" s="12">
        <v>175.09</v>
      </c>
      <c r="C97" s="13">
        <v>-2.5000000000000001E-3</v>
      </c>
      <c r="D97" s="7">
        <v>865</v>
      </c>
      <c r="E97" s="7">
        <v>-8.5000000000000006E-3</v>
      </c>
      <c r="F97" s="7">
        <v>777</v>
      </c>
      <c r="G97" s="8">
        <f t="shared" si="6"/>
        <v>0.92523836270140536</v>
      </c>
      <c r="H97" s="9">
        <f t="shared" si="7"/>
        <v>1.0107438029978628E-3</v>
      </c>
      <c r="I97" s="10">
        <f>SUM($H$3:H97)</f>
        <v>9.8030014147675384E-2</v>
      </c>
      <c r="J97" s="23">
        <v>-8.5000000000000006E-3</v>
      </c>
      <c r="Q97" s="7">
        <f t="shared" si="5"/>
        <v>9.1731503575149482E-5</v>
      </c>
      <c r="R97" s="7">
        <f t="shared" si="4"/>
        <v>9.9980363694877092E-4</v>
      </c>
    </row>
    <row r="98" spans="1:18" x14ac:dyDescent="0.25">
      <c r="A98" s="22">
        <v>44706</v>
      </c>
      <c r="B98" s="12">
        <v>174.13</v>
      </c>
      <c r="C98" s="13">
        <v>-5.4999999999999997E-3</v>
      </c>
      <c r="D98" s="7">
        <v>864</v>
      </c>
      <c r="E98" s="7">
        <v>-8.5000000000000006E-3</v>
      </c>
      <c r="F98" s="7">
        <v>439</v>
      </c>
      <c r="G98" s="8">
        <f t="shared" si="6"/>
        <v>0.9570475567919825</v>
      </c>
      <c r="H98" s="9">
        <f t="shared" si="7"/>
        <v>1.045492627842886E-3</v>
      </c>
      <c r="I98" s="10">
        <f>SUM($H$3:H98)</f>
        <v>9.9075506775518268E-2</v>
      </c>
      <c r="J98" s="23">
        <v>-8.5000000000000006E-3</v>
      </c>
      <c r="Q98" s="7">
        <f t="shared" si="5"/>
        <v>9.1740677642913773E-5</v>
      </c>
      <c r="R98" s="7">
        <f t="shared" si="4"/>
        <v>9.9990362731150213E-4</v>
      </c>
    </row>
    <row r="99" spans="1:18" x14ac:dyDescent="0.25">
      <c r="A99" s="22">
        <v>44707</v>
      </c>
      <c r="B99" s="12">
        <v>175.57</v>
      </c>
      <c r="C99" s="13">
        <v>8.3000000000000001E-3</v>
      </c>
      <c r="D99" s="7">
        <v>863</v>
      </c>
      <c r="E99" s="7">
        <v>-8.5000000000000006E-3</v>
      </c>
      <c r="F99" s="7">
        <v>226</v>
      </c>
      <c r="G99" s="8">
        <f t="shared" si="6"/>
        <v>0.97765236213676709</v>
      </c>
      <c r="H99" s="9">
        <f t="shared" si="7"/>
        <v>1.0680016159628903E-3</v>
      </c>
      <c r="I99" s="10">
        <f>SUM($H$3:H99)</f>
        <v>0.10014350839148116</v>
      </c>
      <c r="J99" s="23">
        <v>-8.5000000000000006E-3</v>
      </c>
      <c r="Q99" s="7">
        <f t="shared" si="5"/>
        <v>9.1749852628176577E-5</v>
      </c>
      <c r="R99" s="7">
        <f t="shared" si="4"/>
        <v>1.0000036276742693E-3</v>
      </c>
    </row>
    <row r="100" spans="1:18" x14ac:dyDescent="0.25">
      <c r="A100" s="22">
        <v>44708</v>
      </c>
      <c r="B100" s="12">
        <v>177.1</v>
      </c>
      <c r="C100" s="13">
        <v>8.6999999999999994E-3</v>
      </c>
      <c r="D100" s="7">
        <v>862</v>
      </c>
      <c r="E100" s="7">
        <v>-8.3000000000000001E-3</v>
      </c>
      <c r="F100" s="7">
        <v>383</v>
      </c>
      <c r="G100" s="8">
        <f t="shared" si="6"/>
        <v>0.96242232716329223</v>
      </c>
      <c r="H100" s="9">
        <f t="shared" si="7"/>
        <v>1.0513641049285059E-3</v>
      </c>
      <c r="I100" s="10">
        <f>SUM($H$3:H100)</f>
        <v>0.10119487249640967</v>
      </c>
      <c r="J100" s="23">
        <v>-8.3000000000000001E-3</v>
      </c>
      <c r="Q100" s="7">
        <f t="shared" si="5"/>
        <v>9.1759028531029671E-5</v>
      </c>
      <c r="R100" s="7">
        <f t="shared" si="4"/>
        <v>1.0001036380380731E-3</v>
      </c>
    </row>
    <row r="101" spans="1:18" x14ac:dyDescent="0.25">
      <c r="A101" s="22">
        <v>44711</v>
      </c>
      <c r="B101" s="12">
        <v>180.43</v>
      </c>
      <c r="C101" s="13">
        <v>1.8800000000000001E-2</v>
      </c>
      <c r="D101" s="7">
        <v>861</v>
      </c>
      <c r="E101" s="7">
        <v>-8.3000000000000001E-3</v>
      </c>
      <c r="F101" s="7">
        <v>125</v>
      </c>
      <c r="G101" s="8">
        <f t="shared" si="6"/>
        <v>0.98757718321679999</v>
      </c>
      <c r="H101" s="9">
        <f t="shared" si="7"/>
        <v>1.0788436344166185E-3</v>
      </c>
      <c r="I101" s="10">
        <f>SUM($H$3:H101)</f>
        <v>0.10227371613082628</v>
      </c>
      <c r="J101" s="23">
        <v>-8.3000000000000001E-3</v>
      </c>
      <c r="Q101" s="7">
        <f t="shared" si="5"/>
        <v>9.1768205351564833E-5</v>
      </c>
      <c r="R101" s="7">
        <f t="shared" si="4"/>
        <v>1.0002036584039135E-3</v>
      </c>
    </row>
    <row r="102" spans="1:18" x14ac:dyDescent="0.25">
      <c r="A102" s="22">
        <v>44712</v>
      </c>
      <c r="B102" s="12">
        <v>179.87</v>
      </c>
      <c r="C102" s="13">
        <v>-3.0999999999999999E-3</v>
      </c>
      <c r="D102" s="7">
        <v>860</v>
      </c>
      <c r="E102" s="7">
        <v>-8.2000000000000007E-3</v>
      </c>
      <c r="F102" s="7">
        <v>529</v>
      </c>
      <c r="G102" s="8">
        <f t="shared" si="6"/>
        <v>0.94847234634568323</v>
      </c>
      <c r="H102" s="9">
        <f t="shared" si="7"/>
        <v>1.0361249436142579E-3</v>
      </c>
      <c r="I102" s="10">
        <f>SUM($H$3:H102)</f>
        <v>0.10330984107444054</v>
      </c>
      <c r="J102" s="23">
        <v>-8.2000000000000007E-3</v>
      </c>
      <c r="Q102" s="7">
        <f t="shared" si="5"/>
        <v>9.1777383089873828E-5</v>
      </c>
      <c r="R102" s="7">
        <f t="shared" si="4"/>
        <v>1.0003036887727909E-3</v>
      </c>
    </row>
    <row r="103" spans="1:18" x14ac:dyDescent="0.25">
      <c r="A103" s="22">
        <v>44713</v>
      </c>
      <c r="B103" s="12">
        <v>179.59</v>
      </c>
      <c r="C103" s="13">
        <v>-1.6000000000000001E-3</v>
      </c>
      <c r="D103" s="7">
        <v>859</v>
      </c>
      <c r="E103" s="7">
        <v>-8.2000000000000007E-3</v>
      </c>
      <c r="F103" s="7">
        <v>58</v>
      </c>
      <c r="G103" s="8">
        <f t="shared" si="6"/>
        <v>0.99421649918638266</v>
      </c>
      <c r="H103" s="9">
        <f t="shared" si="7"/>
        <v>1.0860965194491926E-3</v>
      </c>
      <c r="I103" s="10">
        <f>SUM($H$3:H103)</f>
        <v>0.10439593759388972</v>
      </c>
      <c r="J103" s="23">
        <v>-8.2000000000000007E-3</v>
      </c>
      <c r="Q103" s="7">
        <f t="shared" si="5"/>
        <v>9.1786561746048419E-5</v>
      </c>
      <c r="R103" s="7">
        <f t="shared" si="4"/>
        <v>1.0004037291457052E-3</v>
      </c>
    </row>
    <row r="104" spans="1:18" x14ac:dyDescent="0.25">
      <c r="A104" s="22">
        <v>44714</v>
      </c>
      <c r="B104" s="12">
        <v>180.68</v>
      </c>
      <c r="C104" s="13">
        <v>6.1000000000000004E-3</v>
      </c>
      <c r="D104" s="7">
        <v>858</v>
      </c>
      <c r="E104" s="7">
        <v>-8.0999999999999996E-3</v>
      </c>
      <c r="F104" s="7">
        <v>331</v>
      </c>
      <c r="G104" s="8">
        <f t="shared" si="6"/>
        <v>0.96744020934899244</v>
      </c>
      <c r="H104" s="9">
        <f t="shared" si="7"/>
        <v>1.0568457121854313E-3</v>
      </c>
      <c r="I104" s="10">
        <f>SUM($H$3:H104)</f>
        <v>0.10545278330607516</v>
      </c>
      <c r="J104" s="23">
        <v>-8.0999999999999996E-3</v>
      </c>
      <c r="Q104" s="7">
        <f t="shared" si="5"/>
        <v>9.1795741320180424E-5</v>
      </c>
      <c r="R104" s="7">
        <f t="shared" si="4"/>
        <v>1.0005037795236575E-3</v>
      </c>
    </row>
    <row r="105" spans="1:18" x14ac:dyDescent="0.25">
      <c r="A105" s="22">
        <v>44715</v>
      </c>
      <c r="B105" s="12">
        <v>180.21</v>
      </c>
      <c r="C105" s="13">
        <v>-2.5999999999999999E-3</v>
      </c>
      <c r="D105" s="7">
        <v>857</v>
      </c>
      <c r="E105" s="7">
        <v>-8.0000000000000002E-3</v>
      </c>
      <c r="F105" s="7">
        <v>946</v>
      </c>
      <c r="G105" s="8">
        <f t="shared" si="6"/>
        <v>0.90973245307000494</v>
      </c>
      <c r="H105" s="9">
        <f t="shared" si="7"/>
        <v>9.9380492248708936E-4</v>
      </c>
      <c r="I105" s="10">
        <f>SUM($H$3:H105)</f>
        <v>0.10644658822856225</v>
      </c>
      <c r="J105" s="23">
        <v>-8.0000000000000002E-3</v>
      </c>
      <c r="Q105" s="7">
        <f t="shared" si="5"/>
        <v>9.1804921812361663E-5</v>
      </c>
      <c r="R105" s="7">
        <f t="shared" si="4"/>
        <v>1.0006038399076483E-3</v>
      </c>
    </row>
    <row r="106" spans="1:18" x14ac:dyDescent="0.25">
      <c r="A106" s="22">
        <v>44718</v>
      </c>
      <c r="B106" s="12">
        <v>180.15</v>
      </c>
      <c r="C106" s="13">
        <v>-2.9999999999999997E-4</v>
      </c>
      <c r="D106" s="7">
        <v>856</v>
      </c>
      <c r="E106" s="7">
        <v>-8.0000000000000002E-3</v>
      </c>
      <c r="F106" s="7">
        <v>896</v>
      </c>
      <c r="G106" s="8">
        <f t="shared" si="6"/>
        <v>0.91429273455588567</v>
      </c>
      <c r="H106" s="9">
        <f t="shared" si="7"/>
        <v>9.987866401045065E-4</v>
      </c>
      <c r="I106" s="10">
        <f>SUM($H$3:H106)</f>
        <v>0.10744537486866676</v>
      </c>
      <c r="J106" s="23">
        <v>-8.0000000000000002E-3</v>
      </c>
      <c r="Q106" s="7">
        <f t="shared" si="5"/>
        <v>9.1814103222683939E-5</v>
      </c>
      <c r="R106" s="7">
        <f t="shared" si="4"/>
        <v>1.0007039102986782E-3</v>
      </c>
    </row>
    <row r="107" spans="1:18" x14ac:dyDescent="0.25">
      <c r="A107" s="22">
        <v>44719</v>
      </c>
      <c r="B107" s="12">
        <v>178.56</v>
      </c>
      <c r="C107" s="13">
        <v>-8.8000000000000005E-3</v>
      </c>
      <c r="D107" s="7">
        <v>855</v>
      </c>
      <c r="E107" s="7">
        <v>-8.0000000000000002E-3</v>
      </c>
      <c r="F107" s="7">
        <v>630</v>
      </c>
      <c r="G107" s="8">
        <f t="shared" si="6"/>
        <v>0.93894051582467231</v>
      </c>
      <c r="H107" s="9">
        <f t="shared" si="7"/>
        <v>1.02571223374541E-3</v>
      </c>
      <c r="I107" s="10">
        <f>SUM($H$3:H107)</f>
        <v>0.10847108710241217</v>
      </c>
      <c r="J107" s="23">
        <v>-8.0000000000000002E-3</v>
      </c>
      <c r="Q107" s="7">
        <f t="shared" si="5"/>
        <v>9.1823285551239072E-5</v>
      </c>
      <c r="R107" s="7">
        <f t="shared" si="4"/>
        <v>1.0008039906977482E-3</v>
      </c>
    </row>
    <row r="108" spans="1:18" x14ac:dyDescent="0.25">
      <c r="A108" s="22">
        <v>44720</v>
      </c>
      <c r="B108" s="12">
        <v>178.08</v>
      </c>
      <c r="C108" s="13">
        <v>-2.7000000000000001E-3</v>
      </c>
      <c r="D108" s="7">
        <v>854</v>
      </c>
      <c r="E108" s="7">
        <v>-8.0000000000000002E-3</v>
      </c>
      <c r="F108" s="7">
        <v>446</v>
      </c>
      <c r="G108" s="8">
        <f t="shared" si="6"/>
        <v>0.9563778244487221</v>
      </c>
      <c r="H108" s="9">
        <f t="shared" si="7"/>
        <v>1.0447610025202596E-3</v>
      </c>
      <c r="I108" s="10">
        <f>SUM($H$3:H108)</f>
        <v>0.10951584810493242</v>
      </c>
      <c r="J108" s="23">
        <v>-8.0000000000000002E-3</v>
      </c>
      <c r="Q108" s="7">
        <f t="shared" si="5"/>
        <v>9.1832468798118866E-5</v>
      </c>
      <c r="R108" s="7">
        <f t="shared" si="4"/>
        <v>1.0009040811058585E-3</v>
      </c>
    </row>
    <row r="109" spans="1:18" x14ac:dyDescent="0.25">
      <c r="A109" s="22">
        <v>44721</v>
      </c>
      <c r="B109" s="12">
        <v>179.4</v>
      </c>
      <c r="C109" s="13">
        <v>7.4000000000000003E-3</v>
      </c>
      <c r="D109" s="7">
        <v>853</v>
      </c>
      <c r="E109" s="7">
        <v>-8.0000000000000002E-3</v>
      </c>
      <c r="F109" s="7">
        <v>396</v>
      </c>
      <c r="G109" s="8">
        <f t="shared" si="6"/>
        <v>0.96117192855221134</v>
      </c>
      <c r="H109" s="9">
        <f t="shared" si="7"/>
        <v>1.049998151355486E-3</v>
      </c>
      <c r="I109" s="10">
        <f>SUM($H$3:H109)</f>
        <v>0.1105658462562879</v>
      </c>
      <c r="J109" s="23">
        <v>-8.0000000000000002E-3</v>
      </c>
      <c r="Q109" s="7">
        <f t="shared" si="5"/>
        <v>9.1841652963415207E-5</v>
      </c>
      <c r="R109" s="7">
        <f t="shared" si="4"/>
        <v>1.0010041815240109E-3</v>
      </c>
    </row>
    <row r="110" spans="1:18" x14ac:dyDescent="0.25">
      <c r="A110" s="22">
        <v>44722</v>
      </c>
      <c r="B110" s="12">
        <v>176.46</v>
      </c>
      <c r="C110" s="13">
        <v>-1.6400000000000001E-2</v>
      </c>
      <c r="D110" s="7">
        <v>852</v>
      </c>
      <c r="E110" s="7">
        <v>-8.0000000000000002E-3</v>
      </c>
      <c r="F110" s="7">
        <v>365</v>
      </c>
      <c r="G110" s="8">
        <f t="shared" si="6"/>
        <v>0.96415633419210278</v>
      </c>
      <c r="H110" s="9">
        <f t="shared" si="7"/>
        <v>1.0532583593491807E-3</v>
      </c>
      <c r="I110" s="10">
        <f>SUM($H$3:H110)</f>
        <v>0.11161910461563708</v>
      </c>
      <c r="J110" s="23">
        <v>-8.0000000000000002E-3</v>
      </c>
      <c r="Q110" s="7">
        <f t="shared" si="5"/>
        <v>9.1850838047219914E-5</v>
      </c>
      <c r="R110" s="7">
        <f t="shared" si="4"/>
        <v>1.001104291953206E-3</v>
      </c>
    </row>
    <row r="111" spans="1:18" x14ac:dyDescent="0.25">
      <c r="A111" s="22">
        <v>44725</v>
      </c>
      <c r="B111" s="12">
        <v>171.87</v>
      </c>
      <c r="C111" s="13">
        <v>-2.5999999999999999E-2</v>
      </c>
      <c r="D111" s="7">
        <v>851</v>
      </c>
      <c r="E111" s="7">
        <v>-7.9000000000000008E-3</v>
      </c>
      <c r="F111" s="7">
        <v>512</v>
      </c>
      <c r="G111" s="8">
        <f t="shared" si="6"/>
        <v>0.95008620141668987</v>
      </c>
      <c r="H111" s="9">
        <f t="shared" si="7"/>
        <v>1.0378879422940728E-3</v>
      </c>
      <c r="I111" s="10">
        <f>SUM($H$3:H111)</f>
        <v>0.11265699255793116</v>
      </c>
      <c r="J111" s="23">
        <v>-7.9000000000000008E-3</v>
      </c>
      <c r="Q111" s="7">
        <f t="shared" si="5"/>
        <v>9.1860024049624886E-5</v>
      </c>
      <c r="R111" s="7">
        <f t="shared" si="4"/>
        <v>1.0012044123944455E-3</v>
      </c>
    </row>
    <row r="112" spans="1:18" x14ac:dyDescent="0.25">
      <c r="A112" s="22">
        <v>44726</v>
      </c>
      <c r="B112" s="12">
        <v>171.3</v>
      </c>
      <c r="C112" s="13">
        <v>-3.3E-3</v>
      </c>
      <c r="D112" s="7">
        <v>850</v>
      </c>
      <c r="E112" s="7">
        <v>-7.7999999999999996E-3</v>
      </c>
      <c r="F112" s="7">
        <v>67</v>
      </c>
      <c r="G112" s="8">
        <f t="shared" si="6"/>
        <v>0.99332206217155328</v>
      </c>
      <c r="H112" s="9">
        <f t="shared" si="7"/>
        <v>1.0851194234852172E-3</v>
      </c>
      <c r="I112" s="10">
        <f>SUM($H$3:H112)</f>
        <v>0.11374211198141637</v>
      </c>
      <c r="J112" s="23">
        <v>-7.7999999999999996E-3</v>
      </c>
      <c r="Q112" s="7">
        <f t="shared" si="5"/>
        <v>9.1869210970721942E-5</v>
      </c>
      <c r="R112" s="7">
        <f t="shared" si="4"/>
        <v>1.0013045428487303E-3</v>
      </c>
    </row>
    <row r="113" spans="1:18" x14ac:dyDescent="0.25">
      <c r="A113" s="22">
        <v>44727</v>
      </c>
      <c r="B113" s="12">
        <v>171.1</v>
      </c>
      <c r="C113" s="13">
        <v>-1.1999999999999999E-3</v>
      </c>
      <c r="D113" s="7">
        <v>849</v>
      </c>
      <c r="E113" s="7">
        <v>-7.6E-3</v>
      </c>
      <c r="F113" s="7">
        <v>277</v>
      </c>
      <c r="G113" s="8">
        <f t="shared" si="6"/>
        <v>0.97267877982228634</v>
      </c>
      <c r="H113" s="9">
        <f t="shared" si="7"/>
        <v>1.0625684025276153E-3</v>
      </c>
      <c r="I113" s="10">
        <f>SUM($H$3:H113)</f>
        <v>0.11480468038394398</v>
      </c>
      <c r="J113" s="23">
        <v>-7.6E-3</v>
      </c>
      <c r="Q113" s="7">
        <f t="shared" si="5"/>
        <v>9.1878398810603021E-5</v>
      </c>
      <c r="R113" s="7">
        <f t="shared" si="4"/>
        <v>1.0014046833170622E-3</v>
      </c>
    </row>
    <row r="114" spans="1:18" x14ac:dyDescent="0.25">
      <c r="A114" s="22">
        <v>44728</v>
      </c>
      <c r="B114" s="12">
        <v>167.56</v>
      </c>
      <c r="C114" s="13">
        <v>-2.07E-2</v>
      </c>
      <c r="D114" s="7">
        <v>848</v>
      </c>
      <c r="E114" s="7">
        <v>-7.6E-3</v>
      </c>
      <c r="F114" s="7">
        <v>220</v>
      </c>
      <c r="G114" s="8">
        <f t="shared" si="6"/>
        <v>0.97823915891580582</v>
      </c>
      <c r="H114" s="9">
        <f t="shared" si="7"/>
        <v>1.0686426412726288E-3</v>
      </c>
      <c r="I114" s="10">
        <f>SUM($H$3:H114)</f>
        <v>0.11587332302521661</v>
      </c>
      <c r="J114" s="23">
        <v>-7.6E-3</v>
      </c>
      <c r="Q114" s="7">
        <f t="shared" si="5"/>
        <v>9.1887587569359943E-5</v>
      </c>
      <c r="R114" s="7">
        <f t="shared" si="4"/>
        <v>1.0015048338004422E-3</v>
      </c>
    </row>
    <row r="115" spans="1:18" x14ac:dyDescent="0.25">
      <c r="A115" s="22">
        <v>44729</v>
      </c>
      <c r="B115" s="12">
        <v>166.87</v>
      </c>
      <c r="C115" s="13">
        <v>-4.1000000000000003E-3</v>
      </c>
      <c r="D115" s="7">
        <v>847</v>
      </c>
      <c r="E115" s="7">
        <v>-7.6E-3</v>
      </c>
      <c r="F115" s="7">
        <v>55</v>
      </c>
      <c r="G115" s="8">
        <f t="shared" si="6"/>
        <v>0.99451482379907208</v>
      </c>
      <c r="H115" s="9">
        <f t="shared" si="7"/>
        <v>1.0864224135816809E-3</v>
      </c>
      <c r="I115" s="10">
        <f>SUM($H$3:H115)</f>
        <v>0.11695974543879829</v>
      </c>
      <c r="J115" s="23">
        <v>-7.6E-3</v>
      </c>
      <c r="Q115" s="7">
        <f t="shared" si="5"/>
        <v>9.1896777247084648E-5</v>
      </c>
      <c r="R115" s="7">
        <f t="shared" si="4"/>
        <v>1.0016049942998719E-3</v>
      </c>
    </row>
    <row r="116" spans="1:18" x14ac:dyDescent="0.25">
      <c r="A116" s="22">
        <v>44732</v>
      </c>
      <c r="B116" s="12">
        <v>167.31</v>
      </c>
      <c r="C116" s="13">
        <v>2.5999999999999999E-3</v>
      </c>
      <c r="D116" s="7">
        <v>846</v>
      </c>
      <c r="E116" s="7">
        <v>-7.4000000000000003E-3</v>
      </c>
      <c r="F116" s="7">
        <v>749</v>
      </c>
      <c r="G116" s="8">
        <f t="shared" si="6"/>
        <v>0.92783279034410215</v>
      </c>
      <c r="H116" s="9">
        <f t="shared" si="7"/>
        <v>1.0135779933728986E-3</v>
      </c>
      <c r="I116" s="10">
        <f>SUM($H$3:H116)</f>
        <v>0.11797332343217119</v>
      </c>
      <c r="J116" s="23">
        <v>-7.4000000000000003E-3</v>
      </c>
      <c r="Q116" s="7">
        <f t="shared" si="5"/>
        <v>9.1905967843869036E-5</v>
      </c>
      <c r="R116" s="7">
        <f t="shared" si="4"/>
        <v>1.0017051648163538E-3</v>
      </c>
    </row>
    <row r="117" spans="1:18" x14ac:dyDescent="0.25">
      <c r="A117" s="22">
        <v>44733</v>
      </c>
      <c r="B117" s="12">
        <v>170.26</v>
      </c>
      <c r="C117" s="13">
        <v>1.7600000000000001E-2</v>
      </c>
      <c r="D117" s="7">
        <v>845</v>
      </c>
      <c r="E117" s="7">
        <v>-7.3000000000000001E-3</v>
      </c>
      <c r="F117" s="7">
        <v>957</v>
      </c>
      <c r="G117" s="8">
        <f t="shared" si="6"/>
        <v>0.90873224757440152</v>
      </c>
      <c r="H117" s="9">
        <f t="shared" si="7"/>
        <v>9.9271228350111622E-4</v>
      </c>
      <c r="I117" s="10">
        <f>SUM($H$3:H117)</f>
        <v>0.11896603571567231</v>
      </c>
      <c r="J117" s="23">
        <v>-7.3000000000000001E-3</v>
      </c>
      <c r="Q117" s="7">
        <f t="shared" si="5"/>
        <v>9.1915159359805019E-5</v>
      </c>
      <c r="R117" s="7">
        <f t="shared" si="4"/>
        <v>1.0018053453508889E-3</v>
      </c>
    </row>
    <row r="118" spans="1:18" x14ac:dyDescent="0.25">
      <c r="A118" s="22">
        <v>44734</v>
      </c>
      <c r="B118" s="12">
        <v>168.08</v>
      </c>
      <c r="C118" s="13">
        <v>-1.2800000000000001E-2</v>
      </c>
      <c r="D118" s="7">
        <v>844</v>
      </c>
      <c r="E118" s="7">
        <v>-7.3000000000000001E-3</v>
      </c>
      <c r="F118" s="7">
        <v>77</v>
      </c>
      <c r="G118" s="8">
        <f t="shared" si="6"/>
        <v>0.99232918698513206</v>
      </c>
      <c r="H118" s="9">
        <f t="shared" si="7"/>
        <v>1.0840347922352813E-3</v>
      </c>
      <c r="I118" s="10">
        <f>SUM($H$3:H118)</f>
        <v>0.12005007050790759</v>
      </c>
      <c r="J118" s="23">
        <v>-7.3000000000000001E-3</v>
      </c>
      <c r="Q118" s="7">
        <f t="shared" si="5"/>
        <v>9.192435179498451E-5</v>
      </c>
      <c r="R118" s="7">
        <f t="shared" si="4"/>
        <v>1.0019055359044792E-3</v>
      </c>
    </row>
    <row r="119" spans="1:18" x14ac:dyDescent="0.25">
      <c r="A119" s="22">
        <v>44735</v>
      </c>
      <c r="B119" s="12">
        <v>169.71</v>
      </c>
      <c r="C119" s="13">
        <v>9.7000000000000003E-3</v>
      </c>
      <c r="D119" s="7">
        <v>843</v>
      </c>
      <c r="E119" s="7">
        <v>-7.1999999999999998E-3</v>
      </c>
      <c r="F119" s="7">
        <v>567</v>
      </c>
      <c r="G119" s="8">
        <f t="shared" si="6"/>
        <v>0.94487481119584904</v>
      </c>
      <c r="H119" s="9">
        <f t="shared" si="7"/>
        <v>1.0321949440537713E-3</v>
      </c>
      <c r="I119" s="10">
        <f>SUM($H$3:H119)</f>
        <v>0.12108226545196135</v>
      </c>
      <c r="J119" s="23">
        <v>-7.1999999999999998E-3</v>
      </c>
      <c r="Q119" s="7">
        <f t="shared" si="5"/>
        <v>9.1933545149499465E-5</v>
      </c>
      <c r="R119" s="7">
        <f t="shared" si="4"/>
        <v>1.002005736478127E-3</v>
      </c>
    </row>
    <row r="120" spans="1:18" x14ac:dyDescent="0.25">
      <c r="A120" s="22">
        <v>44736</v>
      </c>
      <c r="B120" s="12">
        <v>171.16</v>
      </c>
      <c r="C120" s="13">
        <v>8.5000000000000006E-3</v>
      </c>
      <c r="D120" s="7">
        <v>842</v>
      </c>
      <c r="E120" s="7">
        <v>-7.1999999999999998E-3</v>
      </c>
      <c r="F120" s="7">
        <v>366</v>
      </c>
      <c r="G120" s="8">
        <f t="shared" si="6"/>
        <v>0.96405991855868367</v>
      </c>
      <c r="H120" s="9">
        <f t="shared" si="7"/>
        <v>1.0531530335132458E-3</v>
      </c>
      <c r="I120" s="10">
        <f>SUM($H$3:H120)</f>
        <v>0.1221354184854746</v>
      </c>
      <c r="J120" s="23">
        <v>-7.1999999999999998E-3</v>
      </c>
      <c r="Q120" s="7">
        <f t="shared" si="5"/>
        <v>9.1942739423441809E-5</v>
      </c>
      <c r="R120" s="7">
        <f t="shared" si="4"/>
        <v>1.0021059470728343E-3</v>
      </c>
    </row>
    <row r="121" spans="1:18" x14ac:dyDescent="0.25">
      <c r="A121" s="22">
        <v>44739</v>
      </c>
      <c r="B121" s="12">
        <v>172.62</v>
      </c>
      <c r="C121" s="13">
        <v>8.5000000000000006E-3</v>
      </c>
      <c r="D121" s="7">
        <v>841</v>
      </c>
      <c r="E121" s="7">
        <v>-7.1999999999999998E-3</v>
      </c>
      <c r="F121" s="7">
        <v>87</v>
      </c>
      <c r="G121" s="8">
        <f t="shared" si="6"/>
        <v>0.99133730422722266</v>
      </c>
      <c r="H121" s="9">
        <f t="shared" si="7"/>
        <v>1.0829512451286413E-3</v>
      </c>
      <c r="I121" s="10">
        <f>SUM($H$3:H121)</f>
        <v>0.12321836973060324</v>
      </c>
      <c r="J121" s="23">
        <v>-7.1999999999999998E-3</v>
      </c>
      <c r="Q121" s="7">
        <f t="shared" si="5"/>
        <v>9.1951934616903497E-5</v>
      </c>
      <c r="R121" s="7">
        <f t="shared" si="4"/>
        <v>1.0022061676896031E-3</v>
      </c>
    </row>
    <row r="122" spans="1:18" x14ac:dyDescent="0.25">
      <c r="A122" s="22">
        <v>44740</v>
      </c>
      <c r="B122" s="12">
        <v>172.65</v>
      </c>
      <c r="C122" s="13">
        <v>2.0000000000000001E-4</v>
      </c>
      <c r="D122" s="7">
        <v>840</v>
      </c>
      <c r="E122" s="7">
        <v>-7.1000000000000004E-3</v>
      </c>
      <c r="F122" s="7">
        <v>908</v>
      </c>
      <c r="G122" s="8">
        <f t="shared" si="6"/>
        <v>0.91319618650652445</v>
      </c>
      <c r="H122" s="9">
        <f t="shared" si="7"/>
        <v>9.9758875511588019E-4</v>
      </c>
      <c r="I122" s="10">
        <f>SUM($H$3:H122)</f>
        <v>0.12421595848571912</v>
      </c>
      <c r="J122" s="23">
        <v>-7.1000000000000004E-3</v>
      </c>
      <c r="Q122" s="7">
        <f t="shared" si="5"/>
        <v>9.1961130729976495E-5</v>
      </c>
      <c r="R122" s="7">
        <f t="shared" si="4"/>
        <v>1.0023063983294362E-3</v>
      </c>
    </row>
    <row r="123" spans="1:18" x14ac:dyDescent="0.25">
      <c r="A123" s="22">
        <v>44741</v>
      </c>
      <c r="B123" s="12">
        <v>171.86</v>
      </c>
      <c r="C123" s="13">
        <v>-4.5999999999999999E-3</v>
      </c>
      <c r="D123" s="7">
        <v>839</v>
      </c>
      <c r="E123" s="7">
        <v>-7.1000000000000004E-3</v>
      </c>
      <c r="F123" s="7">
        <v>883</v>
      </c>
      <c r="G123" s="8">
        <f t="shared" si="6"/>
        <v>0.9154821475333661</v>
      </c>
      <c r="H123" s="9">
        <f t="shared" si="7"/>
        <v>1.0000859720871143E-3</v>
      </c>
      <c r="I123" s="10">
        <f>SUM($H$3:H123)</f>
        <v>0.12521604445780624</v>
      </c>
      <c r="J123" s="23">
        <v>-7.1000000000000004E-3</v>
      </c>
      <c r="Q123" s="7">
        <f t="shared" si="5"/>
        <v>9.1970327762752759E-5</v>
      </c>
      <c r="R123" s="7">
        <f t="shared" si="4"/>
        <v>1.0024066389933354E-3</v>
      </c>
    </row>
    <row r="124" spans="1:18" x14ac:dyDescent="0.25">
      <c r="A124" s="22">
        <v>44742</v>
      </c>
      <c r="B124" s="12">
        <v>171.6</v>
      </c>
      <c r="C124" s="13">
        <v>-1.5E-3</v>
      </c>
      <c r="D124" s="7">
        <v>838</v>
      </c>
      <c r="E124" s="7">
        <v>-7.1000000000000004E-3</v>
      </c>
      <c r="F124" s="7">
        <v>670</v>
      </c>
      <c r="G124" s="8">
        <f t="shared" si="6"/>
        <v>0.93519206822924061</v>
      </c>
      <c r="H124" s="9">
        <f t="shared" si="7"/>
        <v>1.021617375241183E-3</v>
      </c>
      <c r="I124" s="10">
        <f>SUM($H$3:H124)</f>
        <v>0.12623766183304741</v>
      </c>
      <c r="J124" s="23">
        <v>-7.1000000000000004E-3</v>
      </c>
      <c r="Q124" s="7">
        <f t="shared" si="5"/>
        <v>9.1979525715324295E-5</v>
      </c>
      <c r="R124" s="7">
        <f t="shared" si="4"/>
        <v>1.0025068896823038E-3</v>
      </c>
    </row>
    <row r="125" spans="1:18" x14ac:dyDescent="0.25">
      <c r="A125" s="22">
        <v>44743</v>
      </c>
      <c r="B125" s="12">
        <v>171.64</v>
      </c>
      <c r="C125" s="13">
        <v>2.0000000000000001E-4</v>
      </c>
      <c r="D125" s="7">
        <v>837</v>
      </c>
      <c r="E125" s="7">
        <v>-7.1000000000000004E-3</v>
      </c>
      <c r="F125" s="7">
        <v>314</v>
      </c>
      <c r="G125" s="8">
        <f t="shared" si="6"/>
        <v>0.969086338826324</v>
      </c>
      <c r="H125" s="9">
        <f t="shared" si="7"/>
        <v>1.0586439678946815E-3</v>
      </c>
      <c r="I125" s="10">
        <f>SUM($H$3:H125)</f>
        <v>0.12729630580094209</v>
      </c>
      <c r="J125" s="23">
        <v>-7.1000000000000004E-3</v>
      </c>
      <c r="Q125" s="7">
        <f t="shared" si="5"/>
        <v>9.1988724587783072E-5</v>
      </c>
      <c r="R125" s="7">
        <f t="shared" si="4"/>
        <v>1.0026071503973434E-3</v>
      </c>
    </row>
    <row r="126" spans="1:18" x14ac:dyDescent="0.25">
      <c r="A126" s="22">
        <v>44746</v>
      </c>
      <c r="B126" s="12">
        <v>172.63</v>
      </c>
      <c r="C126" s="13">
        <v>5.7999999999999996E-3</v>
      </c>
      <c r="D126" s="7">
        <v>836</v>
      </c>
      <c r="E126" s="7">
        <v>-7.0000000000000001E-3</v>
      </c>
      <c r="F126" s="7">
        <v>723</v>
      </c>
      <c r="G126" s="8">
        <f t="shared" si="6"/>
        <v>0.93024841533387559</v>
      </c>
      <c r="H126" s="9">
        <f t="shared" si="7"/>
        <v>1.0162168571373146E-3</v>
      </c>
      <c r="I126" s="10">
        <f>SUM($H$3:H126)</f>
        <v>0.12831252265807941</v>
      </c>
      <c r="J126" s="23">
        <v>-7.0000000000000001E-3</v>
      </c>
      <c r="Q126" s="7">
        <f t="shared" si="5"/>
        <v>9.1997924380221084E-5</v>
      </c>
      <c r="R126" s="7">
        <f t="shared" si="4"/>
        <v>1.0027074211394573E-3</v>
      </c>
    </row>
    <row r="127" spans="1:18" x14ac:dyDescent="0.25">
      <c r="A127" s="22">
        <v>44747</v>
      </c>
      <c r="B127" s="12">
        <v>172.04</v>
      </c>
      <c r="C127" s="13">
        <v>-3.3999999999999998E-3</v>
      </c>
      <c r="D127" s="7">
        <v>835</v>
      </c>
      <c r="E127" s="7">
        <v>-7.0000000000000001E-3</v>
      </c>
      <c r="F127" s="7">
        <v>189</v>
      </c>
      <c r="G127" s="8">
        <f t="shared" si="6"/>
        <v>0.98127655771648503</v>
      </c>
      <c r="H127" s="9">
        <f t="shared" si="7"/>
        <v>1.0719607397635476E-3</v>
      </c>
      <c r="I127" s="10">
        <f>SUM($H$3:H127)</f>
        <v>0.12938448339784295</v>
      </c>
      <c r="J127" s="23">
        <v>-7.0000000000000001E-3</v>
      </c>
      <c r="Q127" s="7">
        <f t="shared" si="5"/>
        <v>9.2007125092730352E-5</v>
      </c>
      <c r="R127" s="7">
        <f t="shared" si="4"/>
        <v>1.0028077019096481E-3</v>
      </c>
    </row>
    <row r="128" spans="1:18" x14ac:dyDescent="0.25">
      <c r="A128" s="22">
        <v>44748</v>
      </c>
      <c r="B128" s="12">
        <v>174.12</v>
      </c>
      <c r="C128" s="13">
        <v>1.21E-2</v>
      </c>
      <c r="D128" s="7">
        <v>834</v>
      </c>
      <c r="E128" s="7">
        <v>-6.8999999999999999E-3</v>
      </c>
      <c r="F128" s="7">
        <v>919</v>
      </c>
      <c r="G128" s="8">
        <f t="shared" si="6"/>
        <v>0.91219217280862286</v>
      </c>
      <c r="H128" s="9">
        <f t="shared" si="7"/>
        <v>9.9649195599449901E-4</v>
      </c>
      <c r="I128" s="10">
        <f>SUM($H$3:H128)</f>
        <v>0.13038097535383744</v>
      </c>
      <c r="J128" s="23">
        <v>-6.8999999999999999E-3</v>
      </c>
      <c r="Q128" s="7">
        <f t="shared" si="5"/>
        <v>9.2016326725402885E-5</v>
      </c>
      <c r="R128" s="7">
        <f t="shared" si="4"/>
        <v>1.0029079927089189E-3</v>
      </c>
    </row>
    <row r="129" spans="1:18" x14ac:dyDescent="0.25">
      <c r="A129" s="22">
        <v>44749</v>
      </c>
      <c r="B129" s="12">
        <v>175.54</v>
      </c>
      <c r="C129" s="13">
        <v>8.2000000000000007E-3</v>
      </c>
      <c r="D129" s="7">
        <v>833</v>
      </c>
      <c r="E129" s="7">
        <v>-6.8999999999999999E-3</v>
      </c>
      <c r="F129" s="7">
        <v>742</v>
      </c>
      <c r="G129" s="8">
        <f t="shared" si="6"/>
        <v>0.92848253316848173</v>
      </c>
      <c r="H129" s="9">
        <f t="shared" si="7"/>
        <v>1.0142877818552596E-3</v>
      </c>
      <c r="I129" s="10">
        <f>SUM($H$3:H129)</f>
        <v>0.13139526313569269</v>
      </c>
      <c r="J129" s="23">
        <v>-6.8999999999999999E-3</v>
      </c>
      <c r="Q129" s="7">
        <f t="shared" si="5"/>
        <v>9.2025529278330731E-5</v>
      </c>
      <c r="R129" s="7">
        <f t="shared" si="4"/>
        <v>1.003008293538273E-3</v>
      </c>
    </row>
    <row r="130" spans="1:18" x14ac:dyDescent="0.25">
      <c r="A130" s="22">
        <v>44750</v>
      </c>
      <c r="B130" s="12">
        <v>176.28</v>
      </c>
      <c r="C130" s="13">
        <v>4.1999999999999997E-3</v>
      </c>
      <c r="D130" s="7">
        <v>832</v>
      </c>
      <c r="E130" s="7">
        <v>-6.8999999999999999E-3</v>
      </c>
      <c r="F130" s="7">
        <v>708</v>
      </c>
      <c r="G130" s="8">
        <f t="shared" si="6"/>
        <v>0.93164490488782814</v>
      </c>
      <c r="H130" s="9">
        <f t="shared" si="7"/>
        <v>1.0177424025745872E-3</v>
      </c>
      <c r="I130" s="10">
        <f>SUM($H$3:H130)</f>
        <v>0.13241300553826729</v>
      </c>
      <c r="J130" s="23">
        <v>-6.8999999999999999E-3</v>
      </c>
      <c r="Q130" s="7">
        <f t="shared" si="5"/>
        <v>9.2034732751605886E-5</v>
      </c>
      <c r="R130" s="7">
        <f t="shared" ref="R130:R193" si="8">Q130/$U$2</f>
        <v>1.0031086043987127E-3</v>
      </c>
    </row>
    <row r="131" spans="1:18" x14ac:dyDescent="0.25">
      <c r="A131" s="22">
        <v>44753</v>
      </c>
      <c r="B131" s="12">
        <v>176.23</v>
      </c>
      <c r="C131" s="13">
        <v>-2.9999999999999997E-4</v>
      </c>
      <c r="D131" s="7">
        <v>831</v>
      </c>
      <c r="E131" s="7">
        <v>-6.8999999999999999E-3</v>
      </c>
      <c r="F131" s="7">
        <v>319</v>
      </c>
      <c r="G131" s="8">
        <f t="shared" si="6"/>
        <v>0.9686018925558546</v>
      </c>
      <c r="H131" s="9">
        <f t="shared" si="7"/>
        <v>1.0581147517645453E-3</v>
      </c>
      <c r="I131" s="10">
        <f>SUM($H$3:H131)</f>
        <v>0.13347112029003183</v>
      </c>
      <c r="J131" s="23">
        <v>-6.8999999999999999E-3</v>
      </c>
      <c r="Q131" s="7">
        <f t="shared" ref="Q131:Q194" si="9">(1-$N$3) * $N$3^(D132-1)</f>
        <v>9.2043937145320411E-5</v>
      </c>
      <c r="R131" s="7">
        <f t="shared" si="8"/>
        <v>1.0032089252912419E-3</v>
      </c>
    </row>
    <row r="132" spans="1:18" x14ac:dyDescent="0.25">
      <c r="A132" s="22">
        <v>44754</v>
      </c>
      <c r="B132" s="12">
        <v>175.1</v>
      </c>
      <c r="C132" s="13">
        <v>-6.4000000000000003E-3</v>
      </c>
      <c r="D132" s="7">
        <v>830</v>
      </c>
      <c r="E132" s="7">
        <v>-6.8999999999999999E-3</v>
      </c>
      <c r="F132" s="7">
        <v>159</v>
      </c>
      <c r="G132" s="8">
        <f t="shared" ref="G132:G195" si="10">$N$3^F132</f>
        <v>0.984224955196777</v>
      </c>
      <c r="H132" s="9">
        <f t="shared" ref="H132:H195" si="11">G132/$N$4</f>
        <v>1.0751816119215919E-3</v>
      </c>
      <c r="I132" s="10">
        <f>SUM($H$3:H132)</f>
        <v>0.13454630190195344</v>
      </c>
      <c r="J132" s="23">
        <v>-6.8999999999999999E-3</v>
      </c>
      <c r="Q132" s="7">
        <f t="shared" si="9"/>
        <v>9.2053142459566355E-5</v>
      </c>
      <c r="R132" s="7">
        <f t="shared" si="8"/>
        <v>1.0033092562168632E-3</v>
      </c>
    </row>
    <row r="133" spans="1:18" x14ac:dyDescent="0.25">
      <c r="A133" s="22">
        <v>44755</v>
      </c>
      <c r="B133" s="12">
        <v>174.06</v>
      </c>
      <c r="C133" s="13">
        <v>-5.8999999999999999E-3</v>
      </c>
      <c r="D133" s="7">
        <v>829</v>
      </c>
      <c r="E133" s="7">
        <v>-6.7999999999999996E-3</v>
      </c>
      <c r="F133" s="7">
        <v>666</v>
      </c>
      <c r="G133" s="8">
        <f t="shared" si="10"/>
        <v>0.9355662385944461</v>
      </c>
      <c r="H133" s="9">
        <f t="shared" si="11"/>
        <v>1.0220261243734528E-3</v>
      </c>
      <c r="I133" s="10">
        <f>SUM($H$3:H133)</f>
        <v>0.1355683280263269</v>
      </c>
      <c r="J133" s="23">
        <v>-6.7999999999999996E-3</v>
      </c>
      <c r="Q133" s="7">
        <f t="shared" si="9"/>
        <v>9.2062348694435807E-5</v>
      </c>
      <c r="R133" s="7">
        <f t="shared" si="8"/>
        <v>1.003409597176581E-3</v>
      </c>
    </row>
    <row r="134" spans="1:18" x14ac:dyDescent="0.25">
      <c r="A134" s="22">
        <v>44756</v>
      </c>
      <c r="B134" s="12">
        <v>173.93</v>
      </c>
      <c r="C134" s="13">
        <v>-6.9999999999999999E-4</v>
      </c>
      <c r="D134" s="7">
        <v>828</v>
      </c>
      <c r="E134" s="7">
        <v>-6.7999999999999996E-3</v>
      </c>
      <c r="F134" s="7">
        <v>246</v>
      </c>
      <c r="G134" s="8">
        <f t="shared" si="10"/>
        <v>0.97569891383793195</v>
      </c>
      <c r="H134" s="9">
        <f t="shared" si="11"/>
        <v>1.0658676407170309E-3</v>
      </c>
      <c r="I134" s="10">
        <f>SUM($H$3:H134)</f>
        <v>0.13663419566704393</v>
      </c>
      <c r="J134" s="23">
        <v>-6.7999999999999996E-3</v>
      </c>
      <c r="Q134" s="7">
        <f t="shared" si="9"/>
        <v>9.2071555850020803E-5</v>
      </c>
      <c r="R134" s="7">
        <f t="shared" si="8"/>
        <v>1.0035099481713983E-3</v>
      </c>
    </row>
    <row r="135" spans="1:18" x14ac:dyDescent="0.25">
      <c r="A135" s="22">
        <v>44757</v>
      </c>
      <c r="B135" s="12">
        <v>175.02</v>
      </c>
      <c r="C135" s="13">
        <v>6.3E-3</v>
      </c>
      <c r="D135" s="7">
        <v>827</v>
      </c>
      <c r="E135" s="7">
        <v>-6.7999999999999996E-3</v>
      </c>
      <c r="F135" s="7">
        <v>72</v>
      </c>
      <c r="G135" s="8">
        <f t="shared" si="10"/>
        <v>0.9928255004627411</v>
      </c>
      <c r="H135" s="9">
        <f t="shared" si="11"/>
        <v>1.0845769722745665E-3</v>
      </c>
      <c r="I135" s="10">
        <f>SUM($H$3:H135)</f>
        <v>0.1377187726393185</v>
      </c>
      <c r="J135" s="23">
        <v>-6.7999999999999996E-3</v>
      </c>
      <c r="Q135" s="7">
        <f t="shared" si="9"/>
        <v>9.2080763926413446E-5</v>
      </c>
      <c r="R135" s="7">
        <f t="shared" si="8"/>
        <v>1.0036103092023183E-3</v>
      </c>
    </row>
    <row r="136" spans="1:18" x14ac:dyDescent="0.25">
      <c r="A136" s="22">
        <v>44760</v>
      </c>
      <c r="B136" s="12">
        <v>177.39</v>
      </c>
      <c r="C136" s="13">
        <v>1.35E-2</v>
      </c>
      <c r="D136" s="7">
        <v>826</v>
      </c>
      <c r="E136" s="7">
        <v>-6.7000000000000002E-3</v>
      </c>
      <c r="F136" s="7">
        <v>212</v>
      </c>
      <c r="G136" s="8">
        <f t="shared" si="10"/>
        <v>0.97902210252645649</v>
      </c>
      <c r="H136" s="9">
        <f t="shared" si="11"/>
        <v>1.06949794022527E-3</v>
      </c>
      <c r="I136" s="10">
        <f>SUM($H$3:H136)</f>
        <v>0.13878827057954377</v>
      </c>
      <c r="J136" s="23">
        <v>-6.7000000000000002E-3</v>
      </c>
      <c r="Q136" s="7">
        <f t="shared" si="9"/>
        <v>9.2089972923705798E-5</v>
      </c>
      <c r="R136" s="7">
        <f t="shared" si="8"/>
        <v>1.0037106802703452E-3</v>
      </c>
    </row>
    <row r="137" spans="1:18" x14ac:dyDescent="0.25">
      <c r="A137" s="22">
        <v>44761</v>
      </c>
      <c r="B137" s="12">
        <v>177.88</v>
      </c>
      <c r="C137" s="13">
        <v>2.8E-3</v>
      </c>
      <c r="D137" s="7">
        <v>825</v>
      </c>
      <c r="E137" s="7">
        <v>-6.7000000000000002E-3</v>
      </c>
      <c r="F137" s="7">
        <v>150</v>
      </c>
      <c r="G137" s="8">
        <f t="shared" si="10"/>
        <v>0.98511120072012959</v>
      </c>
      <c r="H137" s="9">
        <f t="shared" si="11"/>
        <v>1.0761497593815047E-3</v>
      </c>
      <c r="I137" s="10">
        <f>SUM($H$3:H137)</f>
        <v>0.13986442033892527</v>
      </c>
      <c r="J137" s="23">
        <v>-6.7000000000000002E-3</v>
      </c>
      <c r="Q137" s="7">
        <f t="shared" si="9"/>
        <v>9.2099182841990003E-5</v>
      </c>
      <c r="R137" s="7">
        <f t="shared" si="8"/>
        <v>1.003811061376483E-3</v>
      </c>
    </row>
    <row r="138" spans="1:18" x14ac:dyDescent="0.25">
      <c r="A138" s="22">
        <v>44762</v>
      </c>
      <c r="B138" s="12">
        <v>179.53</v>
      </c>
      <c r="C138" s="13">
        <v>9.2999999999999992E-3</v>
      </c>
      <c r="D138" s="7">
        <v>824</v>
      </c>
      <c r="E138" s="7">
        <v>-6.6E-3</v>
      </c>
      <c r="F138" s="7">
        <v>655</v>
      </c>
      <c r="G138" s="8">
        <f t="shared" si="10"/>
        <v>0.93659597919828275</v>
      </c>
      <c r="H138" s="9">
        <f t="shared" si="11"/>
        <v>1.0231510279399073E-3</v>
      </c>
      <c r="I138" s="10">
        <f>SUM($H$3:H138)</f>
        <v>0.14088757136686517</v>
      </c>
      <c r="J138" s="23">
        <v>-6.6E-3</v>
      </c>
      <c r="Q138" s="7">
        <f t="shared" si="9"/>
        <v>9.2108393681358136E-5</v>
      </c>
      <c r="R138" s="7">
        <f t="shared" si="8"/>
        <v>1.0039114525217351E-3</v>
      </c>
    </row>
    <row r="139" spans="1:18" x14ac:dyDescent="0.25">
      <c r="A139" s="22">
        <v>44763</v>
      </c>
      <c r="B139" s="12">
        <v>180.54</v>
      </c>
      <c r="C139" s="13">
        <v>5.5999999999999999E-3</v>
      </c>
      <c r="D139" s="7">
        <v>823</v>
      </c>
      <c r="E139" s="7">
        <v>-6.6E-3</v>
      </c>
      <c r="F139" s="7">
        <v>115</v>
      </c>
      <c r="G139" s="8">
        <f t="shared" si="10"/>
        <v>0.98856530378480489</v>
      </c>
      <c r="H139" s="9">
        <f t="shared" si="11"/>
        <v>1.0799230716524565E-3</v>
      </c>
      <c r="I139" s="10">
        <f>SUM($H$3:H139)</f>
        <v>0.14196749443851761</v>
      </c>
      <c r="J139" s="23">
        <v>-6.6E-3</v>
      </c>
      <c r="Q139" s="7">
        <f t="shared" si="9"/>
        <v>9.2117605441902341E-5</v>
      </c>
      <c r="R139" s="7">
        <f t="shared" si="8"/>
        <v>1.0040118537071061E-3</v>
      </c>
    </row>
    <row r="140" spans="1:18" x14ac:dyDescent="0.25">
      <c r="A140" s="22">
        <v>44764</v>
      </c>
      <c r="B140" s="12">
        <v>181.89</v>
      </c>
      <c r="C140" s="13">
        <v>7.4999999999999997E-3</v>
      </c>
      <c r="D140" s="7">
        <v>822</v>
      </c>
      <c r="E140" s="7">
        <v>-6.6E-3</v>
      </c>
      <c r="F140" s="7">
        <v>107</v>
      </c>
      <c r="G140" s="8">
        <f t="shared" si="10"/>
        <v>0.98935651203000241</v>
      </c>
      <c r="H140" s="9">
        <f t="shared" si="11"/>
        <v>1.0807873990117105E-3</v>
      </c>
      <c r="I140" s="10">
        <f>SUM($H$3:H140)</f>
        <v>0.14304828183752932</v>
      </c>
      <c r="J140" s="23">
        <v>-6.6E-3</v>
      </c>
      <c r="Q140" s="7">
        <f t="shared" si="9"/>
        <v>9.2126818123714694E-5</v>
      </c>
      <c r="R140" s="7">
        <f t="shared" si="8"/>
        <v>1.0041122649335991E-3</v>
      </c>
    </row>
    <row r="141" spans="1:18" x14ac:dyDescent="0.25">
      <c r="A141" s="22">
        <v>44767</v>
      </c>
      <c r="B141" s="12">
        <v>181.46</v>
      </c>
      <c r="C141" s="13">
        <v>-2.3999999999999998E-3</v>
      </c>
      <c r="D141" s="7">
        <v>821</v>
      </c>
      <c r="E141" s="7">
        <v>-6.4999999999999997E-3</v>
      </c>
      <c r="F141" s="7">
        <v>892</v>
      </c>
      <c r="G141" s="8">
        <f t="shared" si="10"/>
        <v>0.91465854309727035</v>
      </c>
      <c r="H141" s="9">
        <f t="shared" si="11"/>
        <v>9.991862546591913E-4</v>
      </c>
      <c r="I141" s="10">
        <f>SUM($H$3:H141)</f>
        <v>0.14404746809218852</v>
      </c>
      <c r="J141" s="23">
        <v>-6.4999999999999997E-3</v>
      </c>
      <c r="Q141" s="7">
        <f t="shared" si="9"/>
        <v>9.213603172688738E-5</v>
      </c>
      <c r="R141" s="7">
        <f t="shared" si="8"/>
        <v>1.0042126862022194E-3</v>
      </c>
    </row>
    <row r="142" spans="1:18" x14ac:dyDescent="0.25">
      <c r="A142" s="22">
        <v>44768</v>
      </c>
      <c r="B142" s="12">
        <v>179.91</v>
      </c>
      <c r="C142" s="13">
        <v>-8.5000000000000006E-3</v>
      </c>
      <c r="D142" s="7">
        <v>820</v>
      </c>
      <c r="E142" s="7">
        <v>-6.4999999999999997E-3</v>
      </c>
      <c r="F142" s="7">
        <v>659</v>
      </c>
      <c r="G142" s="8">
        <f t="shared" si="10"/>
        <v>0.93622139699861606</v>
      </c>
      <c r="H142" s="9">
        <f t="shared" si="11"/>
        <v>1.0227418289137005E-3</v>
      </c>
      <c r="I142" s="10">
        <f>SUM($H$3:H142)</f>
        <v>0.14507020992110223</v>
      </c>
      <c r="J142" s="23">
        <v>-6.4999999999999997E-3</v>
      </c>
      <c r="Q142" s="7">
        <f t="shared" si="9"/>
        <v>9.2145246251512541E-5</v>
      </c>
      <c r="R142" s="7">
        <f t="shared" si="8"/>
        <v>1.0043131175139707E-3</v>
      </c>
    </row>
    <row r="143" spans="1:18" x14ac:dyDescent="0.25">
      <c r="A143" s="22">
        <v>44769</v>
      </c>
      <c r="B143" s="12">
        <v>181.6</v>
      </c>
      <c r="C143" s="13">
        <v>9.4000000000000004E-3</v>
      </c>
      <c r="D143" s="7">
        <v>819</v>
      </c>
      <c r="E143" s="7">
        <v>-6.4999999999999997E-3</v>
      </c>
      <c r="F143" s="7">
        <v>413</v>
      </c>
      <c r="G143" s="8">
        <f t="shared" si="10"/>
        <v>0.95953924281412772</v>
      </c>
      <c r="H143" s="9">
        <f t="shared" si="11"/>
        <v>1.0482145817819191E-3</v>
      </c>
      <c r="I143" s="10">
        <f>SUM($H$3:H143)</f>
        <v>0.14611842450288415</v>
      </c>
      <c r="J143" s="23">
        <v>-6.4999999999999997E-3</v>
      </c>
      <c r="Q143" s="7">
        <f t="shared" si="9"/>
        <v>9.2154461697682296E-5</v>
      </c>
      <c r="R143" s="7">
        <f t="shared" si="8"/>
        <v>1.0044135588698577E-3</v>
      </c>
    </row>
    <row r="144" spans="1:18" x14ac:dyDescent="0.25">
      <c r="A144" s="22">
        <v>44770</v>
      </c>
      <c r="B144" s="12">
        <v>184.18</v>
      </c>
      <c r="C144" s="13">
        <v>1.4200000000000001E-2</v>
      </c>
      <c r="D144" s="7">
        <v>818</v>
      </c>
      <c r="E144" s="7">
        <v>-6.4999999999999997E-3</v>
      </c>
      <c r="F144" s="7">
        <v>317</v>
      </c>
      <c r="G144" s="8">
        <f t="shared" si="10"/>
        <v>0.96879564199629731</v>
      </c>
      <c r="H144" s="9">
        <f t="shared" si="11"/>
        <v>1.0583264064625735E-3</v>
      </c>
      <c r="I144" s="10">
        <f>SUM($H$3:H144)</f>
        <v>0.14717675090934673</v>
      </c>
      <c r="J144" s="23">
        <v>-6.4999999999999997E-3</v>
      </c>
      <c r="Q144" s="7">
        <f t="shared" si="9"/>
        <v>9.2163678065488853E-5</v>
      </c>
      <c r="R144" s="7">
        <f t="shared" si="8"/>
        <v>1.0045140102708848E-3</v>
      </c>
    </row>
    <row r="145" spans="1:18" x14ac:dyDescent="0.25">
      <c r="A145" s="22">
        <v>44771</v>
      </c>
      <c r="B145" s="12">
        <v>186.54</v>
      </c>
      <c r="C145" s="13">
        <v>1.2800000000000001E-2</v>
      </c>
      <c r="D145" s="7">
        <v>817</v>
      </c>
      <c r="E145" s="7">
        <v>-6.4999999999999997E-3</v>
      </c>
      <c r="F145" s="7">
        <v>269</v>
      </c>
      <c r="G145" s="8">
        <f t="shared" si="10"/>
        <v>0.97345727312725816</v>
      </c>
      <c r="H145" s="9">
        <f t="shared" si="11"/>
        <v>1.0634188399018052E-3</v>
      </c>
      <c r="I145" s="10">
        <f>SUM($H$3:H145)</f>
        <v>0.14824016974924853</v>
      </c>
      <c r="J145" s="23">
        <v>-6.4999999999999997E-3</v>
      </c>
      <c r="Q145" s="7">
        <f t="shared" si="9"/>
        <v>9.2172895355024345E-5</v>
      </c>
      <c r="R145" s="7">
        <f t="shared" si="8"/>
        <v>1.0046144717180566E-3</v>
      </c>
    </row>
    <row r="146" spans="1:18" x14ac:dyDescent="0.25">
      <c r="A146" s="22">
        <v>44774</v>
      </c>
      <c r="B146" s="12">
        <v>188.63</v>
      </c>
      <c r="C146" s="13">
        <v>1.12E-2</v>
      </c>
      <c r="D146" s="7">
        <v>816</v>
      </c>
      <c r="E146" s="7">
        <v>-6.4999999999999997E-3</v>
      </c>
      <c r="F146" s="7">
        <v>135</v>
      </c>
      <c r="G146" s="8">
        <f t="shared" si="10"/>
        <v>0.98659005032482738</v>
      </c>
      <c r="H146" s="9">
        <f t="shared" si="11"/>
        <v>1.0777652761323991E-3</v>
      </c>
      <c r="I146" s="10">
        <f>SUM($H$3:H146)</f>
        <v>0.14931793502538093</v>
      </c>
      <c r="J146" s="23">
        <v>-6.4999999999999997E-3</v>
      </c>
      <c r="Q146" s="7">
        <f t="shared" si="9"/>
        <v>9.2182113566380996E-5</v>
      </c>
      <c r="R146" s="7">
        <f t="shared" si="8"/>
        <v>1.0047149432123779E-3</v>
      </c>
    </row>
    <row r="147" spans="1:18" x14ac:dyDescent="0.25">
      <c r="A147" s="22">
        <v>44775</v>
      </c>
      <c r="B147" s="12">
        <v>188.62</v>
      </c>
      <c r="C147" s="13">
        <v>-1E-4</v>
      </c>
      <c r="D147" s="7">
        <v>815</v>
      </c>
      <c r="E147" s="7">
        <v>-6.4999999999999997E-3</v>
      </c>
      <c r="F147" s="7">
        <v>12</v>
      </c>
      <c r="G147" s="8">
        <f t="shared" si="10"/>
        <v>0.99880065978004973</v>
      </c>
      <c r="H147" s="9">
        <f t="shared" si="11"/>
        <v>1.0911043229501929E-3</v>
      </c>
      <c r="I147" s="10">
        <f>SUM($H$3:H147)</f>
        <v>0.15040903934833114</v>
      </c>
      <c r="J147" s="23">
        <v>-6.4999999999999997E-3</v>
      </c>
      <c r="Q147" s="7">
        <f t="shared" si="9"/>
        <v>9.2191332699650949E-5</v>
      </c>
      <c r="R147" s="7">
        <f t="shared" si="8"/>
        <v>1.0048154247548533E-3</v>
      </c>
    </row>
    <row r="148" spans="1:18" x14ac:dyDescent="0.25">
      <c r="A148" s="22">
        <v>44776</v>
      </c>
      <c r="B148" s="12">
        <v>189.11</v>
      </c>
      <c r="C148" s="13">
        <v>2.5999999999999999E-3</v>
      </c>
      <c r="D148" s="7">
        <v>814</v>
      </c>
      <c r="E148" s="7">
        <v>-6.4000000000000003E-3</v>
      </c>
      <c r="F148" s="7">
        <v>830</v>
      </c>
      <c r="G148" s="8">
        <f t="shared" si="10"/>
        <v>0.92034732751616022</v>
      </c>
      <c r="H148" s="9">
        <f t="shared" si="11"/>
        <v>1.0054007652434648E-3</v>
      </c>
      <c r="I148" s="10">
        <f>SUM($H$3:H148)</f>
        <v>0.15141444011357461</v>
      </c>
      <c r="J148" s="23">
        <v>-6.4000000000000003E-3</v>
      </c>
      <c r="Q148" s="7">
        <f t="shared" si="9"/>
        <v>9.220055275492643E-5</v>
      </c>
      <c r="R148" s="7">
        <f t="shared" si="8"/>
        <v>1.0049159163464877E-3</v>
      </c>
    </row>
    <row r="149" spans="1:18" x14ac:dyDescent="0.25">
      <c r="A149" s="22">
        <v>44777</v>
      </c>
      <c r="B149" s="12">
        <v>189.17</v>
      </c>
      <c r="C149" s="13">
        <v>2.9999999999999997E-4</v>
      </c>
      <c r="D149" s="7">
        <v>813</v>
      </c>
      <c r="E149" s="7">
        <v>-6.4000000000000003E-3</v>
      </c>
      <c r="F149" s="7">
        <v>663</v>
      </c>
      <c r="G149" s="8">
        <f t="shared" si="10"/>
        <v>0.93584696460935568</v>
      </c>
      <c r="H149" s="9">
        <f t="shared" si="11"/>
        <v>1.0223327935425541E-3</v>
      </c>
      <c r="I149" s="10">
        <f>SUM($H$3:H149)</f>
        <v>0.15243677290711716</v>
      </c>
      <c r="J149" s="23">
        <v>-6.4000000000000003E-3</v>
      </c>
      <c r="Q149" s="7">
        <f t="shared" si="9"/>
        <v>9.2209773732299663E-5</v>
      </c>
      <c r="R149" s="7">
        <f t="shared" si="8"/>
        <v>1.0050164179882866E-3</v>
      </c>
    </row>
    <row r="150" spans="1:18" x14ac:dyDescent="0.25">
      <c r="A150" s="22">
        <v>44778</v>
      </c>
      <c r="B150" s="12">
        <v>189.25</v>
      </c>
      <c r="C150" s="13">
        <v>4.0000000000000002E-4</v>
      </c>
      <c r="D150" s="7">
        <v>812</v>
      </c>
      <c r="E150" s="7">
        <v>-6.4000000000000003E-3</v>
      </c>
      <c r="F150" s="7">
        <v>393</v>
      </c>
      <c r="G150" s="8">
        <f t="shared" si="10"/>
        <v>0.96146033781070583</v>
      </c>
      <c r="H150" s="9">
        <f t="shared" si="11"/>
        <v>1.0503132138112831E-3</v>
      </c>
      <c r="I150" s="10">
        <f>SUM($H$3:H150)</f>
        <v>0.15348708612092843</v>
      </c>
      <c r="J150" s="23">
        <v>-6.4000000000000003E-3</v>
      </c>
      <c r="Q150" s="7">
        <f t="shared" si="9"/>
        <v>9.2218995631862847E-5</v>
      </c>
      <c r="R150" s="7">
        <f t="shared" si="8"/>
        <v>1.0051169296812548E-3</v>
      </c>
    </row>
    <row r="151" spans="1:18" x14ac:dyDescent="0.25">
      <c r="A151" s="22">
        <v>44781</v>
      </c>
      <c r="B151" s="12">
        <v>190.79</v>
      </c>
      <c r="C151" s="13">
        <v>8.0999999999999996E-3</v>
      </c>
      <c r="D151" s="7">
        <v>811</v>
      </c>
      <c r="E151" s="7">
        <v>-6.4000000000000003E-3</v>
      </c>
      <c r="F151" s="7">
        <v>133</v>
      </c>
      <c r="G151" s="8">
        <f t="shared" si="10"/>
        <v>0.98678739793654069</v>
      </c>
      <c r="H151" s="9">
        <f t="shared" si="11"/>
        <v>1.0779808615248953E-3</v>
      </c>
      <c r="I151" s="10">
        <f>SUM($H$3:H151)</f>
        <v>0.15456506698245331</v>
      </c>
      <c r="J151" s="23">
        <v>-6.4000000000000003E-3</v>
      </c>
      <c r="Q151" s="7">
        <f t="shared" si="9"/>
        <v>9.2228218453708206E-5</v>
      </c>
      <c r="R151" s="7">
        <f t="shared" si="8"/>
        <v>1.0052174514263972E-3</v>
      </c>
    </row>
    <row r="152" spans="1:18" x14ac:dyDescent="0.25">
      <c r="A152" s="22">
        <v>44783</v>
      </c>
      <c r="B152" s="12">
        <v>191.04</v>
      </c>
      <c r="C152" s="13">
        <v>1.2999999999999999E-3</v>
      </c>
      <c r="D152" s="7">
        <v>810</v>
      </c>
      <c r="E152" s="7">
        <v>-6.3E-3</v>
      </c>
      <c r="F152" s="7">
        <v>514</v>
      </c>
      <c r="G152" s="8">
        <f t="shared" si="10"/>
        <v>0.94989619367726863</v>
      </c>
      <c r="H152" s="9">
        <f t="shared" si="11"/>
        <v>1.0376803750844934E-3</v>
      </c>
      <c r="I152" s="10">
        <f>SUM($H$3:H152)</f>
        <v>0.15560274735753782</v>
      </c>
      <c r="J152" s="23">
        <v>-6.3E-3</v>
      </c>
      <c r="Q152" s="7">
        <f t="shared" si="9"/>
        <v>9.2237442197928005E-5</v>
      </c>
      <c r="R152" s="7">
        <f t="shared" si="8"/>
        <v>1.0053179832247199E-3</v>
      </c>
    </row>
    <row r="153" spans="1:18" x14ac:dyDescent="0.25">
      <c r="A153" s="22">
        <v>44784</v>
      </c>
      <c r="B153" s="12">
        <v>192.34</v>
      </c>
      <c r="C153" s="13">
        <v>6.7999999999999996E-3</v>
      </c>
      <c r="D153" s="7">
        <v>809</v>
      </c>
      <c r="E153" s="7">
        <v>-6.1999999999999998E-3</v>
      </c>
      <c r="F153" s="7">
        <v>730</v>
      </c>
      <c r="G153" s="8">
        <f t="shared" si="10"/>
        <v>0.92959743676275375</v>
      </c>
      <c r="H153" s="9">
        <f t="shared" si="11"/>
        <v>1.0155057187072945E-3</v>
      </c>
      <c r="I153" s="10">
        <f>SUM($H$3:H153)</f>
        <v>0.15661825307624511</v>
      </c>
      <c r="J153" s="23">
        <v>-6.1999999999999998E-3</v>
      </c>
      <c r="Q153" s="7">
        <f t="shared" si="9"/>
        <v>9.2246666864614471E-5</v>
      </c>
      <c r="R153" s="7">
        <f t="shared" si="8"/>
        <v>1.0054185250772275E-3</v>
      </c>
    </row>
    <row r="154" spans="1:18" x14ac:dyDescent="0.25">
      <c r="A154" s="22">
        <v>44785</v>
      </c>
      <c r="B154" s="12">
        <v>192.86</v>
      </c>
      <c r="C154" s="13">
        <v>2.7000000000000001E-3</v>
      </c>
      <c r="D154" s="7">
        <v>808</v>
      </c>
      <c r="E154" s="7">
        <v>-6.1999999999999998E-3</v>
      </c>
      <c r="F154" s="7">
        <v>516</v>
      </c>
      <c r="G154" s="8">
        <f t="shared" si="10"/>
        <v>0.94970622393749515</v>
      </c>
      <c r="H154" s="9">
        <f t="shared" si="11"/>
        <v>1.0374728493862805E-3</v>
      </c>
      <c r="I154" s="10">
        <f>SUM($H$3:H154)</f>
        <v>0.15765572592563137</v>
      </c>
      <c r="J154" s="23">
        <v>-6.1999999999999998E-3</v>
      </c>
      <c r="Q154" s="7">
        <f t="shared" si="9"/>
        <v>9.2255892453859854E-5</v>
      </c>
      <c r="R154" s="7">
        <f t="shared" si="8"/>
        <v>1.0055190769849261E-3</v>
      </c>
    </row>
    <row r="155" spans="1:18" x14ac:dyDescent="0.25">
      <c r="A155" s="22">
        <v>44789</v>
      </c>
      <c r="B155" s="12">
        <v>194.09</v>
      </c>
      <c r="C155" s="13">
        <v>6.4000000000000003E-3</v>
      </c>
      <c r="D155" s="7">
        <v>807</v>
      </c>
      <c r="E155" s="7">
        <v>-6.1000000000000004E-3</v>
      </c>
      <c r="F155" s="7">
        <v>595</v>
      </c>
      <c r="G155" s="8">
        <f t="shared" si="10"/>
        <v>0.94223273025781151</v>
      </c>
      <c r="H155" s="9">
        <f t="shared" si="11"/>
        <v>1.0293086965279519E-3</v>
      </c>
      <c r="I155" s="10">
        <f>SUM($H$3:H155)</f>
        <v>0.15868503462215933</v>
      </c>
      <c r="J155" s="23">
        <v>-6.1000000000000004E-3</v>
      </c>
      <c r="Q155" s="7">
        <f t="shared" si="9"/>
        <v>9.226511896575642E-5</v>
      </c>
      <c r="R155" s="7">
        <f t="shared" si="8"/>
        <v>1.0056196389488208E-3</v>
      </c>
    </row>
    <row r="156" spans="1:18" x14ac:dyDescent="0.25">
      <c r="A156" s="22">
        <v>44790</v>
      </c>
      <c r="B156" s="12">
        <v>195.55</v>
      </c>
      <c r="C156" s="13">
        <v>7.4999999999999997E-3</v>
      </c>
      <c r="D156" s="7">
        <v>806</v>
      </c>
      <c r="E156" s="7">
        <v>-6.1000000000000004E-3</v>
      </c>
      <c r="F156" s="7">
        <v>464</v>
      </c>
      <c r="G156" s="8">
        <f t="shared" si="10"/>
        <v>0.95465780684267432</v>
      </c>
      <c r="H156" s="9">
        <f t="shared" si="11"/>
        <v>1.0428820303478518E-3</v>
      </c>
      <c r="I156" s="10">
        <f>SUM($H$3:H156)</f>
        <v>0.15972791665250718</v>
      </c>
      <c r="J156" s="23">
        <v>-6.1000000000000004E-3</v>
      </c>
      <c r="Q156" s="7">
        <f t="shared" si="9"/>
        <v>9.2274346400396463E-5</v>
      </c>
      <c r="R156" s="7">
        <f t="shared" si="8"/>
        <v>1.0057202109699178E-3</v>
      </c>
    </row>
    <row r="157" spans="1:18" x14ac:dyDescent="0.25">
      <c r="A157" s="22">
        <v>44791</v>
      </c>
      <c r="B157" s="12">
        <v>195.71</v>
      </c>
      <c r="C157" s="13">
        <v>8.0000000000000004E-4</v>
      </c>
      <c r="D157" s="7">
        <v>805</v>
      </c>
      <c r="E157" s="7">
        <v>-6.1000000000000004E-3</v>
      </c>
      <c r="F157" s="7">
        <v>437</v>
      </c>
      <c r="G157" s="8">
        <f t="shared" si="10"/>
        <v>0.95723899501859633</v>
      </c>
      <c r="H157" s="9">
        <f t="shared" si="11"/>
        <v>1.045701757737416E-3</v>
      </c>
      <c r="I157" s="10">
        <f>SUM($H$3:H157)</f>
        <v>0.1607736184102446</v>
      </c>
      <c r="J157" s="23">
        <v>-6.1000000000000004E-3</v>
      </c>
      <c r="Q157" s="7">
        <f t="shared" si="9"/>
        <v>9.2283574757872247E-5</v>
      </c>
      <c r="R157" s="7">
        <f t="shared" si="8"/>
        <v>1.0058207930492228E-3</v>
      </c>
    </row>
    <row r="158" spans="1:18" x14ac:dyDescent="0.25">
      <c r="A158" s="22">
        <v>44792</v>
      </c>
      <c r="B158" s="12">
        <v>193.61</v>
      </c>
      <c r="C158" s="13">
        <v>-1.0699999999999999E-2</v>
      </c>
      <c r="D158" s="7">
        <v>804</v>
      </c>
      <c r="E158" s="7">
        <v>-6.1000000000000004E-3</v>
      </c>
      <c r="F158" s="7">
        <v>430</v>
      </c>
      <c r="G158" s="8">
        <f t="shared" si="10"/>
        <v>0.95790933042245596</v>
      </c>
      <c r="H158" s="9">
        <f t="shared" si="11"/>
        <v>1.0464340418521851E-3</v>
      </c>
      <c r="I158" s="10">
        <f>SUM($H$3:H158)</f>
        <v>0.16182005245209677</v>
      </c>
      <c r="J158" s="23">
        <v>-6.1000000000000004E-3</v>
      </c>
      <c r="Q158" s="7">
        <f t="shared" si="9"/>
        <v>9.2292804038276066E-5</v>
      </c>
      <c r="R158" s="7">
        <f t="shared" si="8"/>
        <v>1.0059213851877414E-3</v>
      </c>
    </row>
    <row r="159" spans="1:18" x14ac:dyDescent="0.25">
      <c r="A159" s="22">
        <v>44795</v>
      </c>
      <c r="B159" s="12">
        <v>190.95</v>
      </c>
      <c r="C159" s="13">
        <v>-1.37E-2</v>
      </c>
      <c r="D159" s="7">
        <v>803</v>
      </c>
      <c r="E159" s="7">
        <v>-6.0000000000000001E-3</v>
      </c>
      <c r="F159" s="7">
        <v>263</v>
      </c>
      <c r="G159" s="8">
        <f t="shared" si="10"/>
        <v>0.97404155197168762</v>
      </c>
      <c r="H159" s="9">
        <f t="shared" si="11"/>
        <v>1.0640571145832673E-3</v>
      </c>
      <c r="I159" s="10">
        <f>SUM($H$3:H159)</f>
        <v>0.16288410956668004</v>
      </c>
      <c r="J159" s="23">
        <v>-6.0000000000000001E-3</v>
      </c>
      <c r="Q159" s="7">
        <f t="shared" si="9"/>
        <v>9.230203424170024E-5</v>
      </c>
      <c r="R159" s="7">
        <f t="shared" si="8"/>
        <v>1.00602198738648E-3</v>
      </c>
    </row>
    <row r="160" spans="1:18" x14ac:dyDescent="0.25">
      <c r="A160" s="22">
        <v>44796</v>
      </c>
      <c r="B160" s="12">
        <v>192.19</v>
      </c>
      <c r="C160" s="13">
        <v>6.4999999999999997E-3</v>
      </c>
      <c r="D160" s="7">
        <v>802</v>
      </c>
      <c r="E160" s="7">
        <v>-6.0000000000000001E-3</v>
      </c>
      <c r="F160" s="7">
        <v>9</v>
      </c>
      <c r="G160" s="8">
        <f t="shared" si="10"/>
        <v>0.99910035991601276</v>
      </c>
      <c r="H160" s="9">
        <f t="shared" si="11"/>
        <v>1.0914317197242502E-3</v>
      </c>
      <c r="I160" s="10">
        <f>SUM($H$3:H160)</f>
        <v>0.16397554128640429</v>
      </c>
      <c r="J160" s="23">
        <v>-6.0000000000000001E-3</v>
      </c>
      <c r="Q160" s="7">
        <f t="shared" si="9"/>
        <v>9.231126536823706E-5</v>
      </c>
      <c r="R160" s="7">
        <f t="shared" si="8"/>
        <v>1.0061225996464446E-3</v>
      </c>
    </row>
    <row r="161" spans="1:18" x14ac:dyDescent="0.25">
      <c r="A161" s="22">
        <v>44797</v>
      </c>
      <c r="B161" s="12">
        <v>192.63</v>
      </c>
      <c r="C161" s="13">
        <v>2.3E-3</v>
      </c>
      <c r="D161" s="7">
        <v>801</v>
      </c>
      <c r="E161" s="7">
        <v>-5.8999999999999999E-3</v>
      </c>
      <c r="F161" s="7">
        <v>829</v>
      </c>
      <c r="G161" s="8">
        <f t="shared" si="10"/>
        <v>0.92043937145330545</v>
      </c>
      <c r="H161" s="9">
        <f t="shared" si="11"/>
        <v>1.0055013153750022E-3</v>
      </c>
      <c r="I161" s="10">
        <f>SUM($H$3:H161)</f>
        <v>0.16498104260177929</v>
      </c>
      <c r="J161" s="23">
        <v>-5.8999999999999999E-3</v>
      </c>
      <c r="Q161" s="7">
        <f t="shared" si="9"/>
        <v>9.232049741797886E-5</v>
      </c>
      <c r="R161" s="7">
        <f t="shared" si="8"/>
        <v>1.0062232219686415E-3</v>
      </c>
    </row>
    <row r="162" spans="1:18" x14ac:dyDescent="0.25">
      <c r="A162" s="22">
        <v>44798</v>
      </c>
      <c r="B162" s="12">
        <v>191.78</v>
      </c>
      <c r="C162" s="13">
        <v>-4.4000000000000003E-3</v>
      </c>
      <c r="D162" s="7">
        <v>800</v>
      </c>
      <c r="E162" s="7">
        <v>-5.8999999999999999E-3</v>
      </c>
      <c r="F162" s="7">
        <v>294</v>
      </c>
      <c r="G162" s="8">
        <f t="shared" si="10"/>
        <v>0.97102654807853928</v>
      </c>
      <c r="H162" s="9">
        <f t="shared" si="11"/>
        <v>1.0607634806140526E-3</v>
      </c>
      <c r="I162" s="10">
        <f>SUM($H$3:H162)</f>
        <v>0.16604180608239333</v>
      </c>
      <c r="J162" s="23">
        <v>-5.8999999999999999E-3</v>
      </c>
      <c r="Q162" s="7">
        <f t="shared" si="9"/>
        <v>9.2329730391017961E-5</v>
      </c>
      <c r="R162" s="7">
        <f t="shared" si="8"/>
        <v>1.006323854354077E-3</v>
      </c>
    </row>
    <row r="163" spans="1:18" x14ac:dyDescent="0.25">
      <c r="A163" s="22">
        <v>44799</v>
      </c>
      <c r="B163" s="12">
        <v>191.92</v>
      </c>
      <c r="C163" s="13">
        <v>6.9999999999999999E-4</v>
      </c>
      <c r="D163" s="7">
        <v>799</v>
      </c>
      <c r="E163" s="7">
        <v>-5.8999999999999999E-3</v>
      </c>
      <c r="F163" s="7">
        <v>123</v>
      </c>
      <c r="G163" s="8">
        <f t="shared" si="10"/>
        <v>0.98777472828470958</v>
      </c>
      <c r="H163" s="9">
        <f t="shared" si="11"/>
        <v>1.0790594355131267E-3</v>
      </c>
      <c r="I163" s="10">
        <f>SUM($H$3:H163)</f>
        <v>0.16712086551790645</v>
      </c>
      <c r="J163" s="23">
        <v>-5.8999999999999999E-3</v>
      </c>
      <c r="Q163" s="7">
        <f t="shared" si="9"/>
        <v>9.2338964287446695E-5</v>
      </c>
      <c r="R163" s="7">
        <f t="shared" si="8"/>
        <v>1.0064244968037573E-3</v>
      </c>
    </row>
    <row r="164" spans="1:18" x14ac:dyDescent="0.25">
      <c r="A164" s="22">
        <v>44802</v>
      </c>
      <c r="B164" s="12">
        <v>189.44</v>
      </c>
      <c r="C164" s="13">
        <v>-1.29E-2</v>
      </c>
      <c r="D164" s="7">
        <v>798</v>
      </c>
      <c r="E164" s="7">
        <v>-5.8999999999999999E-3</v>
      </c>
      <c r="F164" s="7">
        <v>120</v>
      </c>
      <c r="G164" s="8">
        <f t="shared" si="10"/>
        <v>0.98807111997955788</v>
      </c>
      <c r="H164" s="9">
        <f t="shared" si="11"/>
        <v>1.0793832180981389E-3</v>
      </c>
      <c r="I164" s="10">
        <f>SUM($H$3:H164)</f>
        <v>0.16820024873600459</v>
      </c>
      <c r="J164" s="23">
        <v>-5.8999999999999999E-3</v>
      </c>
      <c r="Q164" s="7">
        <f t="shared" si="9"/>
        <v>9.2348199107357423E-5</v>
      </c>
      <c r="R164" s="7">
        <f t="shared" si="8"/>
        <v>1.006525149318689E-3</v>
      </c>
    </row>
    <row r="165" spans="1:18" x14ac:dyDescent="0.25">
      <c r="A165" s="22">
        <v>44803</v>
      </c>
      <c r="B165" s="12">
        <v>193.92</v>
      </c>
      <c r="C165" s="13">
        <v>2.3599999999999999E-2</v>
      </c>
      <c r="D165" s="7">
        <v>797</v>
      </c>
      <c r="E165" s="7">
        <v>-5.7999999999999996E-3</v>
      </c>
      <c r="F165" s="7">
        <v>586</v>
      </c>
      <c r="G165" s="8">
        <f t="shared" si="10"/>
        <v>0.94308116387528695</v>
      </c>
      <c r="H165" s="9">
        <f t="shared" si="11"/>
        <v>1.0302355377136271E-3</v>
      </c>
      <c r="I165" s="10">
        <f>SUM($H$3:H165)</f>
        <v>0.1692304842737182</v>
      </c>
      <c r="J165" s="23">
        <v>-5.7999999999999996E-3</v>
      </c>
      <c r="Q165" s="7">
        <f t="shared" si="9"/>
        <v>9.2357434850842506E-5</v>
      </c>
      <c r="R165" s="7">
        <f t="shared" si="8"/>
        <v>1.0066258118998791E-3</v>
      </c>
    </row>
    <row r="166" spans="1:18" x14ac:dyDescent="0.25">
      <c r="A166" s="22">
        <v>44805</v>
      </c>
      <c r="B166" s="12">
        <v>191.82</v>
      </c>
      <c r="C166" s="13">
        <v>-1.0800000000000001E-2</v>
      </c>
      <c r="D166" s="7">
        <v>796</v>
      </c>
      <c r="E166" s="7">
        <v>-5.7999999999999996E-3</v>
      </c>
      <c r="F166" s="7">
        <v>35</v>
      </c>
      <c r="G166" s="8">
        <f t="shared" si="10"/>
        <v>0.99650594346023369</v>
      </c>
      <c r="H166" s="9">
        <f t="shared" si="11"/>
        <v>1.0885975415699655E-3</v>
      </c>
      <c r="I166" s="10">
        <f>SUM($H$3:H166)</f>
        <v>0.17031908181528815</v>
      </c>
      <c r="J166" s="23">
        <v>-5.7999999999999996E-3</v>
      </c>
      <c r="Q166" s="7">
        <f t="shared" si="9"/>
        <v>9.2366671517994317E-5</v>
      </c>
      <c r="R166" s="7">
        <f t="shared" si="8"/>
        <v>1.0067264845483341E-3</v>
      </c>
    </row>
    <row r="167" spans="1:18" x14ac:dyDescent="0.25">
      <c r="A167" s="22">
        <v>44806</v>
      </c>
      <c r="B167" s="12">
        <v>191.61</v>
      </c>
      <c r="C167" s="13">
        <v>-1.1000000000000001E-3</v>
      </c>
      <c r="D167" s="7">
        <v>795</v>
      </c>
      <c r="E167" s="7">
        <v>-5.7000000000000002E-3</v>
      </c>
      <c r="F167" s="7">
        <v>893</v>
      </c>
      <c r="G167" s="8">
        <f t="shared" si="10"/>
        <v>0.91456707724296071</v>
      </c>
      <c r="H167" s="9">
        <f t="shared" si="11"/>
        <v>9.9908633603372553E-4</v>
      </c>
      <c r="I167" s="10">
        <f>SUM($H$3:H167)</f>
        <v>0.17131816815132189</v>
      </c>
      <c r="J167" s="23">
        <v>-5.7000000000000002E-3</v>
      </c>
      <c r="Q167" s="7">
        <f t="shared" si="9"/>
        <v>9.237590910890519E-5</v>
      </c>
      <c r="R167" s="7">
        <f t="shared" si="8"/>
        <v>1.0068271672650604E-3</v>
      </c>
    </row>
    <row r="168" spans="1:18" x14ac:dyDescent="0.25">
      <c r="A168" s="22">
        <v>44809</v>
      </c>
      <c r="B168" s="12">
        <v>192.98</v>
      </c>
      <c r="C168" s="13">
        <v>7.1000000000000004E-3</v>
      </c>
      <c r="D168" s="7">
        <v>794</v>
      </c>
      <c r="E168" s="7">
        <v>-5.5999999999999999E-3</v>
      </c>
      <c r="F168" s="7">
        <v>876</v>
      </c>
      <c r="G168" s="8">
        <f t="shared" si="10"/>
        <v>0.91612324144856039</v>
      </c>
      <c r="H168" s="9">
        <f t="shared" si="11"/>
        <v>1.0007863123756755E-3</v>
      </c>
      <c r="I168" s="10">
        <f>SUM($H$3:H168)</f>
        <v>0.17231895446369758</v>
      </c>
      <c r="J168" s="23">
        <v>-5.5999999999999999E-3</v>
      </c>
      <c r="Q168" s="7">
        <f t="shared" si="9"/>
        <v>9.2385147623667553E-5</v>
      </c>
      <c r="R168" s="7">
        <f t="shared" si="8"/>
        <v>1.0069278600510654E-3</v>
      </c>
    </row>
    <row r="169" spans="1:18" x14ac:dyDescent="0.25">
      <c r="A169" s="22">
        <v>44810</v>
      </c>
      <c r="B169" s="12">
        <v>192.48</v>
      </c>
      <c r="C169" s="13">
        <v>-2.5999999999999999E-3</v>
      </c>
      <c r="D169" s="7">
        <v>793</v>
      </c>
      <c r="E169" s="7">
        <v>-5.5999999999999999E-3</v>
      </c>
      <c r="F169" s="7">
        <v>728</v>
      </c>
      <c r="G169" s="8">
        <f t="shared" si="10"/>
        <v>0.92978338414174821</v>
      </c>
      <c r="H169" s="9">
        <f t="shared" si="11"/>
        <v>1.0157088503202701E-3</v>
      </c>
      <c r="I169" s="10">
        <f>SUM($H$3:H169)</f>
        <v>0.17333466331401784</v>
      </c>
      <c r="J169" s="23">
        <v>-5.5999999999999999E-3</v>
      </c>
      <c r="Q169" s="7">
        <f t="shared" si="9"/>
        <v>9.2394387062373794E-5</v>
      </c>
      <c r="R169" s="7">
        <f t="shared" si="8"/>
        <v>1.007028562907356E-3</v>
      </c>
    </row>
    <row r="170" spans="1:18" x14ac:dyDescent="0.25">
      <c r="A170" s="22">
        <v>44811</v>
      </c>
      <c r="B170" s="12">
        <v>192.37</v>
      </c>
      <c r="C170" s="13">
        <v>-5.9999999999999995E-4</v>
      </c>
      <c r="D170" s="7">
        <v>792</v>
      </c>
      <c r="E170" s="7">
        <v>-5.5999999999999999E-3</v>
      </c>
      <c r="F170" s="7">
        <v>259</v>
      </c>
      <c r="G170" s="8">
        <f t="shared" si="10"/>
        <v>0.97443126601611563</v>
      </c>
      <c r="H170" s="9">
        <f t="shared" si="11"/>
        <v>1.064482843856097E-3</v>
      </c>
      <c r="I170" s="10">
        <f>SUM($H$3:H170)</f>
        <v>0.17439914615787394</v>
      </c>
      <c r="J170" s="23">
        <v>-5.5999999999999999E-3</v>
      </c>
      <c r="Q170" s="7">
        <f t="shared" si="9"/>
        <v>9.2403627425116313E-5</v>
      </c>
      <c r="R170" s="7">
        <f t="shared" si="8"/>
        <v>1.0071292758349398E-3</v>
      </c>
    </row>
    <row r="171" spans="1:18" x14ac:dyDescent="0.25">
      <c r="A171" s="22">
        <v>44812</v>
      </c>
      <c r="B171" s="12">
        <v>194</v>
      </c>
      <c r="C171" s="13">
        <v>8.5000000000000006E-3</v>
      </c>
      <c r="D171" s="7">
        <v>791</v>
      </c>
      <c r="E171" s="7">
        <v>-5.5999999999999999E-3</v>
      </c>
      <c r="F171" s="7">
        <v>227</v>
      </c>
      <c r="G171" s="8">
        <f t="shared" si="10"/>
        <v>0.97755459690055346</v>
      </c>
      <c r="H171" s="9">
        <f t="shared" si="11"/>
        <v>1.0678948158012941E-3</v>
      </c>
      <c r="I171" s="10">
        <f>SUM($H$3:H171)</f>
        <v>0.17546704097367524</v>
      </c>
      <c r="J171" s="23">
        <v>-5.5999999999999999E-3</v>
      </c>
      <c r="Q171" s="7">
        <f t="shared" si="9"/>
        <v>9.2412868711987513E-5</v>
      </c>
      <c r="R171" s="7">
        <f t="shared" si="8"/>
        <v>1.0072299988348231E-3</v>
      </c>
    </row>
    <row r="172" spans="1:18" x14ac:dyDescent="0.25">
      <c r="A172" s="22">
        <v>44813</v>
      </c>
      <c r="B172" s="12">
        <v>194.6</v>
      </c>
      <c r="C172" s="13">
        <v>3.0999999999999999E-3</v>
      </c>
      <c r="D172" s="7">
        <v>790</v>
      </c>
      <c r="E172" s="7">
        <v>-5.4999999999999997E-3</v>
      </c>
      <c r="F172" s="7">
        <v>925</v>
      </c>
      <c r="G172" s="8">
        <f t="shared" si="10"/>
        <v>0.91164499431552148</v>
      </c>
      <c r="H172" s="9">
        <f t="shared" si="11"/>
        <v>9.9589421027476786E-4</v>
      </c>
      <c r="I172" s="10">
        <f>SUM($H$3:H172)</f>
        <v>0.17646293518395001</v>
      </c>
      <c r="J172" s="23">
        <v>-5.4999999999999997E-3</v>
      </c>
      <c r="Q172" s="7">
        <f t="shared" si="9"/>
        <v>9.2422110923079821E-5</v>
      </c>
      <c r="R172" s="7">
        <f t="shared" si="8"/>
        <v>1.0073307319080141E-3</v>
      </c>
    </row>
    <row r="173" spans="1:18" x14ac:dyDescent="0.25">
      <c r="A173" s="22">
        <v>44816</v>
      </c>
      <c r="B173" s="12">
        <v>195.64</v>
      </c>
      <c r="C173" s="13">
        <v>5.3E-3</v>
      </c>
      <c r="D173" s="7">
        <v>789</v>
      </c>
      <c r="E173" s="7">
        <v>-5.4999999999999997E-3</v>
      </c>
      <c r="F173" s="7">
        <v>864</v>
      </c>
      <c r="G173" s="8">
        <f t="shared" si="10"/>
        <v>0.91722330424802057</v>
      </c>
      <c r="H173" s="9">
        <f t="shared" si="11"/>
        <v>1.0019880369282724E-3</v>
      </c>
      <c r="I173" s="10">
        <f>SUM($H$3:H173)</f>
        <v>0.17746492322087828</v>
      </c>
      <c r="J173" s="23">
        <v>-5.4999999999999997E-3</v>
      </c>
      <c r="Q173" s="7">
        <f t="shared" si="9"/>
        <v>9.2431354058485665E-5</v>
      </c>
      <c r="R173" s="7">
        <f t="shared" si="8"/>
        <v>1.0074314750555195E-3</v>
      </c>
    </row>
    <row r="174" spans="1:18" x14ac:dyDescent="0.25">
      <c r="A174" s="22">
        <v>44817</v>
      </c>
      <c r="B174" s="12">
        <v>196.95</v>
      </c>
      <c r="C174" s="13">
        <v>6.7000000000000002E-3</v>
      </c>
      <c r="D174" s="7">
        <v>788</v>
      </c>
      <c r="E174" s="7">
        <v>-5.4999999999999997E-3</v>
      </c>
      <c r="F174" s="7">
        <v>394</v>
      </c>
      <c r="G174" s="8">
        <f t="shared" si="10"/>
        <v>0.96136419177692478</v>
      </c>
      <c r="H174" s="9">
        <f t="shared" si="11"/>
        <v>1.0502081824899021E-3</v>
      </c>
      <c r="I174" s="10">
        <f>SUM($H$3:H174)</f>
        <v>0.17851513140336819</v>
      </c>
      <c r="J174" s="23">
        <v>-5.4999999999999997E-3</v>
      </c>
      <c r="Q174" s="7">
        <f t="shared" si="9"/>
        <v>9.2440598118297474E-5</v>
      </c>
      <c r="R174" s="7">
        <f t="shared" si="8"/>
        <v>1.0075322282783472E-3</v>
      </c>
    </row>
    <row r="175" spans="1:18" x14ac:dyDescent="0.25">
      <c r="A175" s="22">
        <v>44818</v>
      </c>
      <c r="B175" s="12">
        <v>196.27</v>
      </c>
      <c r="C175" s="13">
        <v>-3.5000000000000001E-3</v>
      </c>
      <c r="D175" s="7">
        <v>787</v>
      </c>
      <c r="E175" s="7">
        <v>-5.4999999999999997E-3</v>
      </c>
      <c r="F175" s="7">
        <v>216</v>
      </c>
      <c r="G175" s="8">
        <f t="shared" si="10"/>
        <v>0.97863055242285624</v>
      </c>
      <c r="H175" s="9">
        <f t="shared" si="11"/>
        <v>1.0690702052147784E-3</v>
      </c>
      <c r="I175" s="10">
        <f>SUM($H$3:H175)</f>
        <v>0.17958420160858296</v>
      </c>
      <c r="J175" s="23">
        <v>-5.4999999999999997E-3</v>
      </c>
      <c r="Q175" s="7">
        <f t="shared" si="9"/>
        <v>9.2449843102607729E-5</v>
      </c>
      <c r="R175" s="7">
        <f t="shared" si="8"/>
        <v>1.0076329915775048E-3</v>
      </c>
    </row>
    <row r="176" spans="1:18" x14ac:dyDescent="0.25">
      <c r="A176" s="22">
        <v>44819</v>
      </c>
      <c r="B176" s="12">
        <v>195.69</v>
      </c>
      <c r="C176" s="13">
        <v>-3.0000000000000001E-3</v>
      </c>
      <c r="D176" s="7">
        <v>786</v>
      </c>
      <c r="E176" s="7">
        <v>-5.4999999999999997E-3</v>
      </c>
      <c r="F176" s="7">
        <v>76</v>
      </c>
      <c r="G176" s="8">
        <f t="shared" si="10"/>
        <v>0.99242842982811486</v>
      </c>
      <c r="H176" s="9">
        <f t="shared" si="11"/>
        <v>1.0841432065559367E-3</v>
      </c>
      <c r="I176" s="10">
        <f>SUM($H$3:H176)</f>
        <v>0.18066834481513891</v>
      </c>
      <c r="J176" s="23">
        <v>-5.4999999999999997E-3</v>
      </c>
      <c r="Q176" s="7">
        <f t="shared" si="9"/>
        <v>9.2459089011508888E-5</v>
      </c>
      <c r="R176" s="7">
        <f t="shared" si="8"/>
        <v>1.0077337649540003E-3</v>
      </c>
    </row>
    <row r="177" spans="1:18" x14ac:dyDescent="0.25">
      <c r="A177" s="22">
        <v>44820</v>
      </c>
      <c r="B177" s="12">
        <v>191.9</v>
      </c>
      <c r="C177" s="13">
        <v>-1.9400000000000001E-2</v>
      </c>
      <c r="D177" s="7">
        <v>785</v>
      </c>
      <c r="E177" s="7">
        <v>-5.4000000000000003E-3</v>
      </c>
      <c r="F177" s="7">
        <v>562</v>
      </c>
      <c r="G177" s="8">
        <f t="shared" si="10"/>
        <v>0.94534739036574578</v>
      </c>
      <c r="H177" s="9">
        <f t="shared" si="11"/>
        <v>1.0327111963911737E-3</v>
      </c>
      <c r="I177" s="10">
        <f>SUM($H$3:H177)</f>
        <v>0.18170105601153008</v>
      </c>
      <c r="J177" s="23">
        <v>-5.4000000000000003E-3</v>
      </c>
      <c r="Q177" s="7">
        <f t="shared" si="9"/>
        <v>9.246833584509339E-5</v>
      </c>
      <c r="R177" s="7">
        <f t="shared" si="8"/>
        <v>1.0078345484088411E-3</v>
      </c>
    </row>
    <row r="178" spans="1:18" x14ac:dyDescent="0.25">
      <c r="A178" s="22">
        <v>44823</v>
      </c>
      <c r="B178" s="12">
        <v>192.75</v>
      </c>
      <c r="C178" s="13">
        <v>4.4000000000000003E-3</v>
      </c>
      <c r="D178" s="7">
        <v>784</v>
      </c>
      <c r="E178" s="7">
        <v>-5.4000000000000003E-3</v>
      </c>
      <c r="F178" s="7">
        <v>527</v>
      </c>
      <c r="G178" s="8">
        <f t="shared" si="10"/>
        <v>0.94866206927291707</v>
      </c>
      <c r="H178" s="9">
        <f t="shared" si="11"/>
        <v>1.0363321996908741E-3</v>
      </c>
      <c r="I178" s="10">
        <f>SUM($H$3:H178)</f>
        <v>0.18273738821122096</v>
      </c>
      <c r="J178" s="23">
        <v>-5.4000000000000003E-3</v>
      </c>
      <c r="Q178" s="7">
        <f t="shared" si="9"/>
        <v>9.2477583603453747E-5</v>
      </c>
      <c r="R178" s="7">
        <f t="shared" si="8"/>
        <v>1.0079353419430355E-3</v>
      </c>
    </row>
    <row r="179" spans="1:18" x14ac:dyDescent="0.25">
      <c r="A179" s="22">
        <v>44824</v>
      </c>
      <c r="B179" s="12">
        <v>194.44</v>
      </c>
      <c r="C179" s="13">
        <v>8.8000000000000005E-3</v>
      </c>
      <c r="D179" s="7">
        <v>783</v>
      </c>
      <c r="E179" s="7">
        <v>-5.4000000000000003E-3</v>
      </c>
      <c r="F179" s="7">
        <v>526</v>
      </c>
      <c r="G179" s="8">
        <f t="shared" si="10"/>
        <v>0.94875694496741392</v>
      </c>
      <c r="H179" s="9">
        <f t="shared" si="11"/>
        <v>1.0364358432752017E-3</v>
      </c>
      <c r="I179" s="10">
        <f>SUM($H$3:H179)</f>
        <v>0.18377382405449616</v>
      </c>
      <c r="J179" s="23">
        <v>-5.4000000000000003E-3</v>
      </c>
      <c r="Q179" s="7">
        <f t="shared" si="9"/>
        <v>9.2486832286682398E-5</v>
      </c>
      <c r="R179" s="7">
        <f t="shared" si="8"/>
        <v>1.0080361455575911E-3</v>
      </c>
    </row>
    <row r="180" spans="1:18" x14ac:dyDescent="0.25">
      <c r="A180" s="22">
        <v>44825</v>
      </c>
      <c r="B180" s="12">
        <v>193.5</v>
      </c>
      <c r="C180" s="13">
        <v>-4.7999999999999996E-3</v>
      </c>
      <c r="D180" s="7">
        <v>782</v>
      </c>
      <c r="E180" s="7">
        <v>-5.3E-3</v>
      </c>
      <c r="F180" s="7">
        <v>906</v>
      </c>
      <c r="G180" s="8">
        <f t="shared" si="10"/>
        <v>0.91337885314336464</v>
      </c>
      <c r="H180" s="9">
        <f t="shared" si="11"/>
        <v>9.9778830279855695E-4</v>
      </c>
      <c r="I180" s="10">
        <f>SUM($H$3:H180)</f>
        <v>0.18477161235729472</v>
      </c>
      <c r="J180" s="23">
        <v>-5.3E-3</v>
      </c>
      <c r="Q180" s="7">
        <f t="shared" si="9"/>
        <v>9.2496081894871882E-5</v>
      </c>
      <c r="R180" s="7">
        <f t="shared" si="8"/>
        <v>1.0081369592535164E-3</v>
      </c>
    </row>
    <row r="181" spans="1:18" x14ac:dyDescent="0.25">
      <c r="A181" s="22">
        <v>44826</v>
      </c>
      <c r="B181" s="12">
        <v>192.92</v>
      </c>
      <c r="C181" s="13">
        <v>-3.0000000000000001E-3</v>
      </c>
      <c r="D181" s="7">
        <v>781</v>
      </c>
      <c r="E181" s="7">
        <v>-5.3E-3</v>
      </c>
      <c r="F181" s="7">
        <v>881</v>
      </c>
      <c r="G181" s="8">
        <f t="shared" si="10"/>
        <v>0.91566527143099963</v>
      </c>
      <c r="H181" s="9">
        <f t="shared" si="11"/>
        <v>1.0002860192881117E-3</v>
      </c>
      <c r="I181" s="10">
        <f>SUM($H$3:H181)</f>
        <v>0.18577189837658284</v>
      </c>
      <c r="J181" s="23">
        <v>-5.3E-3</v>
      </c>
      <c r="Q181" s="7">
        <f t="shared" si="9"/>
        <v>9.2505332428114695E-5</v>
      </c>
      <c r="R181" s="7">
        <f t="shared" si="8"/>
        <v>1.0082377830318197E-3</v>
      </c>
    </row>
    <row r="182" spans="1:18" x14ac:dyDescent="0.25">
      <c r="A182" s="22">
        <v>44827</v>
      </c>
      <c r="B182" s="12">
        <v>189.64</v>
      </c>
      <c r="C182" s="13">
        <v>-1.7000000000000001E-2</v>
      </c>
      <c r="D182" s="7">
        <v>780</v>
      </c>
      <c r="E182" s="7">
        <v>-5.3E-3</v>
      </c>
      <c r="F182" s="7">
        <v>679</v>
      </c>
      <c r="G182" s="8">
        <f t="shared" si="10"/>
        <v>0.93435073195843465</v>
      </c>
      <c r="H182" s="9">
        <f t="shared" si="11"/>
        <v>1.0206982872999182E-3</v>
      </c>
      <c r="I182" s="10">
        <f>SUM($H$3:H182)</f>
        <v>0.18679259666388276</v>
      </c>
      <c r="J182" s="23">
        <v>-5.3E-3</v>
      </c>
      <c r="Q182" s="7">
        <f t="shared" si="9"/>
        <v>9.2514583886503345E-5</v>
      </c>
      <c r="R182" s="7">
        <f t="shared" si="8"/>
        <v>1.008338616893509E-3</v>
      </c>
    </row>
    <row r="183" spans="1:18" x14ac:dyDescent="0.25">
      <c r="A183" s="22">
        <v>44830</v>
      </c>
      <c r="B183" s="12">
        <v>186.21</v>
      </c>
      <c r="C183" s="13">
        <v>-1.8100000000000002E-2</v>
      </c>
      <c r="D183" s="7">
        <v>779</v>
      </c>
      <c r="E183" s="7">
        <v>-5.3E-3</v>
      </c>
      <c r="F183" s="7">
        <v>523</v>
      </c>
      <c r="G183" s="8">
        <f t="shared" si="10"/>
        <v>0.94904162898580968</v>
      </c>
      <c r="H183" s="9">
        <f t="shared" si="11"/>
        <v>1.0367468362247007E-3</v>
      </c>
      <c r="I183" s="10">
        <f>SUM($H$3:H183)</f>
        <v>0.18782934350010747</v>
      </c>
      <c r="J183" s="23">
        <v>-5.3E-3</v>
      </c>
      <c r="Q183" s="7">
        <f t="shared" si="9"/>
        <v>9.2523836270130342E-5</v>
      </c>
      <c r="R183" s="7">
        <f t="shared" si="8"/>
        <v>1.0084394608395927E-3</v>
      </c>
    </row>
    <row r="184" spans="1:18" x14ac:dyDescent="0.25">
      <c r="A184" s="22">
        <v>44831</v>
      </c>
      <c r="B184" s="12">
        <v>186.05</v>
      </c>
      <c r="C184" s="13">
        <v>-8.9999999999999998E-4</v>
      </c>
      <c r="D184" s="7">
        <v>778</v>
      </c>
      <c r="E184" s="7">
        <v>-5.1999999999999998E-3</v>
      </c>
      <c r="F184" s="7">
        <v>767</v>
      </c>
      <c r="G184" s="8">
        <f t="shared" si="10"/>
        <v>0.92616411014882472</v>
      </c>
      <c r="H184" s="9">
        <f t="shared" si="11"/>
        <v>1.0117551029323881E-3</v>
      </c>
      <c r="I184" s="10">
        <f>SUM($H$3:H184)</f>
        <v>0.18884109860303985</v>
      </c>
      <c r="J184" s="23">
        <v>-5.1999999999999998E-3</v>
      </c>
      <c r="Q184" s="7">
        <f t="shared" si="9"/>
        <v>9.2533089579088264E-5</v>
      </c>
      <c r="R184" s="7">
        <f t="shared" si="8"/>
        <v>1.00854031487108E-3</v>
      </c>
    </row>
    <row r="185" spans="1:18" x14ac:dyDescent="0.25">
      <c r="A185" s="22">
        <v>44832</v>
      </c>
      <c r="B185" s="12">
        <v>184.47</v>
      </c>
      <c r="C185" s="13">
        <v>-8.5000000000000006E-3</v>
      </c>
      <c r="D185" s="7">
        <v>777</v>
      </c>
      <c r="E185" s="7">
        <v>-5.1999999999999998E-3</v>
      </c>
      <c r="F185" s="7">
        <v>656</v>
      </c>
      <c r="G185" s="8">
        <f t="shared" si="10"/>
        <v>0.93650231960036301</v>
      </c>
      <c r="H185" s="9">
        <f t="shared" si="11"/>
        <v>1.0230487128371133E-3</v>
      </c>
      <c r="I185" s="10">
        <f>SUM($H$3:H185)</f>
        <v>0.18986414731587697</v>
      </c>
      <c r="J185" s="23">
        <v>-5.1999999999999998E-3</v>
      </c>
      <c r="Q185" s="7">
        <f t="shared" si="9"/>
        <v>9.2542343813469606E-5</v>
      </c>
      <c r="R185" s="7">
        <f t="shared" si="8"/>
        <v>1.0086411789889788E-3</v>
      </c>
    </row>
    <row r="186" spans="1:18" x14ac:dyDescent="0.25">
      <c r="A186" s="22">
        <v>44833</v>
      </c>
      <c r="B186" s="12">
        <v>184.07</v>
      </c>
      <c r="C186" s="13">
        <v>-2.2000000000000001E-3</v>
      </c>
      <c r="D186" s="7">
        <v>776</v>
      </c>
      <c r="E186" s="7">
        <v>-5.1999999999999998E-3</v>
      </c>
      <c r="F186" s="7">
        <v>260</v>
      </c>
      <c r="G186" s="8">
        <f t="shared" si="10"/>
        <v>0.97433382288951409</v>
      </c>
      <c r="H186" s="9">
        <f t="shared" si="11"/>
        <v>1.0643763955717114E-3</v>
      </c>
      <c r="I186" s="10">
        <f>SUM($H$3:H186)</f>
        <v>0.19092852371144869</v>
      </c>
      <c r="J186" s="23">
        <v>-5.1999999999999998E-3</v>
      </c>
      <c r="Q186" s="7">
        <f t="shared" si="9"/>
        <v>9.255159897336696E-5</v>
      </c>
      <c r="R186" s="7">
        <f t="shared" si="8"/>
        <v>1.0087420531942985E-3</v>
      </c>
    </row>
    <row r="187" spans="1:18" x14ac:dyDescent="0.25">
      <c r="A187" s="22">
        <v>44834</v>
      </c>
      <c r="B187" s="12">
        <v>186.83</v>
      </c>
      <c r="C187" s="13">
        <v>1.4999999999999999E-2</v>
      </c>
      <c r="D187" s="7">
        <v>775</v>
      </c>
      <c r="E187" s="7">
        <v>-5.1999999999999998E-3</v>
      </c>
      <c r="F187" s="7">
        <v>36</v>
      </c>
      <c r="G187" s="8">
        <f t="shared" si="10"/>
        <v>0.99640629286588767</v>
      </c>
      <c r="H187" s="9">
        <f t="shared" si="11"/>
        <v>1.0884886818158085E-3</v>
      </c>
      <c r="I187" s="10">
        <f>SUM($H$3:H187)</f>
        <v>0.19201701239326449</v>
      </c>
      <c r="J187" s="23">
        <v>-5.1999999999999998E-3</v>
      </c>
      <c r="Q187" s="7">
        <f t="shared" si="9"/>
        <v>9.2560855058872822E-5</v>
      </c>
      <c r="R187" s="7">
        <f t="shared" si="8"/>
        <v>1.0088429374880471E-3</v>
      </c>
    </row>
    <row r="188" spans="1:18" x14ac:dyDescent="0.25">
      <c r="A188" s="22">
        <v>44837</v>
      </c>
      <c r="B188" s="12">
        <v>184.25</v>
      </c>
      <c r="C188" s="13">
        <v>-1.38E-2</v>
      </c>
      <c r="D188" s="7">
        <v>774</v>
      </c>
      <c r="E188" s="7">
        <v>-5.1000000000000004E-3</v>
      </c>
      <c r="F188" s="7">
        <v>381</v>
      </c>
      <c r="G188" s="8">
        <f t="shared" si="10"/>
        <v>0.96261484050524471</v>
      </c>
      <c r="H188" s="9">
        <f t="shared" si="11"/>
        <v>1.0515744092946205E-3</v>
      </c>
      <c r="I188" s="10">
        <f>SUM($H$3:H188)</f>
        <v>0.19306858680255912</v>
      </c>
      <c r="J188" s="23">
        <v>-5.1000000000000004E-3</v>
      </c>
      <c r="Q188" s="7">
        <f t="shared" si="9"/>
        <v>9.2570112070079836E-5</v>
      </c>
      <c r="R188" s="7">
        <f t="shared" si="8"/>
        <v>1.0089438318712342E-3</v>
      </c>
    </row>
    <row r="189" spans="1:18" x14ac:dyDescent="0.25">
      <c r="A189" s="22">
        <v>44838</v>
      </c>
      <c r="B189" s="12">
        <v>188.29</v>
      </c>
      <c r="C189" s="13">
        <v>2.1899999999999999E-2</v>
      </c>
      <c r="D189" s="7">
        <v>773</v>
      </c>
      <c r="E189" s="7">
        <v>-5.1000000000000004E-3</v>
      </c>
      <c r="F189" s="7">
        <v>201</v>
      </c>
      <c r="G189" s="8">
        <f t="shared" si="10"/>
        <v>0.98009967327392133</v>
      </c>
      <c r="H189" s="9">
        <f t="shared" si="11"/>
        <v>1.0706750941341416E-3</v>
      </c>
      <c r="I189" s="10">
        <f>SUM($H$3:H189)</f>
        <v>0.19413926189669325</v>
      </c>
      <c r="J189" s="23">
        <v>-5.1000000000000004E-3</v>
      </c>
      <c r="Q189" s="7">
        <f t="shared" si="9"/>
        <v>9.2579370007080539E-5</v>
      </c>
      <c r="R189" s="7">
        <f t="shared" si="8"/>
        <v>1.0090447363448685E-3</v>
      </c>
    </row>
    <row r="190" spans="1:18" x14ac:dyDescent="0.25">
      <c r="A190" s="22">
        <v>44840</v>
      </c>
      <c r="B190" s="12">
        <v>188.94</v>
      </c>
      <c r="C190" s="13">
        <v>3.5000000000000001E-3</v>
      </c>
      <c r="D190" s="7">
        <v>772</v>
      </c>
      <c r="E190" s="7">
        <v>-5.1000000000000004E-3</v>
      </c>
      <c r="F190" s="7">
        <v>180</v>
      </c>
      <c r="G190" s="8">
        <f t="shared" si="10"/>
        <v>0.98216014835483978</v>
      </c>
      <c r="H190" s="9">
        <f t="shared" si="11"/>
        <v>1.0729259869885939E-3</v>
      </c>
      <c r="I190" s="10">
        <f>SUM($H$3:H190)</f>
        <v>0.19521218788368186</v>
      </c>
      <c r="J190" s="23">
        <v>-5.1000000000000004E-3</v>
      </c>
      <c r="Q190" s="7">
        <f t="shared" si="9"/>
        <v>9.2588628869967536E-5</v>
      </c>
      <c r="R190" s="7">
        <f t="shared" si="8"/>
        <v>1.0091456509099595E-3</v>
      </c>
    </row>
    <row r="191" spans="1:18" x14ac:dyDescent="0.25">
      <c r="A191" s="22">
        <v>44841</v>
      </c>
      <c r="B191" s="12">
        <v>189.19</v>
      </c>
      <c r="C191" s="13">
        <v>1.2999999999999999E-3</v>
      </c>
      <c r="D191" s="7">
        <v>771</v>
      </c>
      <c r="E191" s="7">
        <v>-5.1000000000000004E-3</v>
      </c>
      <c r="F191" s="7">
        <v>11</v>
      </c>
      <c r="G191" s="8">
        <f t="shared" si="10"/>
        <v>0.99890054983503329</v>
      </c>
      <c r="H191" s="9">
        <f t="shared" si="11"/>
        <v>1.0912134442946225E-3</v>
      </c>
      <c r="I191" s="10">
        <f>SUM($H$3:H191)</f>
        <v>0.19630340132797647</v>
      </c>
      <c r="J191" s="23">
        <v>-5.1000000000000004E-3</v>
      </c>
      <c r="Q191" s="7">
        <f t="shared" si="9"/>
        <v>9.2597888658833404E-5</v>
      </c>
      <c r="R191" s="7">
        <f t="shared" si="8"/>
        <v>1.0092465755675163E-3</v>
      </c>
    </row>
    <row r="192" spans="1:18" x14ac:dyDescent="0.25">
      <c r="A192" s="22">
        <v>44844</v>
      </c>
      <c r="B192" s="12">
        <v>188.75</v>
      </c>
      <c r="C192" s="13">
        <v>-2.3E-3</v>
      </c>
      <c r="D192" s="7">
        <v>770</v>
      </c>
      <c r="E192" s="7">
        <v>-5.0000000000000001E-3</v>
      </c>
      <c r="F192" s="7">
        <v>572</v>
      </c>
      <c r="G192" s="8">
        <f t="shared" si="10"/>
        <v>0.944402468268284</v>
      </c>
      <c r="H192" s="9">
        <f t="shared" si="11"/>
        <v>1.0316789497909174E-3</v>
      </c>
      <c r="I192" s="10">
        <f>SUM($H$3:H192)</f>
        <v>0.19733508027776739</v>
      </c>
      <c r="J192" s="23">
        <v>-5.0000000000000001E-3</v>
      </c>
      <c r="Q192" s="7">
        <f t="shared" si="9"/>
        <v>9.2607149373770788E-5</v>
      </c>
      <c r="R192" s="7">
        <f t="shared" si="8"/>
        <v>1.0093475103185481E-3</v>
      </c>
    </row>
    <row r="193" spans="1:18" x14ac:dyDescent="0.25">
      <c r="A193" s="22">
        <v>44845</v>
      </c>
      <c r="B193" s="12">
        <v>185.87</v>
      </c>
      <c r="C193" s="13">
        <v>-1.5299999999999999E-2</v>
      </c>
      <c r="D193" s="7">
        <v>769</v>
      </c>
      <c r="E193" s="7">
        <v>-5.0000000000000001E-3</v>
      </c>
      <c r="F193" s="7">
        <v>96</v>
      </c>
      <c r="G193" s="8">
        <f t="shared" si="10"/>
        <v>0.99044545745158807</v>
      </c>
      <c r="H193" s="9">
        <f t="shared" si="11"/>
        <v>1.0819769787795198E-3</v>
      </c>
      <c r="I193" s="10">
        <f>SUM($H$3:H193)</f>
        <v>0.1984170572565469</v>
      </c>
      <c r="J193" s="23">
        <v>-5.0000000000000001E-3</v>
      </c>
      <c r="Q193" s="7">
        <f t="shared" si="9"/>
        <v>9.2616411014872265E-5</v>
      </c>
      <c r="R193" s="7">
        <f t="shared" si="8"/>
        <v>1.0094484551640645E-3</v>
      </c>
    </row>
    <row r="194" spans="1:18" x14ac:dyDescent="0.25">
      <c r="A194" s="22">
        <v>44846</v>
      </c>
      <c r="B194" s="12">
        <v>187.21</v>
      </c>
      <c r="C194" s="13">
        <v>7.1999999999999998E-3</v>
      </c>
      <c r="D194" s="7">
        <v>768</v>
      </c>
      <c r="E194" s="7">
        <v>-5.0000000000000001E-3</v>
      </c>
      <c r="F194" s="7">
        <v>78</v>
      </c>
      <c r="G194" s="8">
        <f t="shared" si="10"/>
        <v>0.99222995406643366</v>
      </c>
      <c r="H194" s="9">
        <f t="shared" si="11"/>
        <v>1.0839263887560578E-3</v>
      </c>
      <c r="I194" s="10">
        <f>SUM($H$3:H194)</f>
        <v>0.19950098364530297</v>
      </c>
      <c r="J194" s="23">
        <v>-5.0000000000000001E-3</v>
      </c>
      <c r="Q194" s="7">
        <f t="shared" si="9"/>
        <v>9.2625673582230508E-5</v>
      </c>
      <c r="R194" s="7">
        <f t="shared" ref="R194:R257" si="12">Q194/$U$2</f>
        <v>1.0095494101050751E-3</v>
      </c>
    </row>
    <row r="195" spans="1:18" x14ac:dyDescent="0.25">
      <c r="A195" s="22">
        <v>44847</v>
      </c>
      <c r="B195" s="12">
        <v>186.23</v>
      </c>
      <c r="C195" s="13">
        <v>-5.1999999999999998E-3</v>
      </c>
      <c r="D195" s="7">
        <v>767</v>
      </c>
      <c r="E195" s="7">
        <v>-4.8999999999999998E-3</v>
      </c>
      <c r="F195" s="7">
        <v>698</v>
      </c>
      <c r="G195" s="8">
        <f t="shared" si="10"/>
        <v>0.93257706240244187</v>
      </c>
      <c r="H195" s="9">
        <f t="shared" si="11"/>
        <v>1.0187607049594589E-3</v>
      </c>
      <c r="I195" s="10">
        <f>SUM($H$3:H195)</f>
        <v>0.20051974435026243</v>
      </c>
      <c r="J195" s="23">
        <v>-4.8999999999999998E-3</v>
      </c>
      <c r="Q195" s="7">
        <f t="shared" ref="Q195:Q258" si="13">(1-$N$3) * $N$3^(D196-1)</f>
        <v>9.263493707593808E-5</v>
      </c>
      <c r="R195" s="7">
        <f t="shared" si="12"/>
        <v>1.0096503751425893E-3</v>
      </c>
    </row>
    <row r="196" spans="1:18" x14ac:dyDescent="0.25">
      <c r="A196" s="22">
        <v>44848</v>
      </c>
      <c r="B196" s="12">
        <v>188.02</v>
      </c>
      <c r="C196" s="13">
        <v>9.5999999999999992E-3</v>
      </c>
      <c r="D196" s="7">
        <v>766</v>
      </c>
      <c r="E196" s="7">
        <v>-4.8999999999999998E-3</v>
      </c>
      <c r="F196" s="7">
        <v>417</v>
      </c>
      <c r="G196" s="8">
        <f t="shared" ref="G196:G259" si="14">$N$3^F196</f>
        <v>0.95915548468551859</v>
      </c>
      <c r="H196" s="9">
        <f t="shared" ref="H196:H259" si="15">G196/$N$4</f>
        <v>1.0477953588378885E-3</v>
      </c>
      <c r="I196" s="10">
        <f>SUM($H$3:H196)</f>
        <v>0.20156753970910032</v>
      </c>
      <c r="J196" s="23">
        <v>-4.8999999999999998E-3</v>
      </c>
      <c r="Q196" s="7">
        <f t="shared" si="13"/>
        <v>9.2644201496087681E-5</v>
      </c>
      <c r="R196" s="7">
        <f t="shared" si="12"/>
        <v>1.0097513502776167E-3</v>
      </c>
    </row>
    <row r="197" spans="1:18" x14ac:dyDescent="0.25">
      <c r="A197" s="22">
        <v>44851</v>
      </c>
      <c r="B197" s="12">
        <v>188.83</v>
      </c>
      <c r="C197" s="13">
        <v>4.3E-3</v>
      </c>
      <c r="D197" s="7">
        <v>765</v>
      </c>
      <c r="E197" s="7">
        <v>-4.8999999999999998E-3</v>
      </c>
      <c r="F197" s="7">
        <v>82</v>
      </c>
      <c r="G197" s="8">
        <f t="shared" si="14"/>
        <v>0.99183312161463555</v>
      </c>
      <c r="H197" s="9">
        <f t="shared" si="15"/>
        <v>1.0834928832318032E-3</v>
      </c>
      <c r="I197" s="10">
        <f>SUM($H$3:H197)</f>
        <v>0.20265103259233214</v>
      </c>
      <c r="J197" s="23">
        <v>-4.8999999999999998E-3</v>
      </c>
      <c r="Q197" s="7">
        <f t="shared" si="13"/>
        <v>9.2653466842771969E-5</v>
      </c>
      <c r="R197" s="7">
        <f t="shared" si="12"/>
        <v>1.009852335511168E-3</v>
      </c>
    </row>
    <row r="198" spans="1:18" x14ac:dyDescent="0.25">
      <c r="A198" s="22">
        <v>44852</v>
      </c>
      <c r="B198" s="12">
        <v>190.64</v>
      </c>
      <c r="C198" s="13">
        <v>9.5999999999999992E-3</v>
      </c>
      <c r="D198" s="7">
        <v>764</v>
      </c>
      <c r="E198" s="7">
        <v>-4.8999999999999998E-3</v>
      </c>
      <c r="F198" s="7">
        <v>38</v>
      </c>
      <c r="G198" s="8">
        <f t="shared" si="14"/>
        <v>0.99620702157137753</v>
      </c>
      <c r="H198" s="9">
        <f t="shared" si="15"/>
        <v>1.0882709949643322E-3</v>
      </c>
      <c r="I198" s="10">
        <f>SUM($H$3:H198)</f>
        <v>0.20373930358729647</v>
      </c>
      <c r="J198" s="23">
        <v>-4.8999999999999998E-3</v>
      </c>
      <c r="Q198" s="7">
        <f t="shared" si="13"/>
        <v>9.2662733116083575E-5</v>
      </c>
      <c r="R198" s="7">
        <f t="shared" si="12"/>
        <v>1.0099533308442525E-3</v>
      </c>
    </row>
    <row r="199" spans="1:18" x14ac:dyDescent="0.25">
      <c r="A199" s="22">
        <v>44853</v>
      </c>
      <c r="B199" s="12">
        <v>190.83</v>
      </c>
      <c r="C199" s="13">
        <v>1E-3</v>
      </c>
      <c r="D199" s="7">
        <v>763</v>
      </c>
      <c r="E199" s="7">
        <v>-4.7999999999999996E-3</v>
      </c>
      <c r="F199" s="7">
        <v>782</v>
      </c>
      <c r="G199" s="8">
        <f t="shared" si="14"/>
        <v>0.92477583603463931</v>
      </c>
      <c r="H199" s="9">
        <f t="shared" si="15"/>
        <v>1.0102385321606377E-3</v>
      </c>
      <c r="I199" s="10">
        <f>SUM($H$3:H199)</f>
        <v>0.20474954211945712</v>
      </c>
      <c r="J199" s="23">
        <v>-4.7999999999999996E-3</v>
      </c>
      <c r="Q199" s="7">
        <f t="shared" si="13"/>
        <v>9.2672000316115172E-5</v>
      </c>
      <c r="R199" s="7">
        <f t="shared" si="12"/>
        <v>1.0100543362778801E-3</v>
      </c>
    </row>
    <row r="200" spans="1:18" x14ac:dyDescent="0.25">
      <c r="A200" s="22">
        <v>44854</v>
      </c>
      <c r="B200" s="12">
        <v>191.44</v>
      </c>
      <c r="C200" s="13">
        <v>3.2000000000000002E-3</v>
      </c>
      <c r="D200" s="7">
        <v>762</v>
      </c>
      <c r="E200" s="7">
        <v>-4.7999999999999996E-3</v>
      </c>
      <c r="F200" s="7">
        <v>448</v>
      </c>
      <c r="G200" s="8">
        <f t="shared" si="14"/>
        <v>0.95618655844761047</v>
      </c>
      <c r="H200" s="9">
        <f t="shared" si="15"/>
        <v>1.0445520607673653E-3</v>
      </c>
      <c r="I200" s="10">
        <f>SUM($H$3:H200)</f>
        <v>0.20579409418022448</v>
      </c>
      <c r="J200" s="23">
        <v>-4.7999999999999996E-3</v>
      </c>
      <c r="Q200" s="7">
        <f t="shared" si="13"/>
        <v>9.2681268442959473E-5</v>
      </c>
      <c r="R200" s="7">
        <f t="shared" si="12"/>
        <v>1.0101553518130615E-3</v>
      </c>
    </row>
    <row r="201" spans="1:18" x14ac:dyDescent="0.25">
      <c r="A201" s="22">
        <v>44855</v>
      </c>
      <c r="B201" s="12">
        <v>191.52</v>
      </c>
      <c r="C201" s="13">
        <v>4.0000000000000002E-4</v>
      </c>
      <c r="D201" s="7">
        <v>761</v>
      </c>
      <c r="E201" s="7">
        <v>-4.7999999999999996E-3</v>
      </c>
      <c r="F201" s="7">
        <v>270</v>
      </c>
      <c r="G201" s="8">
        <f t="shared" si="14"/>
        <v>0.97335992739994559</v>
      </c>
      <c r="H201" s="9">
        <f t="shared" si="15"/>
        <v>1.0633124980178152E-3</v>
      </c>
      <c r="I201" s="10">
        <f>SUM($H$3:H201)</f>
        <v>0.20685740667824229</v>
      </c>
      <c r="J201" s="23">
        <v>-4.7999999999999996E-3</v>
      </c>
      <c r="Q201" s="7">
        <f t="shared" si="13"/>
        <v>9.2690537496709137E-5</v>
      </c>
      <c r="R201" s="7">
        <f t="shared" si="12"/>
        <v>1.0102563774508065E-3</v>
      </c>
    </row>
    <row r="202" spans="1:18" x14ac:dyDescent="0.25">
      <c r="A202" s="22">
        <v>44858</v>
      </c>
      <c r="B202" s="12">
        <v>193.17</v>
      </c>
      <c r="C202" s="13">
        <v>8.6E-3</v>
      </c>
      <c r="D202" s="7">
        <v>760</v>
      </c>
      <c r="E202" s="7">
        <v>-4.7000000000000002E-3</v>
      </c>
      <c r="F202" s="7">
        <v>874</v>
      </c>
      <c r="G202" s="8">
        <f t="shared" si="14"/>
        <v>0.91630649358421212</v>
      </c>
      <c r="H202" s="9">
        <f t="shared" si="15"/>
        <v>1.0009864996657436E-3</v>
      </c>
      <c r="I202" s="10">
        <f>SUM($H$3:H202)</f>
        <v>0.20785839317790802</v>
      </c>
      <c r="J202" s="23">
        <v>-4.7000000000000002E-3</v>
      </c>
      <c r="Q202" s="7">
        <f t="shared" si="13"/>
        <v>9.2699807477456889E-5</v>
      </c>
      <c r="R202" s="7">
        <f t="shared" si="12"/>
        <v>1.0103574131921258E-3</v>
      </c>
    </row>
    <row r="203" spans="1:18" x14ac:dyDescent="0.25">
      <c r="A203" s="22">
        <v>44859</v>
      </c>
      <c r="B203" s="12">
        <v>192.49</v>
      </c>
      <c r="C203" s="13">
        <v>-3.5000000000000001E-3</v>
      </c>
      <c r="D203" s="7">
        <v>759</v>
      </c>
      <c r="E203" s="7">
        <v>-4.7000000000000002E-3</v>
      </c>
      <c r="F203" s="7">
        <v>673</v>
      </c>
      <c r="G203" s="8">
        <f t="shared" si="14"/>
        <v>0.93491153866359866</v>
      </c>
      <c r="H203" s="9">
        <f t="shared" si="15"/>
        <v>1.0213109206761103E-3</v>
      </c>
      <c r="I203" s="10">
        <f>SUM($H$3:H203)</f>
        <v>0.20887970409858414</v>
      </c>
      <c r="J203" s="23">
        <v>-4.7000000000000002E-3</v>
      </c>
      <c r="Q203" s="7">
        <f t="shared" si="13"/>
        <v>9.2709078385295429E-5</v>
      </c>
      <c r="R203" s="7">
        <f t="shared" si="12"/>
        <v>1.0104584590380297E-3</v>
      </c>
    </row>
    <row r="204" spans="1:18" x14ac:dyDescent="0.25">
      <c r="A204" s="22">
        <v>44861</v>
      </c>
      <c r="B204" s="12">
        <v>193.45</v>
      </c>
      <c r="C204" s="13">
        <v>5.0000000000000001E-3</v>
      </c>
      <c r="D204" s="7">
        <v>758</v>
      </c>
      <c r="E204" s="7">
        <v>-4.7000000000000002E-3</v>
      </c>
      <c r="F204" s="7">
        <v>552</v>
      </c>
      <c r="G204" s="8">
        <f t="shared" si="14"/>
        <v>0.94629325790522001</v>
      </c>
      <c r="H204" s="9">
        <f t="shared" si="15"/>
        <v>1.033744475805993E-3</v>
      </c>
      <c r="I204" s="10">
        <f>SUM($H$3:H204)</f>
        <v>0.20991344857439012</v>
      </c>
      <c r="J204" s="23">
        <v>-4.7000000000000002E-3</v>
      </c>
      <c r="Q204" s="7">
        <f t="shared" si="13"/>
        <v>9.2718350220317443E-5</v>
      </c>
      <c r="R204" s="7">
        <f t="shared" si="12"/>
        <v>1.0105595149895285E-3</v>
      </c>
    </row>
    <row r="205" spans="1:18" x14ac:dyDescent="0.25">
      <c r="A205" s="22">
        <v>44862</v>
      </c>
      <c r="B205" s="12">
        <v>193.96</v>
      </c>
      <c r="C205" s="13">
        <v>2.5999999999999999E-3</v>
      </c>
      <c r="D205" s="7">
        <v>757</v>
      </c>
      <c r="E205" s="7">
        <v>-4.7000000000000002E-3</v>
      </c>
      <c r="F205" s="7">
        <v>507</v>
      </c>
      <c r="G205" s="8">
        <f t="shared" si="14"/>
        <v>0.95056138706358795</v>
      </c>
      <c r="H205" s="9">
        <f t="shared" si="15"/>
        <v>1.0384070419847443E-3</v>
      </c>
      <c r="I205" s="10">
        <f>SUM($H$3:H205)</f>
        <v>0.21095185561637486</v>
      </c>
      <c r="J205" s="23">
        <v>-4.7000000000000002E-3</v>
      </c>
      <c r="Q205" s="7">
        <f t="shared" si="13"/>
        <v>9.2727622982615698E-5</v>
      </c>
      <c r="R205" s="7">
        <f t="shared" si="12"/>
        <v>1.0106605810476332E-3</v>
      </c>
    </row>
    <row r="206" spans="1:18" x14ac:dyDescent="0.25">
      <c r="A206" s="22">
        <v>44865</v>
      </c>
      <c r="B206" s="12">
        <v>196.27</v>
      </c>
      <c r="C206" s="13">
        <v>1.1900000000000001E-2</v>
      </c>
      <c r="D206" s="7">
        <v>756</v>
      </c>
      <c r="E206" s="7">
        <v>-4.7000000000000002E-3</v>
      </c>
      <c r="F206" s="7">
        <v>465</v>
      </c>
      <c r="G206" s="8">
        <f t="shared" si="14"/>
        <v>0.95456234106199012</v>
      </c>
      <c r="H206" s="9">
        <f t="shared" si="15"/>
        <v>1.0427777421448171E-3</v>
      </c>
      <c r="I206" s="10">
        <f>SUM($H$3:H206)</f>
        <v>0.21199463335851967</v>
      </c>
      <c r="J206" s="23">
        <v>-4.7000000000000002E-3</v>
      </c>
      <c r="Q206" s="7">
        <f t="shared" si="13"/>
        <v>9.2736896672282934E-5</v>
      </c>
      <c r="R206" s="7">
        <f t="shared" si="12"/>
        <v>1.0107616572133545E-3</v>
      </c>
    </row>
    <row r="207" spans="1:18" x14ac:dyDescent="0.25">
      <c r="A207" s="22">
        <v>44866</v>
      </c>
      <c r="B207" s="12">
        <v>197.98</v>
      </c>
      <c r="C207" s="13">
        <v>8.6999999999999994E-3</v>
      </c>
      <c r="D207" s="7">
        <v>755</v>
      </c>
      <c r="E207" s="7">
        <v>-4.7000000000000002E-3</v>
      </c>
      <c r="F207" s="7">
        <v>185</v>
      </c>
      <c r="G207" s="8">
        <f t="shared" si="14"/>
        <v>0.9816691664868562</v>
      </c>
      <c r="H207" s="9">
        <f t="shared" si="15"/>
        <v>1.0723896312769697E-3</v>
      </c>
      <c r="I207" s="10">
        <f>SUM($H$3:H207)</f>
        <v>0.21306702298979666</v>
      </c>
      <c r="J207" s="23">
        <v>-4.7000000000000002E-3</v>
      </c>
      <c r="Q207" s="7">
        <f t="shared" si="13"/>
        <v>9.2746171289411863E-5</v>
      </c>
      <c r="R207" s="7">
        <f t="shared" si="12"/>
        <v>1.0108627434877032E-3</v>
      </c>
    </row>
    <row r="208" spans="1:18" x14ac:dyDescent="0.25">
      <c r="A208" s="22">
        <v>44867</v>
      </c>
      <c r="B208" s="12">
        <v>197.41</v>
      </c>
      <c r="C208" s="13">
        <v>-2.8999999999999998E-3</v>
      </c>
      <c r="D208" s="7">
        <v>754</v>
      </c>
      <c r="E208" s="7">
        <v>-4.7000000000000002E-3</v>
      </c>
      <c r="F208" s="7">
        <v>88</v>
      </c>
      <c r="G208" s="8">
        <f t="shared" si="14"/>
        <v>0.99123817049679996</v>
      </c>
      <c r="H208" s="9">
        <f t="shared" si="15"/>
        <v>1.0828429500041284E-3</v>
      </c>
      <c r="I208" s="10">
        <f>SUM($H$3:H208)</f>
        <v>0.21414986593980079</v>
      </c>
      <c r="J208" s="23">
        <v>-4.7000000000000002E-3</v>
      </c>
      <c r="Q208" s="7">
        <f t="shared" si="13"/>
        <v>9.275544683409528E-5</v>
      </c>
      <c r="R208" s="7">
        <f t="shared" si="12"/>
        <v>1.0109638398716903E-3</v>
      </c>
    </row>
    <row r="209" spans="1:18" x14ac:dyDescent="0.25">
      <c r="A209" s="22">
        <v>44868</v>
      </c>
      <c r="B209" s="12">
        <v>197.39</v>
      </c>
      <c r="C209" s="13">
        <v>-1E-4</v>
      </c>
      <c r="D209" s="7">
        <v>753</v>
      </c>
      <c r="E209" s="7">
        <v>-4.7000000000000002E-3</v>
      </c>
      <c r="F209" s="7">
        <v>8</v>
      </c>
      <c r="G209" s="8">
        <f t="shared" si="14"/>
        <v>0.99920027994400717</v>
      </c>
      <c r="H209" s="9">
        <f t="shared" si="15"/>
        <v>1.0915408738116313E-3</v>
      </c>
      <c r="I209" s="10">
        <f>SUM($H$3:H209)</f>
        <v>0.21524140681361242</v>
      </c>
      <c r="J209" s="23">
        <v>-4.7000000000000002E-3</v>
      </c>
      <c r="Q209" s="7">
        <f t="shared" si="13"/>
        <v>9.2764723306425925E-5</v>
      </c>
      <c r="R209" s="7">
        <f t="shared" si="12"/>
        <v>1.011064946366327E-3</v>
      </c>
    </row>
    <row r="210" spans="1:18" x14ac:dyDescent="0.25">
      <c r="A210" s="22">
        <v>44869</v>
      </c>
      <c r="B210" s="12">
        <v>197.77</v>
      </c>
      <c r="C210" s="13">
        <v>1.9E-3</v>
      </c>
      <c r="D210" s="7">
        <v>752</v>
      </c>
      <c r="E210" s="7">
        <v>-4.5999999999999999E-3</v>
      </c>
      <c r="F210" s="7">
        <v>891</v>
      </c>
      <c r="G210" s="8">
        <f t="shared" si="14"/>
        <v>0.9147500180990803</v>
      </c>
      <c r="H210" s="9">
        <f t="shared" si="15"/>
        <v>9.9928618327751908E-4</v>
      </c>
      <c r="I210" s="10">
        <f>SUM($H$3:H210)</f>
        <v>0.21624069299688994</v>
      </c>
      <c r="J210" s="23">
        <v>-4.5999999999999999E-3</v>
      </c>
      <c r="Q210" s="7">
        <f t="shared" si="13"/>
        <v>9.2774000706496564E-5</v>
      </c>
      <c r="R210" s="7">
        <f t="shared" si="12"/>
        <v>1.0111660629726243E-3</v>
      </c>
    </row>
    <row r="211" spans="1:18" x14ac:dyDescent="0.25">
      <c r="A211" s="22">
        <v>44872</v>
      </c>
      <c r="B211" s="12">
        <v>198.62</v>
      </c>
      <c r="C211" s="13">
        <v>4.3E-3</v>
      </c>
      <c r="D211" s="7">
        <v>751</v>
      </c>
      <c r="E211" s="7">
        <v>-4.5999999999999999E-3</v>
      </c>
      <c r="F211" s="7">
        <v>839</v>
      </c>
      <c r="G211" s="8">
        <f t="shared" si="14"/>
        <v>0.91951934616913622</v>
      </c>
      <c r="H211" s="9">
        <f t="shared" si="15"/>
        <v>1.0044962664145804E-3</v>
      </c>
      <c r="I211" s="10">
        <f>SUM($H$3:H211)</f>
        <v>0.21724518926330452</v>
      </c>
      <c r="J211" s="23">
        <v>-4.5999999999999999E-3</v>
      </c>
      <c r="Q211" s="7">
        <f t="shared" si="13"/>
        <v>9.2783279034399992E-5</v>
      </c>
      <c r="R211" s="7">
        <f t="shared" si="12"/>
        <v>1.0112671896915933E-3</v>
      </c>
    </row>
    <row r="212" spans="1:18" x14ac:dyDescent="0.25">
      <c r="A212" s="22">
        <v>44874</v>
      </c>
      <c r="B212" s="12">
        <v>198.32</v>
      </c>
      <c r="C212" s="13">
        <v>-1.5E-3</v>
      </c>
      <c r="D212" s="7">
        <v>750</v>
      </c>
      <c r="E212" s="7">
        <v>-4.5999999999999999E-3</v>
      </c>
      <c r="F212" s="7">
        <v>683</v>
      </c>
      <c r="G212" s="8">
        <f t="shared" si="14"/>
        <v>0.93397704772295798</v>
      </c>
      <c r="H212" s="9">
        <f t="shared" si="15"/>
        <v>1.0202900692228129E-3</v>
      </c>
      <c r="I212" s="10">
        <f>SUM($H$3:H212)</f>
        <v>0.21826547933252732</v>
      </c>
      <c r="J212" s="23">
        <v>-4.5999999999999999E-3</v>
      </c>
      <c r="Q212" s="7">
        <f t="shared" si="13"/>
        <v>9.2792558290229017E-5</v>
      </c>
      <c r="R212" s="7">
        <f t="shared" si="12"/>
        <v>1.0113683265242457E-3</v>
      </c>
    </row>
    <row r="213" spans="1:18" x14ac:dyDescent="0.25">
      <c r="A213" s="22">
        <v>44875</v>
      </c>
      <c r="B213" s="12">
        <v>196.86</v>
      </c>
      <c r="C213" s="13">
        <v>-7.4000000000000003E-3</v>
      </c>
      <c r="D213" s="7">
        <v>749</v>
      </c>
      <c r="E213" s="7">
        <v>-4.5999999999999999E-3</v>
      </c>
      <c r="F213" s="7">
        <v>16</v>
      </c>
      <c r="G213" s="8">
        <f t="shared" si="14"/>
        <v>0.99840119944018235</v>
      </c>
      <c r="H213" s="9">
        <f t="shared" si="15"/>
        <v>1.0906679466829081E-3</v>
      </c>
      <c r="I213" s="10">
        <f>SUM($H$3:H213)</f>
        <v>0.21935614727921024</v>
      </c>
      <c r="J213" s="23">
        <v>-4.5999999999999999E-3</v>
      </c>
      <c r="Q213" s="7">
        <f t="shared" si="13"/>
        <v>9.2801838474076433E-5</v>
      </c>
      <c r="R213" s="7">
        <f t="shared" si="12"/>
        <v>1.011469473471593E-3</v>
      </c>
    </row>
    <row r="214" spans="1:18" x14ac:dyDescent="0.25">
      <c r="A214" s="22">
        <v>44876</v>
      </c>
      <c r="B214" s="12">
        <v>200.22</v>
      </c>
      <c r="C214" s="13">
        <v>1.7100000000000001E-2</v>
      </c>
      <c r="D214" s="7">
        <v>748</v>
      </c>
      <c r="E214" s="7">
        <v>-4.4999999999999997E-3</v>
      </c>
      <c r="F214" s="7">
        <v>875</v>
      </c>
      <c r="G214" s="8">
        <f t="shared" si="14"/>
        <v>0.91621486293485388</v>
      </c>
      <c r="H214" s="9">
        <f t="shared" si="15"/>
        <v>1.0008864010157771E-3</v>
      </c>
      <c r="I214" s="10">
        <f>SUM($H$3:H214)</f>
        <v>0.22035703368022602</v>
      </c>
      <c r="J214" s="23">
        <v>-4.4999999999999997E-3</v>
      </c>
      <c r="Q214" s="7">
        <f t="shared" si="13"/>
        <v>9.281111958603502E-5</v>
      </c>
      <c r="R214" s="7">
        <f t="shared" si="12"/>
        <v>1.0115706305346462E-3</v>
      </c>
    </row>
    <row r="215" spans="1:18" x14ac:dyDescent="0.25">
      <c r="A215" s="22">
        <v>44879</v>
      </c>
      <c r="B215" s="12">
        <v>200.17</v>
      </c>
      <c r="C215" s="13">
        <v>-2.0000000000000001E-4</v>
      </c>
      <c r="D215" s="7">
        <v>747</v>
      </c>
      <c r="E215" s="7">
        <v>-4.4999999999999997E-3</v>
      </c>
      <c r="F215" s="7">
        <v>672</v>
      </c>
      <c r="G215" s="8">
        <f t="shared" si="14"/>
        <v>0.93500503916751543</v>
      </c>
      <c r="H215" s="9">
        <f t="shared" si="15"/>
        <v>1.0214130619823085E-3</v>
      </c>
      <c r="I215" s="10">
        <f>SUM($H$3:H215)</f>
        <v>0.22137844674220833</v>
      </c>
      <c r="J215" s="23">
        <v>-4.4999999999999997E-3</v>
      </c>
      <c r="Q215" s="7">
        <f t="shared" si="13"/>
        <v>9.282040162619764E-5</v>
      </c>
      <c r="R215" s="7">
        <f t="shared" si="12"/>
        <v>1.0116717977144178E-3</v>
      </c>
    </row>
    <row r="216" spans="1:18" x14ac:dyDescent="0.25">
      <c r="A216" s="22">
        <v>44880</v>
      </c>
      <c r="B216" s="12">
        <v>200.91</v>
      </c>
      <c r="C216" s="13">
        <v>3.7000000000000002E-3</v>
      </c>
      <c r="D216" s="7">
        <v>746</v>
      </c>
      <c r="E216" s="7">
        <v>-4.4999999999999997E-3</v>
      </c>
      <c r="F216" s="7">
        <v>154</v>
      </c>
      <c r="G216" s="8">
        <f t="shared" si="14"/>
        <v>0.98471721534257328</v>
      </c>
      <c r="H216" s="9">
        <f t="shared" si="15"/>
        <v>1.0757193640424333E-3</v>
      </c>
      <c r="I216" s="10">
        <f>SUM($H$3:H216)</f>
        <v>0.22245416610625077</v>
      </c>
      <c r="J216" s="23">
        <v>-4.4999999999999997E-3</v>
      </c>
      <c r="Q216" s="7">
        <f t="shared" si="13"/>
        <v>9.2829684594657102E-5</v>
      </c>
      <c r="R216" s="7">
        <f t="shared" si="12"/>
        <v>1.0117729750119188E-3</v>
      </c>
    </row>
    <row r="217" spans="1:18" x14ac:dyDescent="0.25">
      <c r="A217" s="22">
        <v>44881</v>
      </c>
      <c r="B217" s="12">
        <v>200.87</v>
      </c>
      <c r="C217" s="13">
        <v>-2.0000000000000001E-4</v>
      </c>
      <c r="D217" s="7">
        <v>745</v>
      </c>
      <c r="E217" s="7">
        <v>-4.4000000000000003E-3</v>
      </c>
      <c r="F217" s="7">
        <v>800</v>
      </c>
      <c r="G217" s="8">
        <f t="shared" si="14"/>
        <v>0.9231126536824722</v>
      </c>
      <c r="H217" s="9">
        <f t="shared" si="15"/>
        <v>1.0084216476436575E-3</v>
      </c>
      <c r="I217" s="10">
        <f>SUM($H$3:H217)</f>
        <v>0.22346258775389444</v>
      </c>
      <c r="J217" s="23">
        <v>-4.4000000000000003E-3</v>
      </c>
      <c r="Q217" s="7">
        <f t="shared" si="13"/>
        <v>9.2838968491506252E-5</v>
      </c>
      <c r="R217" s="7">
        <f t="shared" si="12"/>
        <v>1.0118741624281617E-3</v>
      </c>
    </row>
    <row r="218" spans="1:18" x14ac:dyDescent="0.25">
      <c r="A218" s="22">
        <v>44882</v>
      </c>
      <c r="B218" s="12">
        <v>200.2</v>
      </c>
      <c r="C218" s="13">
        <v>-3.3E-3</v>
      </c>
      <c r="D218" s="7">
        <v>744</v>
      </c>
      <c r="E218" s="7">
        <v>-4.4000000000000003E-3</v>
      </c>
      <c r="F218" s="7">
        <v>643</v>
      </c>
      <c r="G218" s="8">
        <f t="shared" si="14"/>
        <v>0.93772062525923305</v>
      </c>
      <c r="H218" s="9">
        <f t="shared" si="15"/>
        <v>1.0243796076038034E-3</v>
      </c>
      <c r="I218" s="10">
        <f>SUM($H$3:H218)</f>
        <v>0.22448696736149823</v>
      </c>
      <c r="J218" s="23">
        <v>-4.4000000000000003E-3</v>
      </c>
      <c r="Q218" s="7">
        <f t="shared" si="13"/>
        <v>9.2848253316837941E-5</v>
      </c>
      <c r="R218" s="7">
        <f t="shared" si="12"/>
        <v>1.0119753599641581E-3</v>
      </c>
    </row>
    <row r="219" spans="1:18" x14ac:dyDescent="0.25">
      <c r="A219" s="22">
        <v>44883</v>
      </c>
      <c r="B219" s="12">
        <v>199.92</v>
      </c>
      <c r="C219" s="13">
        <v>-1.4E-3</v>
      </c>
      <c r="D219" s="7">
        <v>743</v>
      </c>
      <c r="E219" s="7">
        <v>-4.4000000000000003E-3</v>
      </c>
      <c r="F219" s="7">
        <v>442</v>
      </c>
      <c r="G219" s="8">
        <f t="shared" si="14"/>
        <v>0.95676047123541474</v>
      </c>
      <c r="H219" s="9">
        <f t="shared" si="15"/>
        <v>1.0451790114182665E-3</v>
      </c>
      <c r="I219" s="10">
        <f>SUM($H$3:H219)</f>
        <v>0.22553214637291649</v>
      </c>
      <c r="J219" s="23">
        <v>-4.4000000000000003E-3</v>
      </c>
      <c r="Q219" s="7">
        <f t="shared" si="13"/>
        <v>9.2857539070745015E-5</v>
      </c>
      <c r="R219" s="7">
        <f t="shared" si="12"/>
        <v>1.0120765676209201E-3</v>
      </c>
    </row>
    <row r="220" spans="1:18" x14ac:dyDescent="0.25">
      <c r="A220" s="22">
        <v>44886</v>
      </c>
      <c r="B220" s="12">
        <v>198.55</v>
      </c>
      <c r="C220" s="13">
        <v>-6.8999999999999999E-3</v>
      </c>
      <c r="D220" s="7">
        <v>742</v>
      </c>
      <c r="E220" s="7">
        <v>-4.3E-3</v>
      </c>
      <c r="F220" s="7">
        <v>719</v>
      </c>
      <c r="G220" s="8">
        <f t="shared" si="14"/>
        <v>0.93062060774345878</v>
      </c>
      <c r="H220" s="9">
        <f t="shared" si="15"/>
        <v>1.0166234455221829E-3</v>
      </c>
      <c r="I220" s="10">
        <f>SUM($H$3:H220)</f>
        <v>0.22654876981843869</v>
      </c>
      <c r="J220" s="23">
        <v>-4.3E-3</v>
      </c>
      <c r="Q220" s="7">
        <f t="shared" si="13"/>
        <v>9.2866825753320337E-5</v>
      </c>
      <c r="R220" s="7">
        <f t="shared" si="12"/>
        <v>1.0121777853994601E-3</v>
      </c>
    </row>
    <row r="221" spans="1:18" x14ac:dyDescent="0.25">
      <c r="A221" s="22">
        <v>44887</v>
      </c>
      <c r="B221" s="12">
        <v>199.23</v>
      </c>
      <c r="C221" s="13">
        <v>3.3999999999999998E-3</v>
      </c>
      <c r="D221" s="7">
        <v>741</v>
      </c>
      <c r="E221" s="7">
        <v>-4.3E-3</v>
      </c>
      <c r="F221" s="7">
        <v>662</v>
      </c>
      <c r="G221" s="8">
        <f t="shared" si="14"/>
        <v>0.93594055866522219</v>
      </c>
      <c r="H221" s="9">
        <f t="shared" si="15"/>
        <v>1.0224350370462586E-3</v>
      </c>
      <c r="I221" s="10">
        <f>SUM($H$3:H221)</f>
        <v>0.22757120485548496</v>
      </c>
      <c r="J221" s="23">
        <v>-4.3E-3</v>
      </c>
      <c r="Q221" s="7">
        <f t="shared" si="13"/>
        <v>9.287611336465681E-5</v>
      </c>
      <c r="R221" s="7">
        <f t="shared" si="12"/>
        <v>1.0122790133007902E-3</v>
      </c>
    </row>
    <row r="222" spans="1:18" x14ac:dyDescent="0.25">
      <c r="A222" s="22">
        <v>44888</v>
      </c>
      <c r="B222" s="12">
        <v>199.51</v>
      </c>
      <c r="C222" s="13">
        <v>1.4E-3</v>
      </c>
      <c r="D222" s="7">
        <v>740</v>
      </c>
      <c r="E222" s="7">
        <v>-4.3E-3</v>
      </c>
      <c r="F222" s="7">
        <v>561</v>
      </c>
      <c r="G222" s="8">
        <f t="shared" si="14"/>
        <v>0.94544193455920167</v>
      </c>
      <c r="H222" s="9">
        <f t="shared" si="15"/>
        <v>1.0328144778389576E-3</v>
      </c>
      <c r="I222" s="10">
        <f>SUM($H$3:H222)</f>
        <v>0.22860401933332392</v>
      </c>
      <c r="J222" s="23">
        <v>-4.3E-3</v>
      </c>
      <c r="Q222" s="7">
        <f t="shared" si="13"/>
        <v>9.2885401904847282E-5</v>
      </c>
      <c r="R222" s="7">
        <f t="shared" si="12"/>
        <v>1.0123802513259228E-3</v>
      </c>
    </row>
    <row r="223" spans="1:18" x14ac:dyDescent="0.25">
      <c r="A223" s="22">
        <v>44889</v>
      </c>
      <c r="B223" s="12">
        <v>201.72</v>
      </c>
      <c r="C223" s="13">
        <v>1.11E-2</v>
      </c>
      <c r="D223" s="7">
        <v>739</v>
      </c>
      <c r="E223" s="7">
        <v>-4.3E-3</v>
      </c>
      <c r="F223" s="7">
        <v>170</v>
      </c>
      <c r="G223" s="8">
        <f t="shared" si="14"/>
        <v>0.98314284890742154</v>
      </c>
      <c r="H223" s="9">
        <f t="shared" si="15"/>
        <v>1.0739995033209955E-3</v>
      </c>
      <c r="I223" s="10">
        <f>SUM($H$3:H223)</f>
        <v>0.2296780188366449</v>
      </c>
      <c r="J223" s="23">
        <v>-4.3E-3</v>
      </c>
      <c r="Q223" s="7">
        <f t="shared" si="13"/>
        <v>9.2894691373984683E-5</v>
      </c>
      <c r="R223" s="7">
        <f t="shared" si="12"/>
        <v>1.0124814994758704E-3</v>
      </c>
    </row>
    <row r="224" spans="1:18" x14ac:dyDescent="0.25">
      <c r="A224" s="22">
        <v>44890</v>
      </c>
      <c r="B224" s="12">
        <v>202.35</v>
      </c>
      <c r="C224" s="13">
        <v>3.0999999999999999E-3</v>
      </c>
      <c r="D224" s="7">
        <v>738</v>
      </c>
      <c r="E224" s="7">
        <v>-4.1999999999999997E-3</v>
      </c>
      <c r="F224" s="7">
        <v>248</v>
      </c>
      <c r="G224" s="8">
        <f t="shared" si="14"/>
        <v>0.97550378381215352</v>
      </c>
      <c r="H224" s="9">
        <f t="shared" si="15"/>
        <v>1.0656544778475639E-3</v>
      </c>
      <c r="I224" s="10">
        <f>SUM($H$3:H224)</f>
        <v>0.23074367331449247</v>
      </c>
      <c r="J224" s="23">
        <v>-4.1999999999999997E-3</v>
      </c>
      <c r="Q224" s="7">
        <f t="shared" si="13"/>
        <v>9.2903981772161887E-5</v>
      </c>
      <c r="R224" s="7">
        <f t="shared" si="12"/>
        <v>1.0125827577516452E-3</v>
      </c>
    </row>
    <row r="225" spans="1:18" x14ac:dyDescent="0.25">
      <c r="A225" s="22">
        <v>44893</v>
      </c>
      <c r="B225" s="12">
        <v>203.04</v>
      </c>
      <c r="C225" s="13">
        <v>3.3999999999999998E-3</v>
      </c>
      <c r="D225" s="7">
        <v>737</v>
      </c>
      <c r="E225" s="7">
        <v>-4.1000000000000003E-3</v>
      </c>
      <c r="F225" s="7">
        <v>847</v>
      </c>
      <c r="G225" s="8">
        <f t="shared" si="14"/>
        <v>0.91878398810613138</v>
      </c>
      <c r="H225" s="9">
        <f t="shared" si="15"/>
        <v>1.0036929506041588E-3</v>
      </c>
      <c r="I225" s="10">
        <f>SUM($H$3:H225)</f>
        <v>0.23174736626509662</v>
      </c>
      <c r="J225" s="23">
        <v>-4.1000000000000003E-3</v>
      </c>
      <c r="Q225" s="7">
        <f t="shared" si="13"/>
        <v>9.2913273099471839E-5</v>
      </c>
      <c r="R225" s="7">
        <f t="shared" si="12"/>
        <v>1.0126840261542609E-3</v>
      </c>
    </row>
    <row r="226" spans="1:18" x14ac:dyDescent="0.25">
      <c r="A226" s="22">
        <v>44894</v>
      </c>
      <c r="B226" s="12">
        <v>203.43</v>
      </c>
      <c r="C226" s="13">
        <v>1.9E-3</v>
      </c>
      <c r="D226" s="7">
        <v>736</v>
      </c>
      <c r="E226" s="7">
        <v>-4.1000000000000003E-3</v>
      </c>
      <c r="F226" s="7">
        <v>623</v>
      </c>
      <c r="G226" s="8">
        <f t="shared" si="14"/>
        <v>0.93959803716798462</v>
      </c>
      <c r="H226" s="9">
        <f t="shared" si="15"/>
        <v>1.0264305195946384E-3</v>
      </c>
      <c r="I226" s="10">
        <f>SUM($H$3:H226)</f>
        <v>0.23277379678469126</v>
      </c>
      <c r="J226" s="23">
        <v>-4.1000000000000003E-3</v>
      </c>
      <c r="Q226" s="7">
        <f t="shared" si="13"/>
        <v>9.2922565356007441E-5</v>
      </c>
      <c r="R226" s="7">
        <f t="shared" si="12"/>
        <v>1.0127853046847293E-3</v>
      </c>
    </row>
    <row r="227" spans="1:18" x14ac:dyDescent="0.25">
      <c r="A227" s="22">
        <v>44895</v>
      </c>
      <c r="B227" s="12">
        <v>204.7</v>
      </c>
      <c r="C227" s="13">
        <v>6.1999999999999998E-3</v>
      </c>
      <c r="D227" s="7">
        <v>735</v>
      </c>
      <c r="E227" s="7">
        <v>-4.1000000000000003E-3</v>
      </c>
      <c r="F227" s="7">
        <v>558</v>
      </c>
      <c r="G227" s="8">
        <f t="shared" si="14"/>
        <v>0.94572562387554138</v>
      </c>
      <c r="H227" s="9">
        <f t="shared" si="15"/>
        <v>1.0331243841615078E-3</v>
      </c>
      <c r="I227" s="10">
        <f>SUM($H$3:H227)</f>
        <v>0.23380692116885277</v>
      </c>
      <c r="J227" s="23">
        <v>-4.1000000000000003E-3</v>
      </c>
      <c r="Q227" s="7">
        <f t="shared" si="13"/>
        <v>9.2931858541861609E-5</v>
      </c>
      <c r="R227" s="7">
        <f t="shared" si="12"/>
        <v>1.0128865933440635E-3</v>
      </c>
    </row>
    <row r="228" spans="1:18" x14ac:dyDescent="0.25">
      <c r="A228" s="22">
        <v>44896</v>
      </c>
      <c r="B228" s="12">
        <v>205.54</v>
      </c>
      <c r="C228" s="13">
        <v>4.1000000000000003E-3</v>
      </c>
      <c r="D228" s="7">
        <v>734</v>
      </c>
      <c r="E228" s="7">
        <v>-4.0000000000000001E-3</v>
      </c>
      <c r="F228" s="7">
        <v>606</v>
      </c>
      <c r="G228" s="8">
        <f t="shared" si="14"/>
        <v>0.94119679232709264</v>
      </c>
      <c r="H228" s="9">
        <f t="shared" si="15"/>
        <v>1.0281770229117527E-3</v>
      </c>
      <c r="I228" s="10">
        <f>SUM($H$3:H228)</f>
        <v>0.23483509819176451</v>
      </c>
      <c r="J228" s="23">
        <v>-4.0000000000000001E-3</v>
      </c>
      <c r="Q228" s="7">
        <f t="shared" si="13"/>
        <v>9.2941152657127326E-5</v>
      </c>
      <c r="R228" s="7">
        <f t="shared" si="12"/>
        <v>1.0129878921332769E-3</v>
      </c>
    </row>
    <row r="229" spans="1:18" x14ac:dyDescent="0.25">
      <c r="A229" s="22">
        <v>44897</v>
      </c>
      <c r="B229" s="12">
        <v>204.81</v>
      </c>
      <c r="C229" s="13">
        <v>-3.5999999999999999E-3</v>
      </c>
      <c r="D229" s="7">
        <v>733</v>
      </c>
      <c r="E229" s="7">
        <v>-4.0000000000000001E-3</v>
      </c>
      <c r="F229" s="7">
        <v>599</v>
      </c>
      <c r="G229" s="8">
        <f t="shared" si="14"/>
        <v>0.94185589369590339</v>
      </c>
      <c r="H229" s="9">
        <f t="shared" si="15"/>
        <v>1.0288970348037454E-3</v>
      </c>
      <c r="I229" s="10">
        <f>SUM($H$3:H229)</f>
        <v>0.23586399522656826</v>
      </c>
      <c r="J229" s="23">
        <v>-4.0000000000000001E-3</v>
      </c>
      <c r="Q229" s="7">
        <f t="shared" si="13"/>
        <v>9.295044770189751E-5</v>
      </c>
      <c r="R229" s="7">
        <f t="shared" si="12"/>
        <v>1.0130892010533821E-3</v>
      </c>
    </row>
    <row r="230" spans="1:18" x14ac:dyDescent="0.25">
      <c r="A230" s="22">
        <v>44900</v>
      </c>
      <c r="B230" s="12">
        <v>204.44</v>
      </c>
      <c r="C230" s="13">
        <v>-1.8E-3</v>
      </c>
      <c r="D230" s="7">
        <v>732</v>
      </c>
      <c r="E230" s="7">
        <v>-4.0000000000000001E-3</v>
      </c>
      <c r="F230" s="7">
        <v>105</v>
      </c>
      <c r="G230" s="8">
        <f t="shared" si="14"/>
        <v>0.9895544130170616</v>
      </c>
      <c r="H230" s="9">
        <f t="shared" si="15"/>
        <v>1.0810035889194584E-3</v>
      </c>
      <c r="I230" s="10">
        <f>SUM($H$3:H230)</f>
        <v>0.23694499881548772</v>
      </c>
      <c r="J230" s="23">
        <v>-4.0000000000000001E-3</v>
      </c>
      <c r="Q230" s="7">
        <f t="shared" si="13"/>
        <v>9.2959743676265143E-5</v>
      </c>
      <c r="R230" s="7">
        <f t="shared" si="12"/>
        <v>1.0131905201053927E-3</v>
      </c>
    </row>
    <row r="231" spans="1:18" x14ac:dyDescent="0.25">
      <c r="A231" s="22">
        <v>44901</v>
      </c>
      <c r="B231" s="12">
        <v>204.14</v>
      </c>
      <c r="C231" s="13">
        <v>-1.5E-3</v>
      </c>
      <c r="D231" s="7">
        <v>731</v>
      </c>
      <c r="E231" s="7">
        <v>-3.8999999999999998E-3</v>
      </c>
      <c r="F231" s="7">
        <v>617</v>
      </c>
      <c r="G231" s="8">
        <f t="shared" si="14"/>
        <v>0.94016199335850226</v>
      </c>
      <c r="H231" s="9">
        <f t="shared" si="15"/>
        <v>1.0270465935142972E-3</v>
      </c>
      <c r="I231" s="10">
        <f>SUM($H$3:H231)</f>
        <v>0.23797204540900202</v>
      </c>
      <c r="J231" s="23">
        <v>-3.8999999999999998E-3</v>
      </c>
      <c r="Q231" s="7">
        <f t="shared" si="13"/>
        <v>9.296904058032317E-5</v>
      </c>
      <c r="R231" s="7">
        <f t="shared" si="12"/>
        <v>1.0132918492903216E-3</v>
      </c>
    </row>
    <row r="232" spans="1:18" x14ac:dyDescent="0.25">
      <c r="A232" s="22">
        <v>44902</v>
      </c>
      <c r="B232" s="12">
        <v>202.87</v>
      </c>
      <c r="C232" s="13">
        <v>-6.1999999999999998E-3</v>
      </c>
      <c r="D232" s="7">
        <v>730</v>
      </c>
      <c r="E232" s="7">
        <v>-3.8999999999999998E-3</v>
      </c>
      <c r="F232" s="7">
        <v>407</v>
      </c>
      <c r="G232" s="8">
        <f t="shared" si="14"/>
        <v>0.96011516791680318</v>
      </c>
      <c r="H232" s="9">
        <f t="shared" si="15"/>
        <v>1.0488437307147633E-3</v>
      </c>
      <c r="I232" s="10">
        <f>SUM($H$3:H232)</f>
        <v>0.23902088913971678</v>
      </c>
      <c r="J232" s="23">
        <v>-3.8999999999999998E-3</v>
      </c>
      <c r="Q232" s="7">
        <f t="shared" si="13"/>
        <v>9.2978338414164587E-5</v>
      </c>
      <c r="R232" s="7">
        <f t="shared" si="12"/>
        <v>1.0133931886091825E-3</v>
      </c>
    </row>
    <row r="233" spans="1:18" x14ac:dyDescent="0.25">
      <c r="A233" s="22">
        <v>44903</v>
      </c>
      <c r="B233" s="12">
        <v>203.62</v>
      </c>
      <c r="C233" s="13">
        <v>3.7000000000000002E-3</v>
      </c>
      <c r="D233" s="7">
        <v>729</v>
      </c>
      <c r="E233" s="7">
        <v>-3.8E-3</v>
      </c>
      <c r="F233" s="7">
        <v>533</v>
      </c>
      <c r="G233" s="8">
        <f t="shared" si="14"/>
        <v>0.94809301431169213</v>
      </c>
      <c r="H233" s="9">
        <f t="shared" si="15"/>
        <v>1.0357105558001648E-3</v>
      </c>
      <c r="I233" s="10">
        <f>SUM($H$3:H233)</f>
        <v>0.24005659969551693</v>
      </c>
      <c r="J233" s="23">
        <v>-3.8E-3</v>
      </c>
      <c r="Q233" s="7">
        <f t="shared" si="13"/>
        <v>9.2987637177882365E-5</v>
      </c>
      <c r="R233" s="7">
        <f t="shared" si="12"/>
        <v>1.0134945380629889E-3</v>
      </c>
    </row>
    <row r="234" spans="1:18" x14ac:dyDescent="0.25">
      <c r="A234" s="22">
        <v>44904</v>
      </c>
      <c r="B234" s="12">
        <v>202.48</v>
      </c>
      <c r="C234" s="13">
        <v>-5.5999999999999999E-3</v>
      </c>
      <c r="D234" s="7">
        <v>728</v>
      </c>
      <c r="E234" s="7">
        <v>-3.8E-3</v>
      </c>
      <c r="F234" s="7">
        <v>267</v>
      </c>
      <c r="G234" s="8">
        <f t="shared" si="14"/>
        <v>0.97365199378949607</v>
      </c>
      <c r="H234" s="9">
        <f t="shared" si="15"/>
        <v>1.0636315555766049E-3</v>
      </c>
      <c r="I234" s="10">
        <f>SUM($H$3:H234)</f>
        <v>0.24112023125109353</v>
      </c>
      <c r="J234" s="23">
        <v>-3.8E-3</v>
      </c>
      <c r="Q234" s="7">
        <f t="shared" si="13"/>
        <v>9.2996936871569529E-5</v>
      </c>
      <c r="R234" s="7">
        <f t="shared" si="12"/>
        <v>1.0135958976527542E-3</v>
      </c>
    </row>
    <row r="235" spans="1:18" x14ac:dyDescent="0.25">
      <c r="A235" s="22">
        <v>44907</v>
      </c>
      <c r="B235" s="12">
        <v>202.61</v>
      </c>
      <c r="C235" s="13">
        <v>5.9999999999999995E-4</v>
      </c>
      <c r="D235" s="7">
        <v>727</v>
      </c>
      <c r="E235" s="7">
        <v>-3.7000000000000002E-3</v>
      </c>
      <c r="F235" s="7">
        <v>713</v>
      </c>
      <c r="G235" s="8">
        <f t="shared" si="14"/>
        <v>0.93117917559055874</v>
      </c>
      <c r="H235" s="9">
        <f t="shared" si="15"/>
        <v>1.0172336331373633E-3</v>
      </c>
      <c r="I235" s="10">
        <f>SUM($H$3:H235)</f>
        <v>0.24213746488423088</v>
      </c>
      <c r="J235" s="23">
        <v>-3.7000000000000002E-3</v>
      </c>
      <c r="Q235" s="7">
        <f t="shared" si="13"/>
        <v>9.3006237495319062E-5</v>
      </c>
      <c r="R235" s="7">
        <f t="shared" si="12"/>
        <v>1.0136972673794921E-3</v>
      </c>
    </row>
    <row r="236" spans="1:18" x14ac:dyDescent="0.25">
      <c r="A236" s="22">
        <v>44908</v>
      </c>
      <c r="B236" s="12">
        <v>203.77</v>
      </c>
      <c r="C236" s="13">
        <v>5.7000000000000002E-3</v>
      </c>
      <c r="D236" s="7">
        <v>726</v>
      </c>
      <c r="E236" s="7">
        <v>-3.7000000000000002E-3</v>
      </c>
      <c r="F236" s="7">
        <v>622</v>
      </c>
      <c r="G236" s="8">
        <f t="shared" si="14"/>
        <v>0.93969200636862149</v>
      </c>
      <c r="H236" s="9">
        <f t="shared" si="15"/>
        <v>1.0265331729119296E-3</v>
      </c>
      <c r="I236" s="10">
        <f>SUM($H$3:H236)</f>
        <v>0.24316399805714281</v>
      </c>
      <c r="J236" s="23">
        <v>-3.7000000000000002E-3</v>
      </c>
      <c r="Q236" s="7">
        <f t="shared" si="13"/>
        <v>9.3015539049223975E-5</v>
      </c>
      <c r="R236" s="7">
        <f t="shared" si="12"/>
        <v>1.0137986472442166E-3</v>
      </c>
    </row>
    <row r="237" spans="1:18" x14ac:dyDescent="0.25">
      <c r="A237" s="22">
        <v>44909</v>
      </c>
      <c r="B237" s="12">
        <v>204.35</v>
      </c>
      <c r="C237" s="13">
        <v>2.8E-3</v>
      </c>
      <c r="D237" s="7">
        <v>725</v>
      </c>
      <c r="E237" s="7">
        <v>-3.7000000000000002E-3</v>
      </c>
      <c r="F237" s="7">
        <v>94</v>
      </c>
      <c r="G237" s="8">
        <f t="shared" si="14"/>
        <v>0.99064357626040445</v>
      </c>
      <c r="H237" s="9">
        <f t="shared" si="15"/>
        <v>1.0821934066389135E-3</v>
      </c>
      <c r="I237" s="10">
        <f>SUM($H$3:H237)</f>
        <v>0.24424619146378174</v>
      </c>
      <c r="J237" s="23">
        <v>-3.7000000000000002E-3</v>
      </c>
      <c r="Q237" s="7">
        <f t="shared" si="13"/>
        <v>9.3024841533377307E-5</v>
      </c>
      <c r="R237" s="7">
        <f t="shared" si="12"/>
        <v>1.0139000372479411E-3</v>
      </c>
    </row>
    <row r="238" spans="1:18" x14ac:dyDescent="0.25">
      <c r="A238" s="22">
        <v>44910</v>
      </c>
      <c r="B238" s="12">
        <v>201.58</v>
      </c>
      <c r="C238" s="13">
        <v>-1.3599999999999999E-2</v>
      </c>
      <c r="D238" s="7">
        <v>724</v>
      </c>
      <c r="E238" s="7">
        <v>-3.7000000000000002E-3</v>
      </c>
      <c r="F238" s="7">
        <v>32</v>
      </c>
      <c r="G238" s="8">
        <f t="shared" si="14"/>
        <v>0.99680495504359479</v>
      </c>
      <c r="H238" s="9">
        <f t="shared" si="15"/>
        <v>1.0889241861591764E-3</v>
      </c>
      <c r="I238" s="10">
        <f>SUM($H$3:H238)</f>
        <v>0.24533511564994093</v>
      </c>
      <c r="J238" s="23">
        <v>-3.7000000000000002E-3</v>
      </c>
      <c r="Q238" s="7">
        <f t="shared" si="13"/>
        <v>9.3034144947872096E-5</v>
      </c>
      <c r="R238" s="7">
        <f t="shared" si="12"/>
        <v>1.0140014373916804E-3</v>
      </c>
    </row>
    <row r="239" spans="1:18" x14ac:dyDescent="0.25">
      <c r="A239" s="22">
        <v>44911</v>
      </c>
      <c r="B239" s="12">
        <v>200.16</v>
      </c>
      <c r="C239" s="13">
        <v>-7.0000000000000001E-3</v>
      </c>
      <c r="D239" s="7">
        <v>723</v>
      </c>
      <c r="E239" s="7">
        <v>-3.5999999999999999E-3</v>
      </c>
      <c r="F239" s="7">
        <v>733</v>
      </c>
      <c r="G239" s="8">
        <f t="shared" si="14"/>
        <v>0.92931858541871848</v>
      </c>
      <c r="H239" s="9">
        <f t="shared" si="15"/>
        <v>1.0152010974558384E-3</v>
      </c>
      <c r="I239" s="10">
        <f>SUM($H$3:H239)</f>
        <v>0.24635031674739677</v>
      </c>
      <c r="J239" s="23">
        <v>-3.5999999999999999E-3</v>
      </c>
      <c r="Q239" s="7">
        <f t="shared" si="13"/>
        <v>9.3043449292801378E-5</v>
      </c>
      <c r="R239" s="7">
        <f t="shared" si="12"/>
        <v>1.0141028476764479E-3</v>
      </c>
    </row>
    <row r="240" spans="1:18" x14ac:dyDescent="0.25">
      <c r="A240" s="22">
        <v>44914</v>
      </c>
      <c r="B240" s="12">
        <v>201.67</v>
      </c>
      <c r="C240" s="13">
        <v>7.4999999999999997E-3</v>
      </c>
      <c r="D240" s="7">
        <v>722</v>
      </c>
      <c r="E240" s="7">
        <v>-3.5999999999999999E-3</v>
      </c>
      <c r="F240" s="7">
        <v>678</v>
      </c>
      <c r="G240" s="8">
        <f t="shared" si="14"/>
        <v>0.93444417637607236</v>
      </c>
      <c r="H240" s="9">
        <f t="shared" si="15"/>
        <v>1.0208003673366521E-3</v>
      </c>
      <c r="I240" s="10">
        <f>SUM($H$3:H240)</f>
        <v>0.24737111711473342</v>
      </c>
      <c r="J240" s="23">
        <v>-3.5999999999999999E-3</v>
      </c>
      <c r="Q240" s="7">
        <f t="shared" si="13"/>
        <v>9.3052754568258194E-5</v>
      </c>
      <c r="R240" s="7">
        <f t="shared" si="12"/>
        <v>1.0142042681032582E-3</v>
      </c>
    </row>
    <row r="241" spans="1:18" x14ac:dyDescent="0.25">
      <c r="A241" s="22">
        <v>44915</v>
      </c>
      <c r="B241" s="12">
        <v>201.21</v>
      </c>
      <c r="C241" s="13">
        <v>-2.3E-3</v>
      </c>
      <c r="D241" s="7">
        <v>721</v>
      </c>
      <c r="E241" s="7">
        <v>-3.5999999999999999E-3</v>
      </c>
      <c r="F241" s="7">
        <v>632</v>
      </c>
      <c r="G241" s="8">
        <f t="shared" si="14"/>
        <v>0.93875273711091256</v>
      </c>
      <c r="H241" s="9">
        <f t="shared" si="15"/>
        <v>1.0255071015557833E-3</v>
      </c>
      <c r="I241" s="10">
        <f>SUM($H$3:H241)</f>
        <v>0.24839662421628919</v>
      </c>
      <c r="J241" s="23">
        <v>-3.5999999999999999E-3</v>
      </c>
      <c r="Q241" s="7">
        <f t="shared" si="13"/>
        <v>9.3062060774335635E-5</v>
      </c>
      <c r="R241" s="7">
        <f t="shared" si="12"/>
        <v>1.0143056986731257E-3</v>
      </c>
    </row>
    <row r="242" spans="1:18" x14ac:dyDescent="0.25">
      <c r="A242" s="22">
        <v>44916</v>
      </c>
      <c r="B242" s="12">
        <v>199.4</v>
      </c>
      <c r="C242" s="13">
        <v>-8.9999999999999993E-3</v>
      </c>
      <c r="D242" s="7">
        <v>720</v>
      </c>
      <c r="E242" s="7">
        <v>-3.5999999999999999E-3</v>
      </c>
      <c r="F242" s="7">
        <v>621</v>
      </c>
      <c r="G242" s="8">
        <f t="shared" si="14"/>
        <v>0.93978598496711807</v>
      </c>
      <c r="H242" s="9">
        <f t="shared" si="15"/>
        <v>1.0266358364955791E-3</v>
      </c>
      <c r="I242" s="10">
        <f>SUM($H$3:H242)</f>
        <v>0.24942326005278476</v>
      </c>
      <c r="J242" s="23">
        <v>-3.5999999999999999E-3</v>
      </c>
      <c r="Q242" s="7">
        <f t="shared" si="13"/>
        <v>9.3071367911126739E-5</v>
      </c>
      <c r="R242" s="7">
        <f t="shared" si="12"/>
        <v>1.0144071393870643E-3</v>
      </c>
    </row>
    <row r="243" spans="1:18" x14ac:dyDescent="0.25">
      <c r="A243" s="22">
        <v>44917</v>
      </c>
      <c r="B243" s="12">
        <v>198.55</v>
      </c>
      <c r="C243" s="13">
        <v>-4.3E-3</v>
      </c>
      <c r="D243" s="7">
        <v>719</v>
      </c>
      <c r="E243" s="7">
        <v>-3.5999999999999999E-3</v>
      </c>
      <c r="F243" s="7">
        <v>548</v>
      </c>
      <c r="G243" s="8">
        <f t="shared" si="14"/>
        <v>0.94667186985663698</v>
      </c>
      <c r="H243" s="9">
        <f t="shared" si="15"/>
        <v>1.0341580769914415E-3</v>
      </c>
      <c r="I243" s="10">
        <f>SUM($H$3:H243)</f>
        <v>0.25045741812977618</v>
      </c>
      <c r="J243" s="23">
        <v>-3.5999999999999999E-3</v>
      </c>
      <c r="Q243" s="7">
        <f t="shared" si="13"/>
        <v>9.3080675978724598E-5</v>
      </c>
      <c r="R243" s="7">
        <f t="shared" si="12"/>
        <v>1.0145085902460887E-3</v>
      </c>
    </row>
    <row r="244" spans="1:18" x14ac:dyDescent="0.25">
      <c r="A244" s="22">
        <v>44918</v>
      </c>
      <c r="B244" s="12">
        <v>195.15</v>
      </c>
      <c r="C244" s="13">
        <v>-1.7100000000000001E-2</v>
      </c>
      <c r="D244" s="7">
        <v>718</v>
      </c>
      <c r="E244" s="7">
        <v>-3.5999999999999999E-3</v>
      </c>
      <c r="F244" s="7">
        <v>479</v>
      </c>
      <c r="G244" s="8">
        <f t="shared" si="14"/>
        <v>0.953226822088869</v>
      </c>
      <c r="H244" s="9">
        <f t="shared" si="15"/>
        <v>1.0413188018540936E-3</v>
      </c>
      <c r="I244" s="10">
        <f>SUM($H$3:H244)</f>
        <v>0.25149873693163027</v>
      </c>
      <c r="J244" s="23">
        <v>-3.5999999999999999E-3</v>
      </c>
      <c r="Q244" s="7">
        <f t="shared" si="13"/>
        <v>9.3089984977222319E-5</v>
      </c>
      <c r="R244" s="7">
        <f t="shared" si="12"/>
        <v>1.0146100512512138E-3</v>
      </c>
    </row>
    <row r="245" spans="1:18" x14ac:dyDescent="0.25">
      <c r="A245" s="22">
        <v>44921</v>
      </c>
      <c r="B245" s="12">
        <v>197.23</v>
      </c>
      <c r="C245" s="13">
        <v>1.0699999999999999E-2</v>
      </c>
      <c r="D245" s="7">
        <v>717</v>
      </c>
      <c r="E245" s="7">
        <v>-3.5999999999999999E-3</v>
      </c>
      <c r="F245" s="7">
        <v>453</v>
      </c>
      <c r="G245" s="8">
        <f t="shared" si="14"/>
        <v>0.95570856077748134</v>
      </c>
      <c r="H245" s="9">
        <f t="shared" si="15"/>
        <v>1.0440298891817431E-3</v>
      </c>
      <c r="I245" s="10">
        <f>SUM($H$3:H245)</f>
        <v>0.252542766820812</v>
      </c>
      <c r="J245" s="23">
        <v>-3.5999999999999999E-3</v>
      </c>
      <c r="Q245" s="7">
        <f t="shared" si="13"/>
        <v>9.3099294906712993E-5</v>
      </c>
      <c r="R245" s="7">
        <f t="shared" si="12"/>
        <v>1.0147115224034542E-3</v>
      </c>
    </row>
    <row r="246" spans="1:18" x14ac:dyDescent="0.25">
      <c r="A246" s="22">
        <v>44922</v>
      </c>
      <c r="B246" s="12">
        <v>198</v>
      </c>
      <c r="C246" s="13">
        <v>3.8999999999999998E-3</v>
      </c>
      <c r="D246" s="7">
        <v>716</v>
      </c>
      <c r="E246" s="7">
        <v>-3.5999999999999999E-3</v>
      </c>
      <c r="F246" s="7">
        <v>264</v>
      </c>
      <c r="G246" s="8">
        <f t="shared" si="14"/>
        <v>0.97394414781649041</v>
      </c>
      <c r="H246" s="9">
        <f t="shared" si="15"/>
        <v>1.063950708871809E-3</v>
      </c>
      <c r="I246" s="10">
        <f>SUM($H$3:H246)</f>
        <v>0.25360671752968383</v>
      </c>
      <c r="J246" s="23">
        <v>-3.5999999999999999E-3</v>
      </c>
      <c r="Q246" s="7">
        <f t="shared" si="13"/>
        <v>9.3108605767289727E-5</v>
      </c>
      <c r="R246" s="7">
        <f t="shared" si="12"/>
        <v>1.0148130037038246E-3</v>
      </c>
    </row>
    <row r="247" spans="1:18" x14ac:dyDescent="0.25">
      <c r="A247" s="22">
        <v>44923</v>
      </c>
      <c r="B247" s="12">
        <v>197.99</v>
      </c>
      <c r="C247" s="13">
        <v>-1E-4</v>
      </c>
      <c r="D247" s="7">
        <v>715</v>
      </c>
      <c r="E247" s="7">
        <v>-3.5999999999999999E-3</v>
      </c>
      <c r="F247" s="7">
        <v>206</v>
      </c>
      <c r="G247" s="8">
        <f t="shared" si="14"/>
        <v>0.9796097214374514</v>
      </c>
      <c r="H247" s="9">
        <f t="shared" si="15"/>
        <v>1.0701398636438779E-3</v>
      </c>
      <c r="I247" s="10">
        <f>SUM($H$3:H247)</f>
        <v>0.25467685739332774</v>
      </c>
      <c r="J247" s="23">
        <v>-3.5999999999999999E-3</v>
      </c>
      <c r="Q247" s="7">
        <f t="shared" si="13"/>
        <v>9.3117917559045613E-5</v>
      </c>
      <c r="R247" s="7">
        <f t="shared" si="12"/>
        <v>1.0149144951533398E-3</v>
      </c>
    </row>
    <row r="248" spans="1:18" x14ac:dyDescent="0.25">
      <c r="A248" s="22">
        <v>44924</v>
      </c>
      <c r="B248" s="12">
        <v>198.78</v>
      </c>
      <c r="C248" s="13">
        <v>4.0000000000000001E-3</v>
      </c>
      <c r="D248" s="7">
        <v>714</v>
      </c>
      <c r="E248" s="7">
        <v>-3.5999999999999999E-3</v>
      </c>
      <c r="F248" s="7">
        <v>126</v>
      </c>
      <c r="G248" s="8">
        <f t="shared" si="14"/>
        <v>0.98747842549847853</v>
      </c>
      <c r="H248" s="9">
        <f t="shared" si="15"/>
        <v>1.0787357500531771E-3</v>
      </c>
      <c r="I248" s="10">
        <f>SUM($H$3:H248)</f>
        <v>0.25575559314338092</v>
      </c>
      <c r="J248" s="23">
        <v>-3.5999999999999999E-3</v>
      </c>
      <c r="Q248" s="7">
        <f t="shared" si="13"/>
        <v>9.3127230282073824E-5</v>
      </c>
      <c r="R248" s="7">
        <f t="shared" si="12"/>
        <v>1.0150159967530152E-3</v>
      </c>
    </row>
    <row r="249" spans="1:18" x14ac:dyDescent="0.25">
      <c r="A249" s="22">
        <v>44925</v>
      </c>
      <c r="B249" s="12">
        <v>198.04</v>
      </c>
      <c r="C249" s="13">
        <v>-3.7000000000000002E-3</v>
      </c>
      <c r="D249" s="7">
        <v>713</v>
      </c>
      <c r="E249" s="7">
        <v>-3.5999999999999999E-3</v>
      </c>
      <c r="F249" s="7">
        <v>27</v>
      </c>
      <c r="G249" s="8">
        <f t="shared" si="14"/>
        <v>0.99730350707675486</v>
      </c>
      <c r="H249" s="9">
        <f t="shared" si="15"/>
        <v>1.0894688116290037E-3</v>
      </c>
      <c r="I249" s="10">
        <f>SUM($H$3:H249)</f>
        <v>0.25684506195500995</v>
      </c>
      <c r="J249" s="23">
        <v>-3.5999999999999999E-3</v>
      </c>
      <c r="Q249" s="7">
        <f t="shared" si="13"/>
        <v>9.3136543936467479E-5</v>
      </c>
      <c r="R249" s="7">
        <f t="shared" si="12"/>
        <v>1.0151175085038656E-3</v>
      </c>
    </row>
    <row r="250" spans="1:18" x14ac:dyDescent="0.25">
      <c r="A250" s="22">
        <v>44928</v>
      </c>
      <c r="B250" s="12">
        <v>199.34</v>
      </c>
      <c r="C250" s="13">
        <v>6.6E-3</v>
      </c>
      <c r="D250" s="7">
        <v>712</v>
      </c>
      <c r="E250" s="7">
        <v>-3.5000000000000001E-3</v>
      </c>
      <c r="F250" s="7">
        <v>787</v>
      </c>
      <c r="G250" s="8">
        <f t="shared" si="14"/>
        <v>0.9243135405849584</v>
      </c>
      <c r="H250" s="9">
        <f t="shared" si="15"/>
        <v>1.0097335139083088E-3</v>
      </c>
      <c r="I250" s="10">
        <f>SUM($H$3:H250)</f>
        <v>0.25785479546891826</v>
      </c>
      <c r="J250" s="23">
        <v>-3.5000000000000001E-3</v>
      </c>
      <c r="Q250" s="7">
        <f t="shared" si="13"/>
        <v>9.31458585223197E-5</v>
      </c>
      <c r="R250" s="7">
        <f t="shared" si="12"/>
        <v>1.0152190304069061E-3</v>
      </c>
    </row>
    <row r="251" spans="1:18" x14ac:dyDescent="0.25">
      <c r="A251" s="22">
        <v>44929</v>
      </c>
      <c r="B251" s="12">
        <v>199.68</v>
      </c>
      <c r="C251" s="13">
        <v>1.6999999999999999E-3</v>
      </c>
      <c r="D251" s="7">
        <v>711</v>
      </c>
      <c r="E251" s="7">
        <v>-3.5000000000000001E-3</v>
      </c>
      <c r="F251" s="7">
        <v>759</v>
      </c>
      <c r="G251" s="8">
        <f t="shared" si="14"/>
        <v>0.9269053749671935</v>
      </c>
      <c r="H251" s="9">
        <f t="shared" si="15"/>
        <v>1.0125648713680149E-3</v>
      </c>
      <c r="I251" s="10">
        <f>SUM($H$3:H251)</f>
        <v>0.25886736034028629</v>
      </c>
      <c r="J251" s="23">
        <v>-3.5000000000000001E-3</v>
      </c>
      <c r="Q251" s="7">
        <f t="shared" si="13"/>
        <v>9.3155174039723685E-5</v>
      </c>
      <c r="R251" s="7">
        <f t="shared" si="12"/>
        <v>1.0153205624631526E-3</v>
      </c>
    </row>
    <row r="252" spans="1:18" x14ac:dyDescent="0.25">
      <c r="A252" s="22">
        <v>44930</v>
      </c>
      <c r="B252" s="12">
        <v>197.67</v>
      </c>
      <c r="C252" s="13">
        <v>-1.01E-2</v>
      </c>
      <c r="D252" s="7">
        <v>710</v>
      </c>
      <c r="E252" s="7">
        <v>-3.5000000000000001E-3</v>
      </c>
      <c r="F252" s="7">
        <v>642</v>
      </c>
      <c r="G252" s="8">
        <f t="shared" si="14"/>
        <v>0.93781440669990301</v>
      </c>
      <c r="H252" s="9">
        <f t="shared" si="15"/>
        <v>1.0244820558093842E-3</v>
      </c>
      <c r="I252" s="10">
        <f>SUM($H$3:H252)</f>
        <v>0.2598918423960957</v>
      </c>
      <c r="J252" s="23">
        <v>-3.5000000000000001E-3</v>
      </c>
      <c r="Q252" s="7">
        <f t="shared" si="13"/>
        <v>9.3164490488772554E-5</v>
      </c>
      <c r="R252" s="7">
        <f t="shared" si="12"/>
        <v>1.0154221046736198E-3</v>
      </c>
    </row>
    <row r="253" spans="1:18" x14ac:dyDescent="0.25">
      <c r="A253" s="22">
        <v>44931</v>
      </c>
      <c r="B253" s="12">
        <v>197.07</v>
      </c>
      <c r="C253" s="13">
        <v>-3.0000000000000001E-3</v>
      </c>
      <c r="D253" s="7">
        <v>709</v>
      </c>
      <c r="E253" s="7">
        <v>-3.5000000000000001E-3</v>
      </c>
      <c r="F253" s="7">
        <v>211</v>
      </c>
      <c r="G253" s="8">
        <f t="shared" si="14"/>
        <v>0.97912001452790931</v>
      </c>
      <c r="H253" s="9">
        <f t="shared" si="15"/>
        <v>1.0696049007153415E-3</v>
      </c>
      <c r="I253" s="10">
        <f>SUM($H$3:H253)</f>
        <v>0.26096144729681103</v>
      </c>
      <c r="J253" s="23">
        <v>-3.5000000000000001E-3</v>
      </c>
      <c r="Q253" s="7">
        <f t="shared" si="13"/>
        <v>9.3173807869559509E-5</v>
      </c>
      <c r="R253" s="7">
        <f t="shared" si="12"/>
        <v>1.0155236570393237E-3</v>
      </c>
    </row>
    <row r="254" spans="1:18" x14ac:dyDescent="0.25">
      <c r="A254" s="22">
        <v>44932</v>
      </c>
      <c r="B254" s="12">
        <v>195.72</v>
      </c>
      <c r="C254" s="13">
        <v>-6.8999999999999999E-3</v>
      </c>
      <c r="D254" s="7">
        <v>708</v>
      </c>
      <c r="E254" s="7">
        <v>-3.3999999999999998E-3</v>
      </c>
      <c r="F254" s="7">
        <v>835</v>
      </c>
      <c r="G254" s="8">
        <f t="shared" si="14"/>
        <v>0.91988724587793202</v>
      </c>
      <c r="H254" s="9">
        <f t="shared" si="15"/>
        <v>1.0048981653908663E-3</v>
      </c>
      <c r="I254" s="10">
        <f>SUM($H$3:H254)</f>
        <v>0.26196634546220188</v>
      </c>
      <c r="J254" s="23">
        <v>-3.3999999999999998E-3</v>
      </c>
      <c r="Q254" s="7">
        <f t="shared" si="13"/>
        <v>9.3183126182177722E-5</v>
      </c>
      <c r="R254" s="7">
        <f t="shared" si="12"/>
        <v>1.0156252195612798E-3</v>
      </c>
    </row>
    <row r="255" spans="1:18" x14ac:dyDescent="0.25">
      <c r="A255" s="22">
        <v>44935</v>
      </c>
      <c r="B255" s="12">
        <v>198.28</v>
      </c>
      <c r="C255" s="13">
        <v>1.3100000000000001E-2</v>
      </c>
      <c r="D255" s="7">
        <v>707</v>
      </c>
      <c r="E255" s="7">
        <v>-3.3999999999999998E-3</v>
      </c>
      <c r="F255" s="7">
        <v>612</v>
      </c>
      <c r="G255" s="8">
        <f t="shared" si="14"/>
        <v>0.94063221541239272</v>
      </c>
      <c r="H255" s="9">
        <f t="shared" si="15"/>
        <v>1.027560270903997E-3</v>
      </c>
      <c r="I255" s="10">
        <f>SUM($H$3:H255)</f>
        <v>0.26299390573310588</v>
      </c>
      <c r="J255" s="23">
        <v>-3.3999999999999998E-3</v>
      </c>
      <c r="Q255" s="7">
        <f t="shared" si="13"/>
        <v>9.3192445426720395E-5</v>
      </c>
      <c r="R255" s="7">
        <f t="shared" si="12"/>
        <v>1.0157267922405039E-3</v>
      </c>
    </row>
    <row r="256" spans="1:18" x14ac:dyDescent="0.25">
      <c r="A256" s="22">
        <v>44936</v>
      </c>
      <c r="B256" s="12">
        <v>196.13</v>
      </c>
      <c r="C256" s="13">
        <v>-1.0800000000000001E-2</v>
      </c>
      <c r="D256" s="7">
        <v>706</v>
      </c>
      <c r="E256" s="7">
        <v>-3.3999999999999998E-3</v>
      </c>
      <c r="F256" s="7">
        <v>575</v>
      </c>
      <c r="G256" s="8">
        <f t="shared" si="14"/>
        <v>0.94411917585893346</v>
      </c>
      <c r="H256" s="9">
        <f t="shared" si="15"/>
        <v>1.0313694770553174E-3</v>
      </c>
      <c r="I256" s="10">
        <f>SUM($H$3:H256)</f>
        <v>0.26402527521016123</v>
      </c>
      <c r="J256" s="23">
        <v>-3.3999999999999998E-3</v>
      </c>
      <c r="Q256" s="7">
        <f t="shared" si="13"/>
        <v>9.3201765603280714E-5</v>
      </c>
      <c r="R256" s="7">
        <f t="shared" si="12"/>
        <v>1.0158283750780117E-3</v>
      </c>
    </row>
    <row r="257" spans="1:18" x14ac:dyDescent="0.25">
      <c r="A257" s="22">
        <v>44937</v>
      </c>
      <c r="B257" s="12">
        <v>196.13</v>
      </c>
      <c r="C257" s="13">
        <v>0</v>
      </c>
      <c r="D257" s="7">
        <v>705</v>
      </c>
      <c r="E257" s="7">
        <v>-3.3999999999999998E-3</v>
      </c>
      <c r="F257" s="7">
        <v>455</v>
      </c>
      <c r="G257" s="8">
        <f t="shared" si="14"/>
        <v>0.95551742862241151</v>
      </c>
      <c r="H257" s="9">
        <f t="shared" si="15"/>
        <v>1.0438210936442058E-3</v>
      </c>
      <c r="I257" s="10">
        <f>SUM($H$3:H257)</f>
        <v>0.26506909630380543</v>
      </c>
      <c r="J257" s="23">
        <v>-3.3999999999999998E-3</v>
      </c>
      <c r="Q257" s="7">
        <f t="shared" si="13"/>
        <v>9.3211086711951908E-5</v>
      </c>
      <c r="R257" s="7">
        <f t="shared" si="12"/>
        <v>1.0159299680748191E-3</v>
      </c>
    </row>
    <row r="258" spans="1:18" x14ac:dyDescent="0.25">
      <c r="A258" s="22">
        <v>44938</v>
      </c>
      <c r="B258" s="12">
        <v>195.61</v>
      </c>
      <c r="C258" s="13">
        <v>-2.7000000000000001E-3</v>
      </c>
      <c r="D258" s="7">
        <v>704</v>
      </c>
      <c r="E258" s="7">
        <v>-3.3999999999999998E-3</v>
      </c>
      <c r="F258" s="7">
        <v>0</v>
      </c>
      <c r="G258" s="8">
        <f t="shared" si="14"/>
        <v>1</v>
      </c>
      <c r="H258" s="9">
        <f t="shared" si="15"/>
        <v>1.0924144995964158E-3</v>
      </c>
      <c r="I258" s="10">
        <f>SUM($H$3:H258)</f>
        <v>0.26616151080340184</v>
      </c>
      <c r="J258" s="23">
        <v>-3.3999999999999998E-3</v>
      </c>
      <c r="Q258" s="7">
        <f t="shared" si="13"/>
        <v>9.3220408752827205E-5</v>
      </c>
      <c r="R258" s="7">
        <f t="shared" ref="R258:R321" si="16">Q258/$U$2</f>
        <v>1.0160315712319425E-3</v>
      </c>
    </row>
    <row r="259" spans="1:18" x14ac:dyDescent="0.25">
      <c r="A259" s="22">
        <v>44939</v>
      </c>
      <c r="B259" s="12">
        <v>196.61</v>
      </c>
      <c r="C259" s="13">
        <v>5.1000000000000004E-3</v>
      </c>
      <c r="D259" s="7">
        <v>703</v>
      </c>
      <c r="E259" s="7">
        <v>-3.3E-3</v>
      </c>
      <c r="F259" s="7">
        <v>897</v>
      </c>
      <c r="G259" s="8">
        <f t="shared" si="14"/>
        <v>0.91420130528243015</v>
      </c>
      <c r="H259" s="9">
        <f t="shared" si="15"/>
        <v>9.9868676144049609E-4</v>
      </c>
      <c r="I259" s="10">
        <f>SUM($H$3:H259)</f>
        <v>0.26716019756484233</v>
      </c>
      <c r="J259" s="23">
        <v>-3.3E-3</v>
      </c>
      <c r="Q259" s="7">
        <f t="shared" ref="Q259:Q322" si="17">(1-$N$3) * $N$3^(D260-1)</f>
        <v>9.3229731725999777E-5</v>
      </c>
      <c r="R259" s="7">
        <f t="shared" si="16"/>
        <v>1.0161331845503971E-3</v>
      </c>
    </row>
    <row r="260" spans="1:18" x14ac:dyDescent="0.25">
      <c r="A260" s="22">
        <v>44942</v>
      </c>
      <c r="B260" s="12">
        <v>196.06</v>
      </c>
      <c r="C260" s="13">
        <v>-2.8E-3</v>
      </c>
      <c r="D260" s="7">
        <v>702</v>
      </c>
      <c r="E260" s="7">
        <v>-3.3E-3</v>
      </c>
      <c r="F260" s="7">
        <v>850</v>
      </c>
      <c r="G260" s="8">
        <f t="shared" ref="G260:G323" si="18">$N$3^F260</f>
        <v>0.91850838047230032</v>
      </c>
      <c r="H260" s="9">
        <f t="shared" ref="H260:H323" si="19">G260/$N$4</f>
        <v>1.0033918728287624E-3</v>
      </c>
      <c r="I260" s="10">
        <f>SUM($H$3:H260)</f>
        <v>0.2681635894376711</v>
      </c>
      <c r="J260" s="23">
        <v>-3.3E-3</v>
      </c>
      <c r="Q260" s="7">
        <f t="shared" si="17"/>
        <v>9.3239055631562934E-5</v>
      </c>
      <c r="R260" s="7">
        <f t="shared" si="16"/>
        <v>1.0162348080312003E-3</v>
      </c>
    </row>
    <row r="261" spans="1:18" x14ac:dyDescent="0.25">
      <c r="A261" s="22">
        <v>44943</v>
      </c>
      <c r="B261" s="12">
        <v>197.47</v>
      </c>
      <c r="C261" s="13">
        <v>7.1999999999999998E-3</v>
      </c>
      <c r="D261" s="7">
        <v>701</v>
      </c>
      <c r="E261" s="7">
        <v>-3.3E-3</v>
      </c>
      <c r="F261" s="7">
        <v>744</v>
      </c>
      <c r="G261" s="8">
        <f t="shared" si="18"/>
        <v>0.92829684594667328</v>
      </c>
      <c r="H261" s="9">
        <f t="shared" si="19"/>
        <v>1.0140849344417663E-3</v>
      </c>
      <c r="I261" s="10">
        <f>SUM($H$3:H261)</f>
        <v>0.26917767437211287</v>
      </c>
      <c r="J261" s="23">
        <v>-3.3E-3</v>
      </c>
      <c r="Q261" s="7">
        <f t="shared" si="17"/>
        <v>9.3248380469609891E-5</v>
      </c>
      <c r="R261" s="7">
        <f t="shared" si="16"/>
        <v>1.0163364416753678E-3</v>
      </c>
    </row>
    <row r="262" spans="1:18" x14ac:dyDescent="0.25">
      <c r="A262" s="22">
        <v>44944</v>
      </c>
      <c r="B262" s="12">
        <v>198.65</v>
      </c>
      <c r="C262" s="13">
        <v>6.0000000000000001E-3</v>
      </c>
      <c r="D262" s="7">
        <v>700</v>
      </c>
      <c r="E262" s="7">
        <v>-3.3E-3</v>
      </c>
      <c r="F262" s="7">
        <v>688</v>
      </c>
      <c r="G262" s="8">
        <f t="shared" si="18"/>
        <v>0.93351015258746206</v>
      </c>
      <c r="H262" s="9">
        <f t="shared" si="19"/>
        <v>1.0197800262070063E-3</v>
      </c>
      <c r="I262" s="10">
        <f>SUM($H$3:H262)</f>
        <v>0.27019745439831988</v>
      </c>
      <c r="J262" s="23">
        <v>-3.3E-3</v>
      </c>
      <c r="Q262" s="7">
        <f t="shared" si="17"/>
        <v>9.3257706240233915E-5</v>
      </c>
      <c r="R262" s="7">
        <f t="shared" si="16"/>
        <v>1.0164380854839163E-3</v>
      </c>
    </row>
    <row r="263" spans="1:18" x14ac:dyDescent="0.25">
      <c r="A263" s="22">
        <v>44945</v>
      </c>
      <c r="B263" s="12">
        <v>198.43</v>
      </c>
      <c r="C263" s="13">
        <v>-1.1000000000000001E-3</v>
      </c>
      <c r="D263" s="7">
        <v>699</v>
      </c>
      <c r="E263" s="7">
        <v>-3.3E-3</v>
      </c>
      <c r="F263" s="7">
        <v>611</v>
      </c>
      <c r="G263" s="8">
        <f t="shared" si="18"/>
        <v>0.94072628804119685</v>
      </c>
      <c r="H263" s="9">
        <f t="shared" si="19"/>
        <v>1.0276630372077179E-3</v>
      </c>
      <c r="I263" s="10">
        <f>SUM($H$3:H263)</f>
        <v>0.27122511743552757</v>
      </c>
      <c r="J263" s="23">
        <v>-3.3E-3</v>
      </c>
      <c r="Q263" s="7">
        <f t="shared" si="17"/>
        <v>9.3267032943528263E-5</v>
      </c>
      <c r="R263" s="7">
        <f t="shared" si="16"/>
        <v>1.016539739457862E-3</v>
      </c>
    </row>
    <row r="264" spans="1:18" x14ac:dyDescent="0.25">
      <c r="A264" s="22">
        <v>44946</v>
      </c>
      <c r="B264" s="12">
        <v>197.45</v>
      </c>
      <c r="C264" s="13">
        <v>-4.8999999999999998E-3</v>
      </c>
      <c r="D264" s="7">
        <v>698</v>
      </c>
      <c r="E264" s="7">
        <v>-3.3E-3</v>
      </c>
      <c r="F264" s="7">
        <v>557</v>
      </c>
      <c r="G264" s="8">
        <f t="shared" si="18"/>
        <v>0.94582020589613092</v>
      </c>
      <c r="H264" s="9">
        <f t="shared" si="19"/>
        <v>1.0332277069322008E-3</v>
      </c>
      <c r="I264" s="10">
        <f>SUM($H$3:H264)</f>
        <v>0.27225834514245978</v>
      </c>
      <c r="J264" s="23">
        <v>-3.3E-3</v>
      </c>
      <c r="Q264" s="7">
        <f t="shared" si="17"/>
        <v>9.3276360579586229E-5</v>
      </c>
      <c r="R264" s="7">
        <f t="shared" si="16"/>
        <v>1.0166414035982219E-3</v>
      </c>
    </row>
    <row r="265" spans="1:18" x14ac:dyDescent="0.25">
      <c r="A265" s="22">
        <v>44949</v>
      </c>
      <c r="B265" s="12">
        <v>198.44</v>
      </c>
      <c r="C265" s="13">
        <v>5.0000000000000001E-3</v>
      </c>
      <c r="D265" s="7">
        <v>697</v>
      </c>
      <c r="E265" s="7">
        <v>-3.3E-3</v>
      </c>
      <c r="F265" s="7">
        <v>427</v>
      </c>
      <c r="G265" s="8">
        <f t="shared" si="18"/>
        <v>0.95819676070572302</v>
      </c>
      <c r="H265" s="9">
        <f t="shared" si="19"/>
        <v>1.046748034861249E-3</v>
      </c>
      <c r="I265" s="10">
        <f>SUM($H$3:H265)</f>
        <v>0.27330509317732105</v>
      </c>
      <c r="J265" s="23">
        <v>-3.3E-3</v>
      </c>
      <c r="Q265" s="7">
        <f t="shared" si="17"/>
        <v>9.3285689148501068E-5</v>
      </c>
      <c r="R265" s="7">
        <f t="shared" si="16"/>
        <v>1.0167430779060122E-3</v>
      </c>
    </row>
    <row r="266" spans="1:18" x14ac:dyDescent="0.25">
      <c r="A266" s="22">
        <v>44950</v>
      </c>
      <c r="B266" s="12">
        <v>198.42</v>
      </c>
      <c r="C266" s="13">
        <v>-1E-4</v>
      </c>
      <c r="D266" s="7">
        <v>696</v>
      </c>
      <c r="E266" s="7">
        <v>-3.3E-3</v>
      </c>
      <c r="F266" s="7">
        <v>387</v>
      </c>
      <c r="G266" s="8">
        <f t="shared" si="18"/>
        <v>0.96203741597391701</v>
      </c>
      <c r="H266" s="9">
        <f t="shared" si="19"/>
        <v>1.0509436223641755E-3</v>
      </c>
      <c r="I266" s="10">
        <f>SUM($H$3:H266)</f>
        <v>0.27435603679968523</v>
      </c>
      <c r="J266" s="23">
        <v>-3.3E-3</v>
      </c>
      <c r="Q266" s="7">
        <f t="shared" si="17"/>
        <v>9.3295018650366103E-5</v>
      </c>
      <c r="R266" s="7">
        <f t="shared" si="16"/>
        <v>1.0168447623822505E-3</v>
      </c>
    </row>
    <row r="267" spans="1:18" x14ac:dyDescent="0.25">
      <c r="A267" s="22">
        <v>44951</v>
      </c>
      <c r="B267" s="12">
        <v>196.04</v>
      </c>
      <c r="C267" s="13">
        <v>-1.2E-2</v>
      </c>
      <c r="D267" s="7">
        <v>695</v>
      </c>
      <c r="E267" s="7">
        <v>-3.3E-3</v>
      </c>
      <c r="F267" s="7">
        <v>271</v>
      </c>
      <c r="G267" s="8">
        <f t="shared" si="18"/>
        <v>0.9732625914072055</v>
      </c>
      <c r="H267" s="9">
        <f t="shared" si="19"/>
        <v>1.0632061667680134E-3</v>
      </c>
      <c r="I267" s="10">
        <f>SUM($H$3:H267)</f>
        <v>0.27541924296645326</v>
      </c>
      <c r="J267" s="23">
        <v>-3.3E-3</v>
      </c>
      <c r="Q267" s="7">
        <f t="shared" si="17"/>
        <v>9.3304349085274643E-5</v>
      </c>
      <c r="R267" s="7">
        <f t="shared" si="16"/>
        <v>1.0169464570279534E-3</v>
      </c>
    </row>
    <row r="268" spans="1:18" x14ac:dyDescent="0.25">
      <c r="A268" s="22">
        <v>44953</v>
      </c>
      <c r="B268" s="12">
        <v>193</v>
      </c>
      <c r="C268" s="13">
        <v>-1.55E-2</v>
      </c>
      <c r="D268" s="7">
        <v>694</v>
      </c>
      <c r="E268" s="7">
        <v>-3.3E-3</v>
      </c>
      <c r="F268" s="7">
        <v>195</v>
      </c>
      <c r="G268" s="8">
        <f t="shared" si="18"/>
        <v>0.98068793895371498</v>
      </c>
      <c r="H268" s="9">
        <f t="shared" si="19"/>
        <v>1.0713177240923629E-3</v>
      </c>
      <c r="I268" s="10">
        <f>SUM($H$3:H268)</f>
        <v>0.27649056069054562</v>
      </c>
      <c r="J268" s="23">
        <v>-3.3E-3</v>
      </c>
      <c r="Q268" s="7">
        <f t="shared" si="17"/>
        <v>9.3313680453319957E-5</v>
      </c>
      <c r="R268" s="7">
        <f t="shared" si="16"/>
        <v>1.0170481618441377E-3</v>
      </c>
    </row>
    <row r="269" spans="1:18" x14ac:dyDescent="0.25">
      <c r="A269" s="22">
        <v>44956</v>
      </c>
      <c r="B269" s="12">
        <v>193.25</v>
      </c>
      <c r="C269" s="13">
        <v>1.2999999999999999E-3</v>
      </c>
      <c r="D269" s="7">
        <v>693</v>
      </c>
      <c r="E269" s="7">
        <v>-3.3E-3</v>
      </c>
      <c r="F269" s="7">
        <v>191</v>
      </c>
      <c r="G269" s="8">
        <f t="shared" si="18"/>
        <v>0.98108031221770742</v>
      </c>
      <c r="H269" s="9">
        <f t="shared" si="19"/>
        <v>1.0717463583352024E-3</v>
      </c>
      <c r="I269" s="10">
        <f>SUM($H$3:H269)</f>
        <v>0.2775623070488808</v>
      </c>
      <c r="J269" s="23">
        <v>-3.3E-3</v>
      </c>
      <c r="Q269" s="7">
        <f t="shared" si="17"/>
        <v>9.3323012754595422E-5</v>
      </c>
      <c r="R269" s="7">
        <f t="shared" si="16"/>
        <v>1.0171498768318209E-3</v>
      </c>
    </row>
    <row r="270" spans="1:18" x14ac:dyDescent="0.25">
      <c r="A270" s="22">
        <v>44957</v>
      </c>
      <c r="B270" s="12">
        <v>193.44</v>
      </c>
      <c r="C270" s="13">
        <v>1E-3</v>
      </c>
      <c r="D270" s="7">
        <v>692</v>
      </c>
      <c r="E270" s="7">
        <v>-3.3E-3</v>
      </c>
      <c r="F270" s="7">
        <v>23</v>
      </c>
      <c r="G270" s="8">
        <f t="shared" si="18"/>
        <v>0.9977025282298857</v>
      </c>
      <c r="H270" s="9">
        <f t="shared" si="19"/>
        <v>1.0899047081223295E-3</v>
      </c>
      <c r="I270" s="10">
        <f>SUM($H$3:H270)</f>
        <v>0.27865221175700311</v>
      </c>
      <c r="J270" s="23">
        <v>-3.3E-3</v>
      </c>
      <c r="Q270" s="7">
        <f t="shared" si="17"/>
        <v>9.3332345989194333E-5</v>
      </c>
      <c r="R270" s="7">
        <f t="shared" si="16"/>
        <v>1.0172516019920201E-3</v>
      </c>
    </row>
    <row r="271" spans="1:18" x14ac:dyDescent="0.25">
      <c r="A271" s="22">
        <v>44958</v>
      </c>
      <c r="B271" s="12">
        <v>193.13</v>
      </c>
      <c r="C271" s="13">
        <v>-1.6000000000000001E-3</v>
      </c>
      <c r="D271" s="7">
        <v>691</v>
      </c>
      <c r="E271" s="7">
        <v>-3.2000000000000002E-3</v>
      </c>
      <c r="F271" s="7">
        <v>350</v>
      </c>
      <c r="G271" s="8">
        <f t="shared" si="18"/>
        <v>0.96560372633691316</v>
      </c>
      <c r="H271" s="9">
        <f t="shared" si="19"/>
        <v>1.0548395115147734E-3</v>
      </c>
      <c r="I271" s="10">
        <f>SUM($H$3:H271)</f>
        <v>0.27970705126851786</v>
      </c>
      <c r="J271" s="23">
        <v>-3.2000000000000002E-3</v>
      </c>
      <c r="Q271" s="7">
        <f t="shared" si="17"/>
        <v>9.3341680157210053E-5</v>
      </c>
      <c r="R271" s="7">
        <f t="shared" si="16"/>
        <v>1.0173533373257525E-3</v>
      </c>
    </row>
    <row r="272" spans="1:18" x14ac:dyDescent="0.25">
      <c r="A272" s="22">
        <v>44959</v>
      </c>
      <c r="B272" s="12">
        <v>192.91</v>
      </c>
      <c r="C272" s="13">
        <v>-1.1000000000000001E-3</v>
      </c>
      <c r="D272" s="7">
        <v>690</v>
      </c>
      <c r="E272" s="7">
        <v>-3.2000000000000002E-3</v>
      </c>
      <c r="F272" s="7">
        <v>231</v>
      </c>
      <c r="G272" s="8">
        <f t="shared" si="18"/>
        <v>0.97716363371115911</v>
      </c>
      <c r="H272" s="9">
        <f t="shared" si="19"/>
        <v>1.0674677219443913E-3</v>
      </c>
      <c r="I272" s="10">
        <f>SUM($H$3:H272)</f>
        <v>0.28077451899046224</v>
      </c>
      <c r="J272" s="23">
        <v>-3.2000000000000002E-3</v>
      </c>
      <c r="Q272" s="7">
        <f t="shared" si="17"/>
        <v>9.335101525873592E-5</v>
      </c>
      <c r="R272" s="7">
        <f t="shared" si="16"/>
        <v>1.0174550828340359E-3</v>
      </c>
    </row>
    <row r="273" spans="1:18" x14ac:dyDescent="0.25">
      <c r="A273" s="22">
        <v>44960</v>
      </c>
      <c r="B273" s="12">
        <v>195.12</v>
      </c>
      <c r="C273" s="13">
        <v>1.15E-2</v>
      </c>
      <c r="D273" s="7">
        <v>689</v>
      </c>
      <c r="E273" s="7">
        <v>-3.2000000000000002E-3</v>
      </c>
      <c r="F273" s="7">
        <v>142</v>
      </c>
      <c r="G273" s="8">
        <f t="shared" si="18"/>
        <v>0.98589964443898359</v>
      </c>
      <c r="H273" s="9">
        <f t="shared" si="19"/>
        <v>1.0770110667320965E-3</v>
      </c>
      <c r="I273" s="10">
        <f>SUM($H$3:H273)</f>
        <v>0.28185153005719432</v>
      </c>
      <c r="J273" s="23">
        <v>-3.2000000000000002E-3</v>
      </c>
      <c r="Q273" s="7">
        <f t="shared" si="17"/>
        <v>9.3360351293865309E-5</v>
      </c>
      <c r="R273" s="7">
        <f t="shared" si="16"/>
        <v>1.0175568385178877E-3</v>
      </c>
    </row>
    <row r="274" spans="1:18" x14ac:dyDescent="0.25">
      <c r="A274" s="22">
        <v>44963</v>
      </c>
      <c r="B274" s="12">
        <v>194.48</v>
      </c>
      <c r="C274" s="13">
        <v>-3.3E-3</v>
      </c>
      <c r="D274" s="7">
        <v>688</v>
      </c>
      <c r="E274" s="7">
        <v>-3.0999999999999999E-3</v>
      </c>
      <c r="F274" s="7">
        <v>860</v>
      </c>
      <c r="G274" s="8">
        <f t="shared" si="18"/>
        <v>0.91759028531039777</v>
      </c>
      <c r="H274" s="9">
        <f t="shared" si="19"/>
        <v>1.0023889323618907E-3</v>
      </c>
      <c r="I274" s="10">
        <f>SUM($H$3:H274)</f>
        <v>0.2828539189895562</v>
      </c>
      <c r="J274" s="23">
        <v>-3.0999999999999999E-3</v>
      </c>
      <c r="Q274" s="7">
        <f t="shared" si="17"/>
        <v>9.3369688262691584E-5</v>
      </c>
      <c r="R274" s="7">
        <f t="shared" si="16"/>
        <v>1.0176586043783257E-3</v>
      </c>
    </row>
    <row r="275" spans="1:18" x14ac:dyDescent="0.25">
      <c r="A275" s="22">
        <v>44964</v>
      </c>
      <c r="B275" s="12">
        <v>194.04</v>
      </c>
      <c r="C275" s="13">
        <v>-2.3E-3</v>
      </c>
      <c r="D275" s="7">
        <v>687</v>
      </c>
      <c r="E275" s="7">
        <v>-3.0999999999999999E-3</v>
      </c>
      <c r="F275" s="7">
        <v>494</v>
      </c>
      <c r="G275" s="8">
        <f t="shared" si="18"/>
        <v>0.9517979823103111</v>
      </c>
      <c r="H275" s="9">
        <f t="shared" si="19"/>
        <v>1.0397579165623968E-3</v>
      </c>
      <c r="I275" s="10">
        <f>SUM($H$3:H275)</f>
        <v>0.28389367690611861</v>
      </c>
      <c r="J275" s="23">
        <v>-3.0999999999999999E-3</v>
      </c>
      <c r="Q275" s="7">
        <f t="shared" si="17"/>
        <v>9.3379026165308108E-5</v>
      </c>
      <c r="R275" s="7">
        <f t="shared" si="16"/>
        <v>1.0177603804163672E-3</v>
      </c>
    </row>
    <row r="276" spans="1:18" x14ac:dyDescent="0.25">
      <c r="A276" s="22">
        <v>44965</v>
      </c>
      <c r="B276" s="12">
        <v>195.54</v>
      </c>
      <c r="C276" s="13">
        <v>7.7000000000000002E-3</v>
      </c>
      <c r="D276" s="7">
        <v>686</v>
      </c>
      <c r="E276" s="7">
        <v>-3.0999999999999999E-3</v>
      </c>
      <c r="F276" s="7">
        <v>330</v>
      </c>
      <c r="G276" s="8">
        <f t="shared" si="18"/>
        <v>0.9675369630452969</v>
      </c>
      <c r="H276" s="9">
        <f t="shared" si="19"/>
        <v>1.0569514073261639E-3</v>
      </c>
      <c r="I276" s="10">
        <f>SUM($H$3:H276)</f>
        <v>0.28495062831344475</v>
      </c>
      <c r="J276" s="23">
        <v>-3.0999999999999999E-3</v>
      </c>
      <c r="Q276" s="7">
        <f t="shared" si="17"/>
        <v>9.3388365001808272E-5</v>
      </c>
      <c r="R276" s="7">
        <f t="shared" si="16"/>
        <v>1.0178621666330303E-3</v>
      </c>
    </row>
    <row r="277" spans="1:18" x14ac:dyDescent="0.25">
      <c r="A277" s="22">
        <v>44966</v>
      </c>
      <c r="B277" s="12">
        <v>195.89</v>
      </c>
      <c r="C277" s="13">
        <v>1.8E-3</v>
      </c>
      <c r="D277" s="7">
        <v>685</v>
      </c>
      <c r="E277" s="7">
        <v>-3.0999999999999999E-3</v>
      </c>
      <c r="F277" s="7">
        <v>73</v>
      </c>
      <c r="G277" s="8">
        <f t="shared" si="18"/>
        <v>0.99272621791269477</v>
      </c>
      <c r="H277" s="9">
        <f t="shared" si="19"/>
        <v>1.084468514577339E-3</v>
      </c>
      <c r="I277" s="10">
        <f>SUM($H$3:H277)</f>
        <v>0.28603509682802208</v>
      </c>
      <c r="J277" s="23">
        <v>-3.0999999999999999E-3</v>
      </c>
      <c r="Q277" s="7">
        <f t="shared" si="17"/>
        <v>9.3397704772285508E-5</v>
      </c>
      <c r="R277" s="7">
        <f t="shared" si="16"/>
        <v>1.0179639630293333E-3</v>
      </c>
    </row>
    <row r="278" spans="1:18" x14ac:dyDescent="0.25">
      <c r="A278" s="22">
        <v>44967</v>
      </c>
      <c r="B278" s="12">
        <v>195.49</v>
      </c>
      <c r="C278" s="13">
        <v>-2E-3</v>
      </c>
      <c r="D278" s="7">
        <v>684</v>
      </c>
      <c r="E278" s="7">
        <v>-3.0999999999999999E-3</v>
      </c>
      <c r="F278" s="7">
        <v>54</v>
      </c>
      <c r="G278" s="8">
        <f t="shared" si="18"/>
        <v>0.99461428522759487</v>
      </c>
      <c r="H278" s="9">
        <f t="shared" si="19"/>
        <v>1.0865310666883499E-3</v>
      </c>
      <c r="I278" s="10">
        <f>SUM($H$3:H278)</f>
        <v>0.28712162789471041</v>
      </c>
      <c r="J278" s="23">
        <v>-3.0999999999999999E-3</v>
      </c>
      <c r="Q278" s="7">
        <f t="shared" si="17"/>
        <v>9.3407045476833191E-5</v>
      </c>
      <c r="R278" s="7">
        <f t="shared" si="16"/>
        <v>1.0180657696062939E-3</v>
      </c>
    </row>
    <row r="279" spans="1:18" x14ac:dyDescent="0.25">
      <c r="A279" s="22">
        <v>44970</v>
      </c>
      <c r="B279" s="12">
        <v>194.6</v>
      </c>
      <c r="C279" s="13">
        <v>-4.5999999999999999E-3</v>
      </c>
      <c r="D279" s="7">
        <v>683</v>
      </c>
      <c r="E279" s="7">
        <v>-3.0999999999999999E-3</v>
      </c>
      <c r="F279" s="7">
        <v>24</v>
      </c>
      <c r="G279" s="8">
        <f t="shared" si="18"/>
        <v>0.99760275797706277</v>
      </c>
      <c r="H279" s="9">
        <f t="shared" si="19"/>
        <v>1.0897957176515174E-3</v>
      </c>
      <c r="I279" s="10">
        <f>SUM($H$3:H279)</f>
        <v>0.28821142361236191</v>
      </c>
      <c r="J279" s="23">
        <v>-3.0999999999999999E-3</v>
      </c>
      <c r="Q279" s="7">
        <f t="shared" si="17"/>
        <v>9.341638711554474E-5</v>
      </c>
      <c r="R279" s="7">
        <f t="shared" si="16"/>
        <v>1.0181675863649305E-3</v>
      </c>
    </row>
    <row r="280" spans="1:18" x14ac:dyDescent="0.25">
      <c r="A280" s="22">
        <v>44971</v>
      </c>
      <c r="B280" s="12">
        <v>195.98</v>
      </c>
      <c r="C280" s="13">
        <v>7.1000000000000004E-3</v>
      </c>
      <c r="D280" s="7">
        <v>682</v>
      </c>
      <c r="E280" s="7">
        <v>-3.0000000000000001E-3</v>
      </c>
      <c r="F280" s="7">
        <v>786</v>
      </c>
      <c r="G280" s="8">
        <f t="shared" si="18"/>
        <v>0.9244059811830766</v>
      </c>
      <c r="H280" s="9">
        <f t="shared" si="19"/>
        <v>1.0098344973580445E-3</v>
      </c>
      <c r="I280" s="10">
        <f>SUM($H$3:H280)</f>
        <v>0.28922125810971994</v>
      </c>
      <c r="J280" s="23">
        <v>-3.0000000000000001E-3</v>
      </c>
      <c r="Q280" s="7">
        <f t="shared" si="17"/>
        <v>9.3425729688513599E-5</v>
      </c>
      <c r="R280" s="7">
        <f t="shared" si="16"/>
        <v>1.0182694133062612E-3</v>
      </c>
    </row>
    <row r="281" spans="1:18" x14ac:dyDescent="0.25">
      <c r="A281" s="22">
        <v>44972</v>
      </c>
      <c r="B281" s="12">
        <v>197.08</v>
      </c>
      <c r="C281" s="13">
        <v>5.5999999999999999E-3</v>
      </c>
      <c r="D281" s="7">
        <v>681</v>
      </c>
      <c r="E281" s="7">
        <v>-3.0000000000000001E-3</v>
      </c>
      <c r="F281" s="7">
        <v>781</v>
      </c>
      <c r="G281" s="8">
        <f t="shared" si="18"/>
        <v>0.92486832286692588</v>
      </c>
      <c r="H281" s="9">
        <f t="shared" si="19"/>
        <v>1.0103395661172493E-3</v>
      </c>
      <c r="I281" s="10">
        <f>SUM($H$3:H281)</f>
        <v>0.29023159767583717</v>
      </c>
      <c r="J281" s="23">
        <v>-3.0000000000000001E-3</v>
      </c>
      <c r="Q281" s="7">
        <f t="shared" si="17"/>
        <v>9.3435073195833172E-5</v>
      </c>
      <c r="R281" s="7">
        <f t="shared" si="16"/>
        <v>1.0183712504313041E-3</v>
      </c>
    </row>
    <row r="282" spans="1:18" x14ac:dyDescent="0.25">
      <c r="A282" s="22">
        <v>44973</v>
      </c>
      <c r="B282" s="12">
        <v>197.35</v>
      </c>
      <c r="C282" s="13">
        <v>1.4E-3</v>
      </c>
      <c r="D282" s="7">
        <v>680</v>
      </c>
      <c r="E282" s="7">
        <v>-3.0000000000000001E-3</v>
      </c>
      <c r="F282" s="7">
        <v>709</v>
      </c>
      <c r="G282" s="8">
        <f t="shared" si="18"/>
        <v>0.93155174039733946</v>
      </c>
      <c r="H282" s="9">
        <f t="shared" si="19"/>
        <v>1.0176406283343299E-3</v>
      </c>
      <c r="I282" s="10">
        <f>SUM($H$3:H282)</f>
        <v>0.29124923830417149</v>
      </c>
      <c r="J282" s="23">
        <v>-3.0000000000000001E-3</v>
      </c>
      <c r="Q282" s="7">
        <f t="shared" si="17"/>
        <v>9.3444417637596945E-5</v>
      </c>
      <c r="R282" s="7">
        <f t="shared" si="16"/>
        <v>1.0184730977410785E-3</v>
      </c>
    </row>
    <row r="283" spans="1:18" x14ac:dyDescent="0.25">
      <c r="A283" s="22">
        <v>44974</v>
      </c>
      <c r="B283" s="12">
        <v>196.3</v>
      </c>
      <c r="C283" s="13">
        <v>-5.3E-3</v>
      </c>
      <c r="D283" s="7">
        <v>679</v>
      </c>
      <c r="E283" s="7">
        <v>-3.0000000000000001E-3</v>
      </c>
      <c r="F283" s="7">
        <v>596</v>
      </c>
      <c r="G283" s="8">
        <f t="shared" si="18"/>
        <v>0.94213850698478574</v>
      </c>
      <c r="H283" s="9">
        <f t="shared" si="19"/>
        <v>1.029205765658299E-3</v>
      </c>
      <c r="I283" s="10">
        <f>SUM($H$3:H283)</f>
        <v>0.29227844406982978</v>
      </c>
      <c r="J283" s="23">
        <v>-3.0000000000000001E-3</v>
      </c>
      <c r="Q283" s="7">
        <f t="shared" si="17"/>
        <v>9.3453763013898322E-5</v>
      </c>
      <c r="R283" s="7">
        <f t="shared" si="16"/>
        <v>1.0185749552366018E-3</v>
      </c>
    </row>
    <row r="284" spans="1:18" x14ac:dyDescent="0.25">
      <c r="A284" s="22">
        <v>44977</v>
      </c>
      <c r="B284" s="12">
        <v>195.59</v>
      </c>
      <c r="C284" s="13">
        <v>-3.5999999999999999E-3</v>
      </c>
      <c r="D284" s="7">
        <v>678</v>
      </c>
      <c r="E284" s="7">
        <v>-3.0000000000000001E-3</v>
      </c>
      <c r="F284" s="7">
        <v>298</v>
      </c>
      <c r="G284" s="8">
        <f t="shared" si="18"/>
        <v>0.97063819571701671</v>
      </c>
      <c r="H284" s="9">
        <f t="shared" si="19"/>
        <v>1.0603392388633729E-3</v>
      </c>
      <c r="I284" s="10">
        <f>SUM($H$3:H284)</f>
        <v>0.29333878330869317</v>
      </c>
      <c r="J284" s="23">
        <v>-3.0000000000000001E-3</v>
      </c>
      <c r="Q284" s="7">
        <f t="shared" si="17"/>
        <v>9.34631093248308E-5</v>
      </c>
      <c r="R284" s="7">
        <f t="shared" si="16"/>
        <v>1.0186768229188937E-3</v>
      </c>
    </row>
    <row r="285" spans="1:18" x14ac:dyDescent="0.25">
      <c r="A285" s="22">
        <v>44978</v>
      </c>
      <c r="B285" s="12">
        <v>195.26</v>
      </c>
      <c r="C285" s="13">
        <v>-1.6999999999999999E-3</v>
      </c>
      <c r="D285" s="7">
        <v>677</v>
      </c>
      <c r="E285" s="7">
        <v>-3.0000000000000001E-3</v>
      </c>
      <c r="F285" s="7">
        <v>69</v>
      </c>
      <c r="G285" s="8">
        <f t="shared" si="18"/>
        <v>0.99312340769233964</v>
      </c>
      <c r="H285" s="9">
        <f t="shared" si="19"/>
        <v>1.0849024104517145E-3</v>
      </c>
      <c r="I285" s="10">
        <f>SUM($H$3:H285)</f>
        <v>0.2944236857191449</v>
      </c>
      <c r="J285" s="23">
        <v>-3.0000000000000001E-3</v>
      </c>
      <c r="Q285" s="7">
        <f t="shared" si="17"/>
        <v>9.3472456570487853E-5</v>
      </c>
      <c r="R285" s="7">
        <f t="shared" si="16"/>
        <v>1.0187787007889728E-3</v>
      </c>
    </row>
    <row r="286" spans="1:18" x14ac:dyDescent="0.25">
      <c r="A286" s="22">
        <v>44979</v>
      </c>
      <c r="B286" s="12">
        <v>192.51</v>
      </c>
      <c r="C286" s="13">
        <v>-1.41E-2</v>
      </c>
      <c r="D286" s="7">
        <v>676</v>
      </c>
      <c r="E286" s="7">
        <v>-2.8999999999999998E-3</v>
      </c>
      <c r="F286" s="7">
        <v>754</v>
      </c>
      <c r="G286" s="8">
        <f t="shared" si="18"/>
        <v>0.92736896672293145</v>
      </c>
      <c r="H286" s="9">
        <f t="shared" si="19"/>
        <v>1.0130713057238765E-3</v>
      </c>
      <c r="I286" s="10">
        <f>SUM($H$3:H286)</f>
        <v>0.29543675702486877</v>
      </c>
      <c r="J286" s="23">
        <v>-2.8999999999999998E-3</v>
      </c>
      <c r="Q286" s="7">
        <f t="shared" si="17"/>
        <v>9.3481804750962939E-5</v>
      </c>
      <c r="R286" s="7">
        <f t="shared" si="16"/>
        <v>1.0188805888478574E-3</v>
      </c>
    </row>
    <row r="287" spans="1:18" x14ac:dyDescent="0.25">
      <c r="A287" s="22">
        <v>44980</v>
      </c>
      <c r="B287" s="12">
        <v>192.01</v>
      </c>
      <c r="C287" s="13">
        <v>-2.5999999999999999E-3</v>
      </c>
      <c r="D287" s="7">
        <v>675</v>
      </c>
      <c r="E287" s="7">
        <v>-2.8999999999999998E-3</v>
      </c>
      <c r="F287" s="7">
        <v>674</v>
      </c>
      <c r="G287" s="8">
        <f t="shared" si="18"/>
        <v>0.9348180475097323</v>
      </c>
      <c r="H287" s="9">
        <f t="shared" si="19"/>
        <v>1.0212087895840427E-3</v>
      </c>
      <c r="I287" s="10">
        <f>SUM($H$3:H287)</f>
        <v>0.29645796581445283</v>
      </c>
      <c r="J287" s="23">
        <v>-2.8999999999999998E-3</v>
      </c>
      <c r="Q287" s="7">
        <f t="shared" si="17"/>
        <v>9.3491153866349569E-5</v>
      </c>
      <c r="R287" s="7">
        <f t="shared" si="16"/>
        <v>1.0189824870965669E-3</v>
      </c>
    </row>
    <row r="288" spans="1:18" x14ac:dyDescent="0.25">
      <c r="A288" s="22">
        <v>44981</v>
      </c>
      <c r="B288" s="12">
        <v>191.46</v>
      </c>
      <c r="C288" s="13">
        <v>-2.8999999999999998E-3</v>
      </c>
      <c r="D288" s="7">
        <v>674</v>
      </c>
      <c r="E288" s="7">
        <v>-2.8999999999999998E-3</v>
      </c>
      <c r="F288" s="7">
        <v>536</v>
      </c>
      <c r="G288" s="8">
        <f t="shared" si="18"/>
        <v>0.94780861484924095</v>
      </c>
      <c r="H288" s="9">
        <f t="shared" si="19"/>
        <v>1.0353998737037055E-3</v>
      </c>
      <c r="I288" s="10">
        <f>SUM($H$3:H288)</f>
        <v>0.29749336568815654</v>
      </c>
      <c r="J288" s="23">
        <v>-2.8999999999999998E-3</v>
      </c>
      <c r="Q288" s="7">
        <f t="shared" si="17"/>
        <v>9.3500503916741243E-5</v>
      </c>
      <c r="R288" s="7">
        <f t="shared" si="16"/>
        <v>1.0190843955361205E-3</v>
      </c>
    </row>
    <row r="289" spans="1:18" x14ac:dyDescent="0.25">
      <c r="A289" s="22">
        <v>44984</v>
      </c>
      <c r="B289" s="12">
        <v>190.56</v>
      </c>
      <c r="C289" s="13">
        <v>-4.7000000000000002E-3</v>
      </c>
      <c r="D289" s="7">
        <v>673</v>
      </c>
      <c r="E289" s="7">
        <v>-2.8999999999999998E-3</v>
      </c>
      <c r="F289" s="7">
        <v>83</v>
      </c>
      <c r="G289" s="8">
        <f t="shared" si="18"/>
        <v>0.99173393830247414</v>
      </c>
      <c r="H289" s="9">
        <f t="shared" si="19"/>
        <v>1.0833845339434801E-3</v>
      </c>
      <c r="I289" s="10">
        <f>SUM($H$3:H289)</f>
        <v>0.29857675022210001</v>
      </c>
      <c r="J289" s="23">
        <v>-2.8999999999999998E-3</v>
      </c>
      <c r="Q289" s="7">
        <f t="shared" si="17"/>
        <v>9.350985490223146E-5</v>
      </c>
      <c r="R289" s="7">
        <f t="shared" si="16"/>
        <v>1.0191863141675373E-3</v>
      </c>
    </row>
    <row r="290" spans="1:18" x14ac:dyDescent="0.25">
      <c r="A290" s="22">
        <v>44985</v>
      </c>
      <c r="B290" s="12">
        <v>189.7</v>
      </c>
      <c r="C290" s="13">
        <v>-4.4999999999999997E-3</v>
      </c>
      <c r="D290" s="7">
        <v>672</v>
      </c>
      <c r="E290" s="7">
        <v>-2.8E-3</v>
      </c>
      <c r="F290" s="7">
        <v>702</v>
      </c>
      <c r="G290" s="8">
        <f t="shared" si="18"/>
        <v>0.93220408752837469</v>
      </c>
      <c r="H290" s="9">
        <f t="shared" si="19"/>
        <v>1.0183532617990428E-3</v>
      </c>
      <c r="I290" s="10">
        <f>SUM($H$3:H290)</f>
        <v>0.29959510348389906</v>
      </c>
      <c r="J290" s="23">
        <v>-2.8E-3</v>
      </c>
      <c r="Q290" s="7">
        <f t="shared" si="17"/>
        <v>9.3519206822913759E-5</v>
      </c>
      <c r="R290" s="7">
        <f t="shared" si="16"/>
        <v>1.0192882429918364E-3</v>
      </c>
    </row>
    <row r="291" spans="1:18" x14ac:dyDescent="0.25">
      <c r="A291" s="22">
        <v>44986</v>
      </c>
      <c r="B291" s="12">
        <v>191.28</v>
      </c>
      <c r="C291" s="13">
        <v>8.3000000000000001E-3</v>
      </c>
      <c r="D291" s="7">
        <v>671</v>
      </c>
      <c r="E291" s="7">
        <v>-2.8E-3</v>
      </c>
      <c r="F291" s="7">
        <v>553</v>
      </c>
      <c r="G291" s="8">
        <f t="shared" si="18"/>
        <v>0.94619862857942949</v>
      </c>
      <c r="H291" s="9">
        <f t="shared" si="19"/>
        <v>1.0336411013584124E-3</v>
      </c>
      <c r="I291" s="10">
        <f>SUM($H$3:H291)</f>
        <v>0.30062874458525746</v>
      </c>
      <c r="J291" s="23">
        <v>-2.8E-3</v>
      </c>
      <c r="Q291" s="7">
        <f t="shared" si="17"/>
        <v>9.3528559678881639E-5</v>
      </c>
      <c r="R291" s="7">
        <f t="shared" si="16"/>
        <v>1.0193901820100375E-3</v>
      </c>
    </row>
    <row r="292" spans="1:18" x14ac:dyDescent="0.25">
      <c r="A292" s="22">
        <v>44987</v>
      </c>
      <c r="B292" s="12">
        <v>189.93</v>
      </c>
      <c r="C292" s="13">
        <v>-7.1000000000000004E-3</v>
      </c>
      <c r="D292" s="7">
        <v>670</v>
      </c>
      <c r="E292" s="7">
        <v>-2.8E-3</v>
      </c>
      <c r="F292" s="7">
        <v>498</v>
      </c>
      <c r="G292" s="8">
        <f t="shared" si="18"/>
        <v>0.95141732022145897</v>
      </c>
      <c r="H292" s="9">
        <f t="shared" si="19"/>
        <v>1.0393420757770881E-3</v>
      </c>
      <c r="I292" s="10">
        <f>SUM($H$3:H292)</f>
        <v>0.30166808666103456</v>
      </c>
      <c r="J292" s="23">
        <v>-2.8E-3</v>
      </c>
      <c r="Q292" s="7">
        <f t="shared" si="17"/>
        <v>9.353791347022864E-5</v>
      </c>
      <c r="R292" s="7">
        <f t="shared" si="16"/>
        <v>1.0194921312231596E-3</v>
      </c>
    </row>
    <row r="293" spans="1:18" x14ac:dyDescent="0.25">
      <c r="A293" s="22">
        <v>44988</v>
      </c>
      <c r="B293" s="12">
        <v>192.51</v>
      </c>
      <c r="C293" s="13">
        <v>1.3599999999999999E-2</v>
      </c>
      <c r="D293" s="7">
        <v>669</v>
      </c>
      <c r="E293" s="7">
        <v>-2.8E-3</v>
      </c>
      <c r="F293" s="7">
        <v>328</v>
      </c>
      <c r="G293" s="8">
        <f t="shared" si="18"/>
        <v>0.96773049946788547</v>
      </c>
      <c r="H293" s="9">
        <f t="shared" si="19"/>
        <v>1.0571628293203996E-3</v>
      </c>
      <c r="I293" s="10">
        <f>SUM($H$3:H293)</f>
        <v>0.30272524949035495</v>
      </c>
      <c r="J293" s="23">
        <v>-2.8E-3</v>
      </c>
      <c r="Q293" s="7">
        <f t="shared" si="17"/>
        <v>9.3547268197048355E-5</v>
      </c>
      <c r="R293" s="7">
        <f t="shared" si="16"/>
        <v>1.0195940906322228E-3</v>
      </c>
    </row>
    <row r="294" spans="1:18" x14ac:dyDescent="0.25">
      <c r="A294" s="22">
        <v>44991</v>
      </c>
      <c r="B294" s="12">
        <v>193.63</v>
      </c>
      <c r="C294" s="13">
        <v>5.7999999999999996E-3</v>
      </c>
      <c r="D294" s="7">
        <v>668</v>
      </c>
      <c r="E294" s="7">
        <v>-2.8E-3</v>
      </c>
      <c r="F294" s="7">
        <v>39</v>
      </c>
      <c r="G294" s="8">
        <f t="shared" si="18"/>
        <v>0.99610740086922034</v>
      </c>
      <c r="H294" s="9">
        <f t="shared" si="19"/>
        <v>1.0881621678648357E-3</v>
      </c>
      <c r="I294" s="10">
        <f>SUM($H$3:H294)</f>
        <v>0.30381341165821979</v>
      </c>
      <c r="J294" s="23">
        <v>-2.8E-3</v>
      </c>
      <c r="Q294" s="7">
        <f t="shared" si="17"/>
        <v>9.355662385943431E-5</v>
      </c>
      <c r="R294" s="7">
        <f t="shared" si="16"/>
        <v>1.0196960602382467E-3</v>
      </c>
    </row>
    <row r="295" spans="1:18" x14ac:dyDescent="0.25">
      <c r="A295" s="22">
        <v>44993</v>
      </c>
      <c r="B295" s="12">
        <v>193.95</v>
      </c>
      <c r="C295" s="13">
        <v>1.6999999999999999E-3</v>
      </c>
      <c r="D295" s="7">
        <v>667</v>
      </c>
      <c r="E295" s="7">
        <v>-2.7000000000000001E-3</v>
      </c>
      <c r="F295" s="7">
        <v>854</v>
      </c>
      <c r="G295" s="8">
        <f t="shared" si="18"/>
        <v>0.91814103222694055</v>
      </c>
      <c r="H295" s="9">
        <f t="shared" si="19"/>
        <v>1.0029905762791299E-3</v>
      </c>
      <c r="I295" s="10">
        <f>SUM($H$3:H295)</f>
        <v>0.30481640223449891</v>
      </c>
      <c r="J295" s="23">
        <v>-2.7000000000000001E-3</v>
      </c>
      <c r="Q295" s="7">
        <f t="shared" si="17"/>
        <v>9.3565980457480045E-5</v>
      </c>
      <c r="R295" s="7">
        <f t="shared" si="16"/>
        <v>1.0197980400422509E-3</v>
      </c>
    </row>
    <row r="296" spans="1:18" x14ac:dyDescent="0.25">
      <c r="A296" s="22">
        <v>44994</v>
      </c>
      <c r="B296" s="12">
        <v>192.64</v>
      </c>
      <c r="C296" s="13">
        <v>-6.7999999999999996E-3</v>
      </c>
      <c r="D296" s="7">
        <v>666</v>
      </c>
      <c r="E296" s="7">
        <v>-2.7000000000000001E-3</v>
      </c>
      <c r="F296" s="7">
        <v>704</v>
      </c>
      <c r="G296" s="8">
        <f t="shared" si="18"/>
        <v>0.93201765603290976</v>
      </c>
      <c r="H296" s="9">
        <f t="shared" si="19"/>
        <v>1.0181496013302155E-3</v>
      </c>
      <c r="I296" s="10">
        <f>SUM($H$3:H296)</f>
        <v>0.30583455183582914</v>
      </c>
      <c r="J296" s="23">
        <v>-2.7000000000000001E-3</v>
      </c>
      <c r="Q296" s="7">
        <f t="shared" si="17"/>
        <v>9.3575337991279168E-5</v>
      </c>
      <c r="R296" s="7">
        <f t="shared" si="16"/>
        <v>1.0199000300452554E-3</v>
      </c>
    </row>
    <row r="297" spans="1:18" x14ac:dyDescent="0.25">
      <c r="A297" s="22">
        <v>44995</v>
      </c>
      <c r="B297" s="12">
        <v>190.75</v>
      </c>
      <c r="C297" s="13">
        <v>-9.7999999999999997E-3</v>
      </c>
      <c r="D297" s="7">
        <v>665</v>
      </c>
      <c r="E297" s="7">
        <v>-2.7000000000000001E-3</v>
      </c>
      <c r="F297" s="7">
        <v>234</v>
      </c>
      <c r="G297" s="8">
        <f t="shared" si="18"/>
        <v>0.97687051393497759</v>
      </c>
      <c r="H297" s="9">
        <f t="shared" si="19"/>
        <v>1.0671475136507722E-3</v>
      </c>
      <c r="I297" s="10">
        <f>SUM($H$3:H297)</f>
        <v>0.30690169934947992</v>
      </c>
      <c r="J297" s="23">
        <v>-2.7000000000000001E-3</v>
      </c>
      <c r="Q297" s="7">
        <f t="shared" si="17"/>
        <v>9.3584696460925258E-5</v>
      </c>
      <c r="R297" s="7">
        <f t="shared" si="16"/>
        <v>1.0200020302482801E-3</v>
      </c>
    </row>
    <row r="298" spans="1:18" x14ac:dyDescent="0.25">
      <c r="A298" s="22">
        <v>44998</v>
      </c>
      <c r="B298" s="12">
        <v>188.12</v>
      </c>
      <c r="C298" s="13">
        <v>-1.38E-2</v>
      </c>
      <c r="D298" s="7">
        <v>664</v>
      </c>
      <c r="E298" s="7">
        <v>-2.7000000000000001E-3</v>
      </c>
      <c r="F298" s="7">
        <v>167</v>
      </c>
      <c r="G298" s="8">
        <f t="shared" si="18"/>
        <v>0.9834378507604975</v>
      </c>
      <c r="H298" s="9">
        <f t="shared" si="19"/>
        <v>1.0743217676227035E-3</v>
      </c>
      <c r="I298" s="10">
        <f>SUM($H$3:H298)</f>
        <v>0.30797602111710259</v>
      </c>
      <c r="J298" s="23">
        <v>-2.7000000000000001E-3</v>
      </c>
      <c r="Q298" s="7">
        <f t="shared" si="17"/>
        <v>9.3594055866511909E-5</v>
      </c>
      <c r="R298" s="7">
        <f t="shared" si="16"/>
        <v>1.0201040406523454E-3</v>
      </c>
    </row>
    <row r="299" spans="1:18" x14ac:dyDescent="0.25">
      <c r="A299" s="22">
        <v>44999</v>
      </c>
      <c r="B299" s="12">
        <v>186.91</v>
      </c>
      <c r="C299" s="13">
        <v>-6.4000000000000003E-3</v>
      </c>
      <c r="D299" s="7">
        <v>663</v>
      </c>
      <c r="E299" s="7">
        <v>-2.7000000000000001E-3</v>
      </c>
      <c r="F299" s="7">
        <v>65</v>
      </c>
      <c r="G299" s="8">
        <f t="shared" si="18"/>
        <v>0.99352075638762316</v>
      </c>
      <c r="H299" s="9">
        <f t="shared" si="19"/>
        <v>1.085336479927838E-3</v>
      </c>
      <c r="I299" s="10">
        <f>SUM($H$3:H299)</f>
        <v>0.30906135759703041</v>
      </c>
      <c r="J299" s="23">
        <v>-2.7000000000000001E-3</v>
      </c>
      <c r="Q299" s="7">
        <f t="shared" si="17"/>
        <v>9.3603416208132729E-5</v>
      </c>
      <c r="R299" s="7">
        <f t="shared" si="16"/>
        <v>1.0202060612584712E-3</v>
      </c>
    </row>
    <row r="300" spans="1:18" x14ac:dyDescent="0.25">
      <c r="A300" s="22">
        <v>45000</v>
      </c>
      <c r="B300" s="12">
        <v>186.1</v>
      </c>
      <c r="C300" s="13">
        <v>-4.3E-3</v>
      </c>
      <c r="D300" s="7">
        <v>662</v>
      </c>
      <c r="E300" s="7">
        <v>-2.5999999999999999E-3</v>
      </c>
      <c r="F300" s="7">
        <v>857</v>
      </c>
      <c r="G300" s="8">
        <f t="shared" si="18"/>
        <v>0.91786561746058526</v>
      </c>
      <c r="H300" s="9">
        <f t="shared" si="19"/>
        <v>1.0026897091949605E-3</v>
      </c>
      <c r="I300" s="10">
        <f>SUM($H$3:H300)</f>
        <v>0.31006404730622539</v>
      </c>
      <c r="J300" s="23">
        <v>-2.5999999999999999E-3</v>
      </c>
      <c r="Q300" s="7">
        <f t="shared" si="17"/>
        <v>9.361277748588131E-5</v>
      </c>
      <c r="R300" s="7">
        <f t="shared" si="16"/>
        <v>1.0203080920676781E-3</v>
      </c>
    </row>
    <row r="301" spans="1:18" x14ac:dyDescent="0.25">
      <c r="A301" s="22">
        <v>45001</v>
      </c>
      <c r="B301" s="12">
        <v>186.23</v>
      </c>
      <c r="C301" s="13">
        <v>6.9999999999999999E-4</v>
      </c>
      <c r="D301" s="7">
        <v>661</v>
      </c>
      <c r="E301" s="7">
        <v>-2.5999999999999999E-3</v>
      </c>
      <c r="F301" s="7">
        <v>793</v>
      </c>
      <c r="G301" s="8">
        <f t="shared" si="18"/>
        <v>0.92375909108915366</v>
      </c>
      <c r="H301" s="9">
        <f t="shared" si="19"/>
        <v>1.0091278252397978E-3</v>
      </c>
      <c r="I301" s="10">
        <f>SUM($H$3:H301)</f>
        <v>0.31107317513146521</v>
      </c>
      <c r="J301" s="23">
        <v>-2.5999999999999999E-3</v>
      </c>
      <c r="Q301" s="7">
        <f t="shared" si="17"/>
        <v>9.3622139699851289E-5</v>
      </c>
      <c r="R301" s="7">
        <f t="shared" si="16"/>
        <v>1.0204101330809859E-3</v>
      </c>
    </row>
    <row r="302" spans="1:18" x14ac:dyDescent="0.25">
      <c r="A302" s="22">
        <v>45002</v>
      </c>
      <c r="B302" s="12">
        <v>187.42</v>
      </c>
      <c r="C302" s="13">
        <v>6.4000000000000003E-3</v>
      </c>
      <c r="D302" s="7">
        <v>660</v>
      </c>
      <c r="E302" s="7">
        <v>-2.5999999999999999E-3</v>
      </c>
      <c r="F302" s="7">
        <v>675</v>
      </c>
      <c r="G302" s="8">
        <f t="shared" si="18"/>
        <v>0.93472456570498141</v>
      </c>
      <c r="H302" s="9">
        <f t="shared" si="19"/>
        <v>1.0211066687050845E-3</v>
      </c>
      <c r="I302" s="10">
        <f>SUM($H$3:H302)</f>
        <v>0.31209428180017029</v>
      </c>
      <c r="J302" s="23">
        <v>-2.5999999999999999E-3</v>
      </c>
      <c r="Q302" s="7">
        <f t="shared" si="17"/>
        <v>9.3631502850136298E-5</v>
      </c>
      <c r="R302" s="7">
        <f t="shared" si="16"/>
        <v>1.0205121842994159E-3</v>
      </c>
    </row>
    <row r="303" spans="1:18" x14ac:dyDescent="0.25">
      <c r="A303" s="22">
        <v>45005</v>
      </c>
      <c r="B303" s="12">
        <v>186.2</v>
      </c>
      <c r="C303" s="13">
        <v>-6.4999999999999997E-3</v>
      </c>
      <c r="D303" s="7">
        <v>659</v>
      </c>
      <c r="E303" s="7">
        <v>-2.5999999999999999E-3</v>
      </c>
      <c r="F303" s="7">
        <v>601</v>
      </c>
      <c r="G303" s="8">
        <f t="shared" si="18"/>
        <v>0.94166753193572317</v>
      </c>
      <c r="H303" s="9">
        <f t="shared" si="19"/>
        <v>1.0286912656857551E-3</v>
      </c>
      <c r="I303" s="10">
        <f>SUM($H$3:H303)</f>
        <v>0.31312297306585607</v>
      </c>
      <c r="J303" s="23">
        <v>-2.5999999999999999E-3</v>
      </c>
      <c r="Q303" s="7">
        <f t="shared" si="17"/>
        <v>9.3640866936829987E-5</v>
      </c>
      <c r="R303" s="7">
        <f t="shared" si="16"/>
        <v>1.0206142457239884E-3</v>
      </c>
    </row>
    <row r="304" spans="1:18" x14ac:dyDescent="0.25">
      <c r="A304" s="22">
        <v>45006</v>
      </c>
      <c r="B304" s="12">
        <v>187.46</v>
      </c>
      <c r="C304" s="13">
        <v>6.7999999999999996E-3</v>
      </c>
      <c r="D304" s="7">
        <v>658</v>
      </c>
      <c r="E304" s="7">
        <v>-2.5999999999999999E-3</v>
      </c>
      <c r="F304" s="7">
        <v>508</v>
      </c>
      <c r="G304" s="8">
        <f t="shared" si="18"/>
        <v>0.95046633092488153</v>
      </c>
      <c r="H304" s="9">
        <f t="shared" si="19"/>
        <v>1.0383032012805458E-3</v>
      </c>
      <c r="I304" s="10">
        <f>SUM($H$3:H304)</f>
        <v>0.31416127626713664</v>
      </c>
      <c r="J304" s="23">
        <v>-2.5999999999999999E-3</v>
      </c>
      <c r="Q304" s="7">
        <f t="shared" si="17"/>
        <v>9.3650231960025989E-5</v>
      </c>
      <c r="R304" s="7">
        <f t="shared" si="16"/>
        <v>1.020716317355724E-3</v>
      </c>
    </row>
    <row r="305" spans="1:18" x14ac:dyDescent="0.25">
      <c r="A305" s="22">
        <v>45007</v>
      </c>
      <c r="B305" s="12">
        <v>187.88</v>
      </c>
      <c r="C305" s="13">
        <v>2.2000000000000001E-3</v>
      </c>
      <c r="D305" s="7">
        <v>657</v>
      </c>
      <c r="E305" s="7">
        <v>-2.5000000000000001E-3</v>
      </c>
      <c r="F305" s="7">
        <v>865</v>
      </c>
      <c r="G305" s="8">
        <f t="shared" si="18"/>
        <v>0.91713158191759581</v>
      </c>
      <c r="H305" s="9">
        <f t="shared" si="19"/>
        <v>1.0018878381245796E-3</v>
      </c>
      <c r="I305" s="10">
        <f>SUM($H$3:H305)</f>
        <v>0.31516316410526124</v>
      </c>
      <c r="J305" s="23">
        <v>-2.5000000000000001E-3</v>
      </c>
      <c r="Q305" s="7">
        <f t="shared" si="17"/>
        <v>9.3659597919817965E-5</v>
      </c>
      <c r="R305" s="7">
        <f t="shared" si="16"/>
        <v>1.0208183991956435E-3</v>
      </c>
    </row>
    <row r="306" spans="1:18" x14ac:dyDescent="0.25">
      <c r="A306" s="22">
        <v>45008</v>
      </c>
      <c r="B306" s="12">
        <v>186.91</v>
      </c>
      <c r="C306" s="13">
        <v>-5.1999999999999998E-3</v>
      </c>
      <c r="D306" s="7">
        <v>656</v>
      </c>
      <c r="E306" s="7">
        <v>-2.5000000000000001E-3</v>
      </c>
      <c r="F306" s="7">
        <v>653</v>
      </c>
      <c r="G306" s="8">
        <f t="shared" si="18"/>
        <v>0.93678332649574858</v>
      </c>
      <c r="H306" s="9">
        <f t="shared" si="19"/>
        <v>1.023355688844119E-3</v>
      </c>
      <c r="I306" s="10">
        <f>SUM($H$3:H306)</f>
        <v>0.31618651979410534</v>
      </c>
      <c r="J306" s="23">
        <v>-2.5000000000000001E-3</v>
      </c>
      <c r="Q306" s="7">
        <f t="shared" si="17"/>
        <v>9.3668964816299592E-5</v>
      </c>
      <c r="R306" s="7">
        <f t="shared" si="16"/>
        <v>1.020920491244768E-3</v>
      </c>
    </row>
    <row r="307" spans="1:18" x14ac:dyDescent="0.25">
      <c r="A307" s="22">
        <v>45009</v>
      </c>
      <c r="B307" s="12">
        <v>185.68</v>
      </c>
      <c r="C307" s="13">
        <v>-6.6E-3</v>
      </c>
      <c r="D307" s="7">
        <v>655</v>
      </c>
      <c r="E307" s="7">
        <v>-2.5000000000000001E-3</v>
      </c>
      <c r="F307" s="7">
        <v>501</v>
      </c>
      <c r="G307" s="8">
        <f t="shared" si="18"/>
        <v>0.95113192356696086</v>
      </c>
      <c r="H307" s="9">
        <f t="shared" si="19"/>
        <v>1.0390303043335779E-3</v>
      </c>
      <c r="I307" s="10">
        <f>SUM($H$3:H307)</f>
        <v>0.31722555009843889</v>
      </c>
      <c r="J307" s="23">
        <v>-2.5000000000000001E-3</v>
      </c>
      <c r="Q307" s="7">
        <f t="shared" si="17"/>
        <v>9.3678332649564544E-5</v>
      </c>
      <c r="R307" s="7">
        <f t="shared" si="16"/>
        <v>1.0210225935041184E-3</v>
      </c>
    </row>
    <row r="308" spans="1:18" x14ac:dyDescent="0.25">
      <c r="A308" s="22">
        <v>45012</v>
      </c>
      <c r="B308" s="12">
        <v>186.18</v>
      </c>
      <c r="C308" s="13">
        <v>2.7000000000000001E-3</v>
      </c>
      <c r="D308" s="7">
        <v>654</v>
      </c>
      <c r="E308" s="7">
        <v>-2.5000000000000001E-3</v>
      </c>
      <c r="F308" s="7">
        <v>253</v>
      </c>
      <c r="G308" s="8">
        <f t="shared" si="18"/>
        <v>0.97501612946087146</v>
      </c>
      <c r="H308" s="9">
        <f t="shared" si="19"/>
        <v>1.065121757163432E-3</v>
      </c>
      <c r="I308" s="10">
        <f>SUM($H$3:H308)</f>
        <v>0.31829067185560234</v>
      </c>
      <c r="J308" s="23">
        <v>-2.5000000000000001E-3</v>
      </c>
      <c r="Q308" s="7">
        <f t="shared" si="17"/>
        <v>9.3687701419706496E-5</v>
      </c>
      <c r="R308" s="7">
        <f t="shared" si="16"/>
        <v>1.0211247059747155E-3</v>
      </c>
    </row>
    <row r="309" spans="1:18" x14ac:dyDescent="0.25">
      <c r="A309" s="22">
        <v>45013</v>
      </c>
      <c r="B309" s="12">
        <v>185.71</v>
      </c>
      <c r="C309" s="13">
        <v>-2.5000000000000001E-3</v>
      </c>
      <c r="D309" s="7">
        <v>653</v>
      </c>
      <c r="E309" s="7">
        <v>-2.5000000000000001E-3</v>
      </c>
      <c r="F309" s="7">
        <v>194</v>
      </c>
      <c r="G309" s="8">
        <f t="shared" si="18"/>
        <v>0.98078601755547046</v>
      </c>
      <c r="H309" s="9">
        <f t="shared" si="19"/>
        <v>1.0714248665790209E-3</v>
      </c>
      <c r="I309" s="10">
        <f>SUM($H$3:H309)</f>
        <v>0.31936209672218135</v>
      </c>
      <c r="J309" s="23">
        <v>-2.5000000000000001E-3</v>
      </c>
      <c r="Q309" s="7">
        <f t="shared" si="17"/>
        <v>9.3697071126819191E-5</v>
      </c>
      <c r="R309" s="7">
        <f t="shared" si="16"/>
        <v>1.0212268286575814E-3</v>
      </c>
    </row>
    <row r="310" spans="1:18" x14ac:dyDescent="0.25">
      <c r="A310" s="22">
        <v>45014</v>
      </c>
      <c r="B310" s="12">
        <v>187.09</v>
      </c>
      <c r="C310" s="13">
        <v>7.4000000000000003E-3</v>
      </c>
      <c r="D310" s="7">
        <v>652</v>
      </c>
      <c r="E310" s="7">
        <v>-2.5000000000000001E-3</v>
      </c>
      <c r="F310" s="7">
        <v>70</v>
      </c>
      <c r="G310" s="8">
        <f t="shared" si="18"/>
        <v>0.99302409535157043</v>
      </c>
      <c r="H310" s="9">
        <f t="shared" si="19"/>
        <v>1.0847939202106693E-3</v>
      </c>
      <c r="I310" s="10">
        <f>SUM($H$3:H310)</f>
        <v>0.32044689064239201</v>
      </c>
      <c r="J310" s="23">
        <v>-2.5000000000000001E-3</v>
      </c>
      <c r="Q310" s="7">
        <f t="shared" si="17"/>
        <v>9.370644177099629E-5</v>
      </c>
      <c r="R310" s="7">
        <f t="shared" si="16"/>
        <v>1.0213289615537368E-3</v>
      </c>
    </row>
    <row r="311" spans="1:18" x14ac:dyDescent="0.25">
      <c r="A311" s="22">
        <v>45016</v>
      </c>
      <c r="B311" s="12">
        <v>189.86</v>
      </c>
      <c r="C311" s="13">
        <v>1.4800000000000001E-2</v>
      </c>
      <c r="D311" s="7">
        <v>651</v>
      </c>
      <c r="E311" s="7">
        <v>-2.3999999999999998E-3</v>
      </c>
      <c r="F311" s="7">
        <v>929</v>
      </c>
      <c r="G311" s="8">
        <f t="shared" si="18"/>
        <v>0.91128039101284841</v>
      </c>
      <c r="H311" s="9">
        <f t="shared" si="19"/>
        <v>9.9549591234032709E-4</v>
      </c>
      <c r="I311" s="10">
        <f>SUM($H$3:H311)</f>
        <v>0.32144238655473234</v>
      </c>
      <c r="J311" s="23">
        <v>-2.3999999999999998E-3</v>
      </c>
      <c r="Q311" s="7">
        <f t="shared" si="17"/>
        <v>9.371581335233151E-5</v>
      </c>
      <c r="R311" s="7">
        <f t="shared" si="16"/>
        <v>1.021431104664203E-3</v>
      </c>
    </row>
    <row r="312" spans="1:18" x14ac:dyDescent="0.25">
      <c r="A312" s="22">
        <v>45019</v>
      </c>
      <c r="B312" s="12">
        <v>190.56</v>
      </c>
      <c r="C312" s="13">
        <v>3.7000000000000002E-3</v>
      </c>
      <c r="D312" s="7">
        <v>650</v>
      </c>
      <c r="E312" s="7">
        <v>-2.3999999999999998E-3</v>
      </c>
      <c r="F312" s="7">
        <v>821</v>
      </c>
      <c r="G312" s="8">
        <f t="shared" si="18"/>
        <v>0.92117605441912487</v>
      </c>
      <c r="H312" s="9">
        <f t="shared" si="19"/>
        <v>1.0063060785284691E-3</v>
      </c>
      <c r="I312" s="10">
        <f>SUM($H$3:H312)</f>
        <v>0.32244869263326081</v>
      </c>
      <c r="J312" s="23">
        <v>-2.3999999999999998E-3</v>
      </c>
      <c r="Q312" s="7">
        <f t="shared" si="17"/>
        <v>9.3725185870918606E-5</v>
      </c>
      <c r="R312" s="7">
        <f t="shared" si="16"/>
        <v>1.0215332579900022E-3</v>
      </c>
    </row>
    <row r="313" spans="1:18" x14ac:dyDescent="0.25">
      <c r="A313" s="22">
        <v>45021</v>
      </c>
      <c r="B313" s="12">
        <v>192.19</v>
      </c>
      <c r="C313" s="13">
        <v>8.6E-3</v>
      </c>
      <c r="D313" s="7">
        <v>649</v>
      </c>
      <c r="E313" s="7">
        <v>-2.3999999999999998E-3</v>
      </c>
      <c r="F313" s="7">
        <v>519</v>
      </c>
      <c r="G313" s="8">
        <f t="shared" si="18"/>
        <v>0.94942134056055094</v>
      </c>
      <c r="H313" s="9">
        <f t="shared" si="19"/>
        <v>1.0371616386546127E-3</v>
      </c>
      <c r="I313" s="10">
        <f>SUM($H$3:H313)</f>
        <v>0.32348585427191545</v>
      </c>
      <c r="J313" s="23">
        <v>-2.3999999999999998E-3</v>
      </c>
      <c r="Q313" s="7">
        <f t="shared" si="17"/>
        <v>9.3734559326851281E-5</v>
      </c>
      <c r="R313" s="7">
        <f t="shared" si="16"/>
        <v>1.0216354215321552E-3</v>
      </c>
    </row>
    <row r="314" spans="1:18" x14ac:dyDescent="0.25">
      <c r="A314" s="22">
        <v>45022</v>
      </c>
      <c r="B314" s="12">
        <v>192.94</v>
      </c>
      <c r="C314" s="13">
        <v>3.8999999999999998E-3</v>
      </c>
      <c r="D314" s="7">
        <v>648</v>
      </c>
      <c r="E314" s="7">
        <v>-2.3999999999999998E-3</v>
      </c>
      <c r="F314" s="7">
        <v>515</v>
      </c>
      <c r="G314" s="8">
        <f t="shared" si="18"/>
        <v>0.94980120405790092</v>
      </c>
      <c r="H314" s="9">
        <f t="shared" si="19"/>
        <v>1.0375766070469851E-3</v>
      </c>
      <c r="I314" s="10">
        <f>SUM($H$3:H314)</f>
        <v>0.32452343087896246</v>
      </c>
      <c r="J314" s="23">
        <v>-2.3999999999999998E-3</v>
      </c>
      <c r="Q314" s="7">
        <f t="shared" si="17"/>
        <v>9.3743933720223332E-5</v>
      </c>
      <c r="R314" s="7">
        <f t="shared" si="16"/>
        <v>1.0217375952916846E-3</v>
      </c>
    </row>
    <row r="315" spans="1:18" x14ac:dyDescent="0.25">
      <c r="A315" s="22">
        <v>45026</v>
      </c>
      <c r="B315" s="12">
        <v>192.64</v>
      </c>
      <c r="C315" s="13">
        <v>-1.6000000000000001E-3</v>
      </c>
      <c r="D315" s="7">
        <v>647</v>
      </c>
      <c r="E315" s="7">
        <v>-2.3999999999999998E-3</v>
      </c>
      <c r="F315" s="7">
        <v>275</v>
      </c>
      <c r="G315" s="8">
        <f t="shared" si="18"/>
        <v>0.97287334476250531</v>
      </c>
      <c r="H315" s="9">
        <f t="shared" si="19"/>
        <v>1.0627809480894235E-3</v>
      </c>
      <c r="I315" s="10">
        <f>SUM($H$3:H315)</f>
        <v>0.32558621182705189</v>
      </c>
      <c r="J315" s="23">
        <v>-2.3999999999999998E-3</v>
      </c>
      <c r="Q315" s="7">
        <f t="shared" si="17"/>
        <v>9.375330905112842E-5</v>
      </c>
      <c r="R315" s="7">
        <f t="shared" si="16"/>
        <v>1.0218397792696114E-3</v>
      </c>
    </row>
    <row r="316" spans="1:18" x14ac:dyDescent="0.25">
      <c r="A316" s="22">
        <v>45027</v>
      </c>
      <c r="B316" s="12">
        <v>193.76</v>
      </c>
      <c r="C316" s="13">
        <v>5.7999999999999996E-3</v>
      </c>
      <c r="D316" s="7">
        <v>646</v>
      </c>
      <c r="E316" s="7">
        <v>-2.3E-3</v>
      </c>
      <c r="F316" s="7">
        <v>770</v>
      </c>
      <c r="G316" s="8">
        <f t="shared" si="18"/>
        <v>0.92588628869977729</v>
      </c>
      <c r="H316" s="9">
        <f t="shared" si="19"/>
        <v>1.0114516067531499E-3</v>
      </c>
      <c r="I316" s="10">
        <f>SUM($H$3:H316)</f>
        <v>0.32659766343380503</v>
      </c>
      <c r="J316" s="23">
        <v>-2.3E-3</v>
      </c>
      <c r="Q316" s="7">
        <f t="shared" si="17"/>
        <v>9.3762685319660383E-5</v>
      </c>
      <c r="R316" s="7">
        <f t="shared" si="16"/>
        <v>1.021941973466958E-3</v>
      </c>
    </row>
    <row r="317" spans="1:18" x14ac:dyDescent="0.25">
      <c r="A317" s="22">
        <v>45028</v>
      </c>
      <c r="B317" s="12">
        <v>194.64</v>
      </c>
      <c r="C317" s="13">
        <v>4.4999999999999997E-3</v>
      </c>
      <c r="D317" s="7">
        <v>645</v>
      </c>
      <c r="E317" s="7">
        <v>-2.3E-3</v>
      </c>
      <c r="F317" s="7">
        <v>721</v>
      </c>
      <c r="G317" s="8">
        <f t="shared" si="18"/>
        <v>0.9304344929281162</v>
      </c>
      <c r="H317" s="9">
        <f t="shared" si="19"/>
        <v>1.016420130999313E-3</v>
      </c>
      <c r="I317" s="10">
        <f>SUM($H$3:H317)</f>
        <v>0.32761408356480437</v>
      </c>
      <c r="J317" s="23">
        <v>-2.3E-3</v>
      </c>
      <c r="Q317" s="7">
        <f t="shared" si="17"/>
        <v>9.3772062525912978E-5</v>
      </c>
      <c r="R317" s="7">
        <f t="shared" si="16"/>
        <v>1.0220441778847466E-3</v>
      </c>
    </row>
    <row r="318" spans="1:18" x14ac:dyDescent="0.25">
      <c r="A318" s="22">
        <v>45029</v>
      </c>
      <c r="B318" s="12">
        <v>194.77</v>
      </c>
      <c r="C318" s="13">
        <v>6.9999999999999999E-4</v>
      </c>
      <c r="D318" s="7">
        <v>644</v>
      </c>
      <c r="E318" s="7">
        <v>-2.3E-3</v>
      </c>
      <c r="F318" s="7">
        <v>687</v>
      </c>
      <c r="G318" s="8">
        <f t="shared" si="18"/>
        <v>0.93360351293875588</v>
      </c>
      <c r="H318" s="9">
        <f t="shared" si="19"/>
        <v>1.019882014408447E-3</v>
      </c>
      <c r="I318" s="10">
        <f>SUM($H$3:H318)</f>
        <v>0.32863396557921282</v>
      </c>
      <c r="J318" s="23">
        <v>-2.3E-3</v>
      </c>
      <c r="Q318" s="7">
        <f t="shared" si="17"/>
        <v>9.3781440669979974E-5</v>
      </c>
      <c r="R318" s="7">
        <f t="shared" si="16"/>
        <v>1.022146392523999E-3</v>
      </c>
    </row>
    <row r="319" spans="1:18" x14ac:dyDescent="0.25">
      <c r="A319" s="22">
        <v>45033</v>
      </c>
      <c r="B319" s="12">
        <v>193.91</v>
      </c>
      <c r="C319" s="13">
        <v>-4.4000000000000003E-3</v>
      </c>
      <c r="D319" s="7">
        <v>643</v>
      </c>
      <c r="E319" s="7">
        <v>-2.3E-3</v>
      </c>
      <c r="F319" s="7">
        <v>605</v>
      </c>
      <c r="G319" s="8">
        <f t="shared" si="18"/>
        <v>0.94129092141923443</v>
      </c>
      <c r="H319" s="9">
        <f t="shared" si="19"/>
        <v>1.0282798508968421E-3</v>
      </c>
      <c r="I319" s="10">
        <f>SUM($H$3:H319)</f>
        <v>0.32966224543010963</v>
      </c>
      <c r="J319" s="23">
        <v>-2.3E-3</v>
      </c>
      <c r="Q319" s="7">
        <f t="shared" si="17"/>
        <v>9.3790819751955168E-5</v>
      </c>
      <c r="R319" s="7">
        <f t="shared" si="16"/>
        <v>1.0222486173857375E-3</v>
      </c>
    </row>
    <row r="320" spans="1:18" x14ac:dyDescent="0.25">
      <c r="A320" s="22">
        <v>45034</v>
      </c>
      <c r="B320" s="12">
        <v>193.24</v>
      </c>
      <c r="C320" s="13">
        <v>-3.5000000000000001E-3</v>
      </c>
      <c r="D320" s="7">
        <v>642</v>
      </c>
      <c r="E320" s="7">
        <v>-2.3E-3</v>
      </c>
      <c r="F320" s="7">
        <v>190</v>
      </c>
      <c r="G320" s="8">
        <f t="shared" si="18"/>
        <v>0.98117843006071359</v>
      </c>
      <c r="H320" s="9">
        <f t="shared" si="19"/>
        <v>1.0718535436895714E-3</v>
      </c>
      <c r="I320" s="10">
        <f>SUM($H$3:H320)</f>
        <v>0.33073409897379918</v>
      </c>
      <c r="J320" s="23">
        <v>-2.3E-3</v>
      </c>
      <c r="Q320" s="7">
        <f t="shared" si="17"/>
        <v>9.3800199771932357E-5</v>
      </c>
      <c r="R320" s="7">
        <f t="shared" si="16"/>
        <v>1.0223508524709846E-3</v>
      </c>
    </row>
    <row r="321" spans="1:18" x14ac:dyDescent="0.25">
      <c r="A321" s="22">
        <v>45035</v>
      </c>
      <c r="B321" s="12">
        <v>192.86</v>
      </c>
      <c r="C321" s="13">
        <v>-2E-3</v>
      </c>
      <c r="D321" s="7">
        <v>641</v>
      </c>
      <c r="E321" s="7">
        <v>-2.3E-3</v>
      </c>
      <c r="F321" s="7">
        <v>174</v>
      </c>
      <c r="G321" s="8">
        <f t="shared" si="18"/>
        <v>0.98274965075249721</v>
      </c>
      <c r="H321" s="9">
        <f t="shared" si="19"/>
        <v>1.0735699679553417E-3</v>
      </c>
      <c r="I321" s="10">
        <f>SUM($H$3:H321)</f>
        <v>0.33180766894175451</v>
      </c>
      <c r="J321" s="23">
        <v>-2.3E-3</v>
      </c>
      <c r="Q321" s="7">
        <f t="shared" si="17"/>
        <v>9.3809580730005353E-5</v>
      </c>
      <c r="R321" s="7">
        <f t="shared" si="16"/>
        <v>1.0224530977807626E-3</v>
      </c>
    </row>
    <row r="322" spans="1:18" x14ac:dyDescent="0.25">
      <c r="A322" s="22">
        <v>45036</v>
      </c>
      <c r="B322" s="12">
        <v>192.99</v>
      </c>
      <c r="C322" s="13">
        <v>6.9999999999999999E-4</v>
      </c>
      <c r="D322" s="7">
        <v>640</v>
      </c>
      <c r="E322" s="7">
        <v>-2.3E-3</v>
      </c>
      <c r="F322" s="7">
        <v>101</v>
      </c>
      <c r="G322" s="8">
        <f t="shared" si="18"/>
        <v>0.9899503337575043</v>
      </c>
      <c r="H322" s="9">
        <f t="shared" si="19"/>
        <v>1.081436098477009E-3</v>
      </c>
      <c r="I322" s="10">
        <f>SUM($H$3:H322)</f>
        <v>0.3328891050402315</v>
      </c>
      <c r="J322" s="23">
        <v>-2.3E-3</v>
      </c>
      <c r="Q322" s="7">
        <f t="shared" si="17"/>
        <v>9.3818962626267992E-5</v>
      </c>
      <c r="R322" s="7">
        <f t="shared" ref="R322:R385" si="20">Q322/$U$2</f>
        <v>1.0225553533160943E-3</v>
      </c>
    </row>
    <row r="323" spans="1:18" x14ac:dyDescent="0.25">
      <c r="A323" s="22">
        <v>45037</v>
      </c>
      <c r="B323" s="12">
        <v>192.85</v>
      </c>
      <c r="C323" s="13">
        <v>-6.9999999999999999E-4</v>
      </c>
      <c r="D323" s="7">
        <v>639</v>
      </c>
      <c r="E323" s="7">
        <v>-2.2000000000000001E-3</v>
      </c>
      <c r="F323" s="7">
        <v>937</v>
      </c>
      <c r="G323" s="8">
        <f t="shared" si="18"/>
        <v>0.91055162180752247</v>
      </c>
      <c r="H323" s="9">
        <f t="shared" si="19"/>
        <v>9.9469979429356965E-4</v>
      </c>
      <c r="I323" s="10">
        <f>SUM($H$3:H323)</f>
        <v>0.33388380483452507</v>
      </c>
      <c r="J323" s="23">
        <v>-2.2000000000000001E-3</v>
      </c>
      <c r="Q323" s="7">
        <f t="shared" ref="Q323:Q386" si="21">(1-$N$3) * $N$3^(D324-1)</f>
        <v>9.3828345460814059E-5</v>
      </c>
      <c r="R323" s="7">
        <f t="shared" si="20"/>
        <v>1.0226576190780019E-3</v>
      </c>
    </row>
    <row r="324" spans="1:18" x14ac:dyDescent="0.25">
      <c r="A324" s="22">
        <v>45040</v>
      </c>
      <c r="B324" s="12">
        <v>193.95</v>
      </c>
      <c r="C324" s="13">
        <v>5.7000000000000002E-3</v>
      </c>
      <c r="D324" s="7">
        <v>638</v>
      </c>
      <c r="E324" s="7">
        <v>-2.2000000000000001E-3</v>
      </c>
      <c r="F324" s="7">
        <v>869</v>
      </c>
      <c r="G324" s="8">
        <f t="shared" ref="G324:G387" si="22">$N$3^F324</f>
        <v>0.9167647843090555</v>
      </c>
      <c r="H324" s="9">
        <f t="shared" ref="H324:H387" si="23">G324/$N$4</f>
        <v>1.001487143098593E-3</v>
      </c>
      <c r="I324" s="10">
        <f>SUM($H$3:H324)</f>
        <v>0.33488529197762368</v>
      </c>
      <c r="J324" s="23">
        <v>-2.2000000000000001E-3</v>
      </c>
      <c r="Q324" s="7">
        <f t="shared" si="21"/>
        <v>9.3837729233737417E-5</v>
      </c>
      <c r="R324" s="7">
        <f t="shared" si="20"/>
        <v>1.0227598950675086E-3</v>
      </c>
    </row>
    <row r="325" spans="1:18" x14ac:dyDescent="0.25">
      <c r="A325" s="22">
        <v>45041</v>
      </c>
      <c r="B325" s="12">
        <v>194.13</v>
      </c>
      <c r="C325" s="13">
        <v>8.9999999999999998E-4</v>
      </c>
      <c r="D325" s="7">
        <v>637</v>
      </c>
      <c r="E325" s="7">
        <v>-2.2000000000000001E-3</v>
      </c>
      <c r="F325" s="7">
        <v>866</v>
      </c>
      <c r="G325" s="8">
        <f t="shared" si="22"/>
        <v>0.91703986875940413</v>
      </c>
      <c r="H325" s="9">
        <f t="shared" si="23"/>
        <v>1.0017876493407674E-3</v>
      </c>
      <c r="I325" s="10">
        <f>SUM($H$3:H325)</f>
        <v>0.33588707962696446</v>
      </c>
      <c r="J325" s="23">
        <v>-2.2000000000000001E-3</v>
      </c>
      <c r="Q325" s="7">
        <f t="shared" si="21"/>
        <v>9.3847113945131933E-5</v>
      </c>
      <c r="R325" s="7">
        <f t="shared" si="20"/>
        <v>1.0228621812856371E-3</v>
      </c>
    </row>
    <row r="326" spans="1:18" x14ac:dyDescent="0.25">
      <c r="A326" s="22">
        <v>45042</v>
      </c>
      <c r="B326" s="12">
        <v>194.62</v>
      </c>
      <c r="C326" s="13">
        <v>2.5000000000000001E-3</v>
      </c>
      <c r="D326" s="7">
        <v>636</v>
      </c>
      <c r="E326" s="7">
        <v>-2.2000000000000001E-3</v>
      </c>
      <c r="F326" s="7">
        <v>776</v>
      </c>
      <c r="G326" s="8">
        <f t="shared" si="22"/>
        <v>0.92533089579098449</v>
      </c>
      <c r="H326" s="9">
        <f t="shared" si="23"/>
        <v>1.0108448874866117E-3</v>
      </c>
      <c r="I326" s="10">
        <f>SUM($H$3:H326)</f>
        <v>0.33689792451445105</v>
      </c>
      <c r="J326" s="23">
        <v>-2.2000000000000001E-3</v>
      </c>
      <c r="Q326" s="7">
        <f t="shared" si="21"/>
        <v>9.3856499595091443E-5</v>
      </c>
      <c r="R326" s="7">
        <f t="shared" si="20"/>
        <v>1.0229644777334105E-3</v>
      </c>
    </row>
    <row r="327" spans="1:18" x14ac:dyDescent="0.25">
      <c r="A327" s="22">
        <v>45043</v>
      </c>
      <c r="B327" s="12">
        <v>195.93</v>
      </c>
      <c r="C327" s="13">
        <v>6.7000000000000002E-3</v>
      </c>
      <c r="D327" s="7">
        <v>635</v>
      </c>
      <c r="E327" s="7">
        <v>-2.2000000000000001E-3</v>
      </c>
      <c r="F327" s="7">
        <v>229</v>
      </c>
      <c r="G327" s="8">
        <f t="shared" si="22"/>
        <v>0.97735909575671942</v>
      </c>
      <c r="H327" s="9">
        <f t="shared" si="23"/>
        <v>1.0676812475170821E-3</v>
      </c>
      <c r="I327" s="10">
        <f>SUM($H$3:H327)</f>
        <v>0.33796560576196816</v>
      </c>
      <c r="J327" s="23">
        <v>-2.2000000000000001E-3</v>
      </c>
      <c r="Q327" s="7">
        <f t="shared" si="21"/>
        <v>9.3865886183709812E-5</v>
      </c>
      <c r="R327" s="7">
        <f t="shared" si="20"/>
        <v>1.0230667844118517E-3</v>
      </c>
    </row>
    <row r="328" spans="1:18" x14ac:dyDescent="0.25">
      <c r="A328" s="22">
        <v>45044</v>
      </c>
      <c r="B328" s="12">
        <v>197.29</v>
      </c>
      <c r="C328" s="13">
        <v>6.8999999999999999E-3</v>
      </c>
      <c r="D328" s="7">
        <v>634</v>
      </c>
      <c r="E328" s="7">
        <v>-2.0999999999999999E-3</v>
      </c>
      <c r="F328" s="7">
        <v>467</v>
      </c>
      <c r="G328" s="8">
        <f t="shared" si="22"/>
        <v>0.95437143813940117</v>
      </c>
      <c r="H328" s="9">
        <f t="shared" si="23"/>
        <v>1.0425691970241658E-3</v>
      </c>
      <c r="I328" s="10">
        <f>SUM($H$3:H328)</f>
        <v>0.33900817495899233</v>
      </c>
      <c r="J328" s="23">
        <v>-2.0999999999999999E-3</v>
      </c>
      <c r="Q328" s="7">
        <f t="shared" si="21"/>
        <v>9.3875273711080919E-5</v>
      </c>
      <c r="R328" s="7">
        <f t="shared" si="20"/>
        <v>1.0231691013219838E-3</v>
      </c>
    </row>
    <row r="329" spans="1:18" x14ac:dyDescent="0.25">
      <c r="A329" s="22">
        <v>45048</v>
      </c>
      <c r="B329" s="12">
        <v>198.39</v>
      </c>
      <c r="C329" s="13">
        <v>5.5999999999999999E-3</v>
      </c>
      <c r="D329" s="7">
        <v>633</v>
      </c>
      <c r="E329" s="7">
        <v>-2.0999999999999999E-3</v>
      </c>
      <c r="F329" s="7">
        <v>385</v>
      </c>
      <c r="G329" s="8">
        <f t="shared" si="22"/>
        <v>0.9622298523220828</v>
      </c>
      <c r="H329" s="9">
        <f t="shared" si="23"/>
        <v>1.0511538426211612E-3</v>
      </c>
      <c r="I329" s="10">
        <f>SUM($H$3:H329)</f>
        <v>0.34005932880161349</v>
      </c>
      <c r="J329" s="23">
        <v>-2.0999999999999999E-3</v>
      </c>
      <c r="Q329" s="7">
        <f t="shared" si="21"/>
        <v>9.3884662177298641E-5</v>
      </c>
      <c r="R329" s="7">
        <f t="shared" si="20"/>
        <v>1.0232714284648303E-3</v>
      </c>
    </row>
    <row r="330" spans="1:18" x14ac:dyDescent="0.25">
      <c r="A330" s="22">
        <v>45049</v>
      </c>
      <c r="B330" s="12">
        <v>197.68</v>
      </c>
      <c r="C330" s="13">
        <v>-3.5999999999999999E-3</v>
      </c>
      <c r="D330" s="7">
        <v>632</v>
      </c>
      <c r="E330" s="7">
        <v>-2.0999999999999999E-3</v>
      </c>
      <c r="F330" s="7">
        <v>273</v>
      </c>
      <c r="G330" s="8">
        <f t="shared" si="22"/>
        <v>0.97306794862154999</v>
      </c>
      <c r="H330" s="9">
        <f t="shared" si="23"/>
        <v>1.0629935361667214E-3</v>
      </c>
      <c r="I330" s="10">
        <f>SUM($H$3:H330)</f>
        <v>0.34112232233778023</v>
      </c>
      <c r="J330" s="23">
        <v>-2.0999999999999999E-3</v>
      </c>
      <c r="Q330" s="7">
        <f t="shared" si="21"/>
        <v>9.3894051582456886E-5</v>
      </c>
      <c r="R330" s="7">
        <f t="shared" si="20"/>
        <v>1.0233737658414143E-3</v>
      </c>
    </row>
    <row r="331" spans="1:18" x14ac:dyDescent="0.25">
      <c r="A331" s="22">
        <v>45050</v>
      </c>
      <c r="B331" s="12">
        <v>199.44</v>
      </c>
      <c r="C331" s="13">
        <v>8.8999999999999999E-3</v>
      </c>
      <c r="D331" s="7">
        <v>631</v>
      </c>
      <c r="E331" s="7">
        <v>-2E-3</v>
      </c>
      <c r="F331" s="7">
        <v>684</v>
      </c>
      <c r="G331" s="8">
        <f t="shared" si="22"/>
        <v>0.93388365001818563</v>
      </c>
      <c r="H331" s="9">
        <f t="shared" si="23"/>
        <v>1.0201880402158905E-3</v>
      </c>
      <c r="I331" s="10">
        <f>SUM($H$3:H331)</f>
        <v>0.34214251037799609</v>
      </c>
      <c r="J331" s="23">
        <v>-2E-3</v>
      </c>
      <c r="Q331" s="7">
        <f t="shared" si="21"/>
        <v>9.3903441926649557E-5</v>
      </c>
      <c r="R331" s="7">
        <f t="shared" si="20"/>
        <v>1.0234761134527597E-3</v>
      </c>
    </row>
    <row r="332" spans="1:18" x14ac:dyDescent="0.25">
      <c r="A332" s="22">
        <v>45051</v>
      </c>
      <c r="B332" s="12">
        <v>197.84</v>
      </c>
      <c r="C332" s="13">
        <v>-8.0000000000000002E-3</v>
      </c>
      <c r="D332" s="7">
        <v>630</v>
      </c>
      <c r="E332" s="7">
        <v>-2E-3</v>
      </c>
      <c r="F332" s="7">
        <v>641</v>
      </c>
      <c r="G332" s="8">
        <f t="shared" si="22"/>
        <v>0.93790819751965493</v>
      </c>
      <c r="H332" s="9">
        <f t="shared" si="23"/>
        <v>1.0245845142608102E-3</v>
      </c>
      <c r="I332" s="10">
        <f>SUM($H$3:H332)</f>
        <v>0.34316709489225689</v>
      </c>
      <c r="J332" s="23">
        <v>-2E-3</v>
      </c>
      <c r="Q332" s="7">
        <f t="shared" si="21"/>
        <v>9.3912833209970547E-5</v>
      </c>
      <c r="R332" s="7">
        <f t="shared" si="20"/>
        <v>1.0235784712998896E-3</v>
      </c>
    </row>
    <row r="333" spans="1:18" x14ac:dyDescent="0.25">
      <c r="A333" s="22">
        <v>45054</v>
      </c>
      <c r="B333" s="12">
        <v>199.71</v>
      </c>
      <c r="C333" s="13">
        <v>9.4999999999999998E-3</v>
      </c>
      <c r="D333" s="7">
        <v>629</v>
      </c>
      <c r="E333" s="7">
        <v>-2E-3</v>
      </c>
      <c r="F333" s="7">
        <v>420</v>
      </c>
      <c r="G333" s="8">
        <f t="shared" si="22"/>
        <v>0.95886776681381847</v>
      </c>
      <c r="H333" s="9">
        <f t="shared" si="23"/>
        <v>1.0474810516630502E-3</v>
      </c>
      <c r="I333" s="10">
        <f>SUM($H$3:H333)</f>
        <v>0.34421457594391991</v>
      </c>
      <c r="J333" s="23">
        <v>-2E-3</v>
      </c>
      <c r="Q333" s="7">
        <f t="shared" si="21"/>
        <v>9.3922225432513788E-5</v>
      </c>
      <c r="R333" s="7">
        <f t="shared" si="20"/>
        <v>1.023680839383828E-3</v>
      </c>
    </row>
    <row r="334" spans="1:18" x14ac:dyDescent="0.25">
      <c r="A334" s="22">
        <v>45055</v>
      </c>
      <c r="B334" s="12">
        <v>199.7</v>
      </c>
      <c r="C334" s="13">
        <v>-1E-4</v>
      </c>
      <c r="D334" s="7">
        <v>628</v>
      </c>
      <c r="E334" s="7">
        <v>-2E-3</v>
      </c>
      <c r="F334" s="7">
        <v>367</v>
      </c>
      <c r="G334" s="8">
        <f t="shared" si="22"/>
        <v>0.96396351256682777</v>
      </c>
      <c r="H334" s="9">
        <f t="shared" si="23"/>
        <v>1.0530477182098944E-3</v>
      </c>
      <c r="I334" s="10">
        <f>SUM($H$3:H334)</f>
        <v>0.34526762366212982</v>
      </c>
      <c r="J334" s="23">
        <v>-2E-3</v>
      </c>
      <c r="Q334" s="7">
        <f t="shared" si="21"/>
        <v>9.3931618594373241E-5</v>
      </c>
      <c r="R334" s="7">
        <f t="shared" si="20"/>
        <v>1.0237832177055987E-3</v>
      </c>
    </row>
    <row r="335" spans="1:18" x14ac:dyDescent="0.25">
      <c r="A335" s="22">
        <v>45056</v>
      </c>
      <c r="B335" s="12">
        <v>200</v>
      </c>
      <c r="C335" s="13">
        <v>1.5E-3</v>
      </c>
      <c r="D335" s="7">
        <v>627</v>
      </c>
      <c r="E335" s="7">
        <v>-2E-3</v>
      </c>
      <c r="F335" s="7">
        <v>157</v>
      </c>
      <c r="G335" s="8">
        <f t="shared" si="22"/>
        <v>0.98442182971850234</v>
      </c>
      <c r="H335" s="9">
        <f t="shared" si="23"/>
        <v>1.0753966805037258E-3</v>
      </c>
      <c r="I335" s="10">
        <f>SUM($H$3:H335)</f>
        <v>0.34634302034263353</v>
      </c>
      <c r="J335" s="23">
        <v>-2E-3</v>
      </c>
      <c r="Q335" s="7">
        <f t="shared" si="21"/>
        <v>9.3941012695642796E-5</v>
      </c>
      <c r="R335" s="7">
        <f t="shared" si="20"/>
        <v>1.0238856062662251E-3</v>
      </c>
    </row>
    <row r="336" spans="1:18" x14ac:dyDescent="0.25">
      <c r="A336" s="22">
        <v>45057</v>
      </c>
      <c r="B336" s="12">
        <v>200.35</v>
      </c>
      <c r="C336" s="13">
        <v>1.8E-3</v>
      </c>
      <c r="D336" s="7">
        <v>626</v>
      </c>
      <c r="E336" s="7">
        <v>-2E-3</v>
      </c>
      <c r="F336" s="7">
        <v>119</v>
      </c>
      <c r="G336" s="8">
        <f t="shared" si="22"/>
        <v>0.98816993697325517</v>
      </c>
      <c r="H336" s="9">
        <f t="shared" si="23"/>
        <v>1.0794911672148604E-3</v>
      </c>
      <c r="I336" s="10">
        <f>SUM($H$3:H336)</f>
        <v>0.34742251150984838</v>
      </c>
      <c r="J336" s="23">
        <v>-2E-3</v>
      </c>
      <c r="Q336" s="7">
        <f t="shared" si="21"/>
        <v>9.3950407736416428E-5</v>
      </c>
      <c r="R336" s="7">
        <f t="shared" si="20"/>
        <v>1.0239880050667317E-3</v>
      </c>
    </row>
    <row r="337" spans="1:18" x14ac:dyDescent="0.25">
      <c r="A337" s="22">
        <v>45058</v>
      </c>
      <c r="B337" s="12">
        <v>200.26</v>
      </c>
      <c r="C337" s="13">
        <v>-4.0000000000000002E-4</v>
      </c>
      <c r="D337" s="7">
        <v>625</v>
      </c>
      <c r="E337" s="7">
        <v>-2E-3</v>
      </c>
      <c r="F337" s="7">
        <v>117</v>
      </c>
      <c r="G337" s="8">
        <f t="shared" si="22"/>
        <v>0.98836760060970119</v>
      </c>
      <c r="H337" s="9">
        <f t="shared" si="23"/>
        <v>1.079707097837357E-3</v>
      </c>
      <c r="I337" s="10">
        <f>SUM($H$3:H337)</f>
        <v>0.34850221860768571</v>
      </c>
      <c r="J337" s="23">
        <v>-2E-3</v>
      </c>
      <c r="Q337" s="7">
        <f t="shared" si="21"/>
        <v>9.3959803716788109E-5</v>
      </c>
      <c r="R337" s="7">
        <f t="shared" si="20"/>
        <v>1.0240904141081426E-3</v>
      </c>
    </row>
    <row r="338" spans="1:18" x14ac:dyDescent="0.25">
      <c r="A338" s="22">
        <v>45061</v>
      </c>
      <c r="B338" s="12">
        <v>201.34</v>
      </c>
      <c r="C338" s="13">
        <v>5.4000000000000003E-3</v>
      </c>
      <c r="D338" s="7">
        <v>624</v>
      </c>
      <c r="E338" s="7">
        <v>-1.9E-3</v>
      </c>
      <c r="F338" s="7">
        <v>926</v>
      </c>
      <c r="G338" s="8">
        <f t="shared" si="22"/>
        <v>0.91155382981609001</v>
      </c>
      <c r="H338" s="9">
        <f t="shared" si="23"/>
        <v>9.9579462085374031E-4</v>
      </c>
      <c r="I338" s="10">
        <f>SUM($H$3:H338)</f>
        <v>0.34949801322853946</v>
      </c>
      <c r="J338" s="23">
        <v>-1.9E-3</v>
      </c>
      <c r="Q338" s="7">
        <f t="shared" si="21"/>
        <v>9.3969200636851799E-5</v>
      </c>
      <c r="R338" s="7">
        <f t="shared" si="20"/>
        <v>1.0241928333914819E-3</v>
      </c>
    </row>
    <row r="339" spans="1:18" x14ac:dyDescent="0.25">
      <c r="A339" s="22">
        <v>45062</v>
      </c>
      <c r="B339" s="12">
        <v>200.51</v>
      </c>
      <c r="C339" s="13">
        <v>-4.1000000000000003E-3</v>
      </c>
      <c r="D339" s="7">
        <v>623</v>
      </c>
      <c r="E339" s="7">
        <v>-1.9E-3</v>
      </c>
      <c r="F339" s="7">
        <v>872</v>
      </c>
      <c r="G339" s="8">
        <f t="shared" si="22"/>
        <v>0.91648978237578949</v>
      </c>
      <c r="H339" s="9">
        <f t="shared" si="23"/>
        <v>1.0011867269992761E-3</v>
      </c>
      <c r="I339" s="10">
        <f>SUM($H$3:H339)</f>
        <v>0.35049919995553874</v>
      </c>
      <c r="J339" s="23">
        <v>-1.9E-3</v>
      </c>
      <c r="Q339" s="7">
        <f t="shared" si="21"/>
        <v>9.3978598496701458E-5</v>
      </c>
      <c r="R339" s="7">
        <f t="shared" si="20"/>
        <v>1.0242952629177734E-3</v>
      </c>
    </row>
    <row r="340" spans="1:18" x14ac:dyDescent="0.25">
      <c r="A340" s="22">
        <v>45063</v>
      </c>
      <c r="B340" s="12">
        <v>199.76</v>
      </c>
      <c r="C340" s="13">
        <v>-3.7000000000000002E-3</v>
      </c>
      <c r="D340" s="7">
        <v>622</v>
      </c>
      <c r="E340" s="7">
        <v>-1.9E-3</v>
      </c>
      <c r="F340" s="7">
        <v>358</v>
      </c>
      <c r="G340" s="8">
        <f t="shared" si="22"/>
        <v>0.9648315136708201</v>
      </c>
      <c r="H340" s="9">
        <f t="shared" si="23"/>
        <v>1.0539959352015614E-3</v>
      </c>
      <c r="I340" s="10">
        <f>SUM($H$3:H340)</f>
        <v>0.3515531958907403</v>
      </c>
      <c r="J340" s="23">
        <v>-1.9E-3</v>
      </c>
      <c r="Q340" s="7">
        <f t="shared" si="21"/>
        <v>9.39879972964311E-5</v>
      </c>
      <c r="R340" s="7">
        <f t="shared" si="20"/>
        <v>1.0243977026880421E-3</v>
      </c>
    </row>
    <row r="341" spans="1:18" x14ac:dyDescent="0.25">
      <c r="A341" s="22">
        <v>45064</v>
      </c>
      <c r="B341" s="12">
        <v>199.05</v>
      </c>
      <c r="C341" s="13">
        <v>-3.5999999999999999E-3</v>
      </c>
      <c r="D341" s="7">
        <v>621</v>
      </c>
      <c r="E341" s="7">
        <v>-1.9E-3</v>
      </c>
      <c r="F341" s="7">
        <v>289</v>
      </c>
      <c r="G341" s="8">
        <f t="shared" si="22"/>
        <v>0.9715122070405533</v>
      </c>
      <c r="H341" s="9">
        <f t="shared" si="23"/>
        <v>1.0612940215060157E-3</v>
      </c>
      <c r="I341" s="10">
        <f>SUM($H$3:H341)</f>
        <v>0.35261448991224631</v>
      </c>
      <c r="J341" s="23">
        <v>-1.9E-3</v>
      </c>
      <c r="Q341" s="7">
        <f t="shared" si="21"/>
        <v>9.3997397036134711E-5</v>
      </c>
      <c r="R341" s="7">
        <f t="shared" si="20"/>
        <v>1.0245001527033125E-3</v>
      </c>
    </row>
    <row r="342" spans="1:18" x14ac:dyDescent="0.25">
      <c r="A342" s="22">
        <v>45065</v>
      </c>
      <c r="B342" s="12">
        <v>199.82</v>
      </c>
      <c r="C342" s="13">
        <v>3.8999999999999998E-3</v>
      </c>
      <c r="D342" s="7">
        <v>620</v>
      </c>
      <c r="E342" s="7">
        <v>-1.8E-3</v>
      </c>
      <c r="F342" s="7">
        <v>732</v>
      </c>
      <c r="G342" s="8">
        <f t="shared" si="22"/>
        <v>0.9294115265713756</v>
      </c>
      <c r="H342" s="9">
        <f t="shared" si="23"/>
        <v>1.0153026277186102E-3</v>
      </c>
      <c r="I342" s="10">
        <f>SUM($H$3:H342)</f>
        <v>0.3536297925399649</v>
      </c>
      <c r="J342" s="23">
        <v>-1.8E-3</v>
      </c>
      <c r="Q342" s="7">
        <f t="shared" si="21"/>
        <v>9.4006797715906292E-5</v>
      </c>
      <c r="R342" s="7">
        <f t="shared" si="20"/>
        <v>1.0246026129646089E-3</v>
      </c>
    </row>
    <row r="343" spans="1:18" x14ac:dyDescent="0.25">
      <c r="A343" s="22">
        <v>45068</v>
      </c>
      <c r="B343" s="12">
        <v>200.74</v>
      </c>
      <c r="C343" s="13">
        <v>4.5999999999999999E-3</v>
      </c>
      <c r="D343" s="7">
        <v>619</v>
      </c>
      <c r="E343" s="7">
        <v>-1.8E-3</v>
      </c>
      <c r="F343" s="7">
        <v>339</v>
      </c>
      <c r="G343" s="8">
        <f t="shared" si="22"/>
        <v>0.96666652801060216</v>
      </c>
      <c r="H343" s="9">
        <f t="shared" si="23"/>
        <v>1.0560005314733066E-3</v>
      </c>
      <c r="I343" s="10">
        <f>SUM($H$3:H343)</f>
        <v>0.35468579307143822</v>
      </c>
      <c r="J343" s="23">
        <v>-1.8E-3</v>
      </c>
      <c r="Q343" s="7">
        <f t="shared" si="21"/>
        <v>9.401619933583987E-5</v>
      </c>
      <c r="R343" s="7">
        <f t="shared" si="20"/>
        <v>1.0247050834729561E-3</v>
      </c>
    </row>
    <row r="344" spans="1:18" x14ac:dyDescent="0.25">
      <c r="A344" s="22">
        <v>45069</v>
      </c>
      <c r="B344" s="12">
        <v>201.02</v>
      </c>
      <c r="C344" s="13">
        <v>1.4E-3</v>
      </c>
      <c r="D344" s="7">
        <v>618</v>
      </c>
      <c r="E344" s="7">
        <v>-1.8E-3</v>
      </c>
      <c r="F344" s="7">
        <v>52</v>
      </c>
      <c r="G344" s="8">
        <f t="shared" si="22"/>
        <v>0.99481323792704779</v>
      </c>
      <c r="H344" s="9">
        <f t="shared" si="23"/>
        <v>1.086748405501966E-3</v>
      </c>
      <c r="I344" s="10">
        <f>SUM($H$3:H344)</f>
        <v>0.35577254147694021</v>
      </c>
      <c r="J344" s="23">
        <v>-1.8E-3</v>
      </c>
      <c r="Q344" s="7">
        <f t="shared" si="21"/>
        <v>9.4025601896029472E-5</v>
      </c>
      <c r="R344" s="7">
        <f t="shared" si="20"/>
        <v>1.0248075642293791E-3</v>
      </c>
    </row>
    <row r="345" spans="1:18" x14ac:dyDescent="0.25">
      <c r="A345" s="22">
        <v>45070</v>
      </c>
      <c r="B345" s="12">
        <v>200.24</v>
      </c>
      <c r="C345" s="13">
        <v>-3.8999999999999998E-3</v>
      </c>
      <c r="D345" s="7">
        <v>617</v>
      </c>
      <c r="E345" s="7">
        <v>-1.6999999999999999E-3</v>
      </c>
      <c r="F345" s="7">
        <v>880</v>
      </c>
      <c r="G345" s="8">
        <f t="shared" si="22"/>
        <v>0.91575684711571104</v>
      </c>
      <c r="H345" s="9">
        <f t="shared" si="23"/>
        <v>1.0003860578939011E-3</v>
      </c>
      <c r="I345" s="10">
        <f>SUM($H$3:H345)</f>
        <v>0.35677292753483408</v>
      </c>
      <c r="J345" s="23">
        <v>-1.6999999999999999E-3</v>
      </c>
      <c r="Q345" s="7">
        <f t="shared" si="21"/>
        <v>9.4035005396569141E-5</v>
      </c>
      <c r="R345" s="7">
        <f t="shared" si="20"/>
        <v>1.0249100552349026E-3</v>
      </c>
    </row>
    <row r="346" spans="1:18" x14ac:dyDescent="0.25">
      <c r="A346" s="22">
        <v>45071</v>
      </c>
      <c r="B346" s="12">
        <v>200.7</v>
      </c>
      <c r="C346" s="13">
        <v>2.3E-3</v>
      </c>
      <c r="D346" s="7">
        <v>616</v>
      </c>
      <c r="E346" s="7">
        <v>-1.6999999999999999E-3</v>
      </c>
      <c r="F346" s="7">
        <v>677</v>
      </c>
      <c r="G346" s="8">
        <f t="shared" si="22"/>
        <v>0.93453763013908608</v>
      </c>
      <c r="H346" s="9">
        <f t="shared" si="23"/>
        <v>1.0209024575824101E-3</v>
      </c>
      <c r="I346" s="10">
        <f>SUM($H$3:H346)</f>
        <v>0.35779382999241649</v>
      </c>
      <c r="J346" s="23">
        <v>-1.6999999999999999E-3</v>
      </c>
      <c r="Q346" s="7">
        <f t="shared" si="21"/>
        <v>9.4044409837552888E-5</v>
      </c>
      <c r="R346" s="7">
        <f t="shared" si="20"/>
        <v>1.0250125564905516E-3</v>
      </c>
    </row>
    <row r="347" spans="1:18" x14ac:dyDescent="0.25">
      <c r="A347" s="22">
        <v>45072</v>
      </c>
      <c r="B347" s="12">
        <v>202.85</v>
      </c>
      <c r="C347" s="13">
        <v>1.0699999999999999E-2</v>
      </c>
      <c r="D347" s="7">
        <v>615</v>
      </c>
      <c r="E347" s="7">
        <v>-1.6999999999999999E-3</v>
      </c>
      <c r="F347" s="7">
        <v>337</v>
      </c>
      <c r="G347" s="8">
        <f t="shared" si="22"/>
        <v>0.96685989032006714</v>
      </c>
      <c r="H347" s="9">
        <f t="shared" si="23"/>
        <v>1.0562117632638417E-3</v>
      </c>
      <c r="I347" s="10">
        <f>SUM($H$3:H347)</f>
        <v>0.3588500417556803</v>
      </c>
      <c r="J347" s="23">
        <v>-1.6999999999999999E-3</v>
      </c>
      <c r="Q347" s="7">
        <f t="shared" si="21"/>
        <v>9.4053815219074797E-5</v>
      </c>
      <c r="R347" s="7">
        <f t="shared" si="20"/>
        <v>1.0251150679973513E-3</v>
      </c>
    </row>
    <row r="348" spans="1:18" x14ac:dyDescent="0.25">
      <c r="A348" s="22">
        <v>45075</v>
      </c>
      <c r="B348" s="12">
        <v>204.14</v>
      </c>
      <c r="C348" s="13">
        <v>6.4000000000000003E-3</v>
      </c>
      <c r="D348" s="7">
        <v>614</v>
      </c>
      <c r="E348" s="7">
        <v>-1.6999999999999999E-3</v>
      </c>
      <c r="F348" s="7">
        <v>265</v>
      </c>
      <c r="G348" s="8">
        <f t="shared" si="22"/>
        <v>0.97384675340170879</v>
      </c>
      <c r="H348" s="9">
        <f t="shared" si="23"/>
        <v>1.0638443138009219E-3</v>
      </c>
      <c r="I348" s="10">
        <f>SUM($H$3:H348)</f>
        <v>0.35991388606948121</v>
      </c>
      <c r="J348" s="23">
        <v>-1.6999999999999999E-3</v>
      </c>
      <c r="Q348" s="7">
        <f t="shared" si="21"/>
        <v>9.4063221541228908E-5</v>
      </c>
      <c r="R348" s="7">
        <f t="shared" si="20"/>
        <v>1.0252175897563268E-3</v>
      </c>
    </row>
    <row r="349" spans="1:18" x14ac:dyDescent="0.25">
      <c r="A349" s="22">
        <v>45076</v>
      </c>
      <c r="B349" s="12">
        <v>204.36</v>
      </c>
      <c r="C349" s="13">
        <v>1.1000000000000001E-3</v>
      </c>
      <c r="D349" s="7">
        <v>613</v>
      </c>
      <c r="E349" s="7">
        <v>-1.6999999999999999E-3</v>
      </c>
      <c r="F349" s="7">
        <v>233</v>
      </c>
      <c r="G349" s="8">
        <f t="shared" si="22"/>
        <v>0.97696821075605311</v>
      </c>
      <c r="H349" s="9">
        <f t="shared" si="23"/>
        <v>1.0672542390746794E-3</v>
      </c>
      <c r="I349" s="10">
        <f>SUM($H$3:H349)</f>
        <v>0.36098114030855588</v>
      </c>
      <c r="J349" s="23">
        <v>-1.6999999999999999E-3</v>
      </c>
      <c r="Q349" s="7">
        <f t="shared" si="21"/>
        <v>9.407262880410933E-5</v>
      </c>
      <c r="R349" s="7">
        <f t="shared" si="20"/>
        <v>1.0253201217685038E-3</v>
      </c>
    </row>
    <row r="350" spans="1:18" x14ac:dyDescent="0.25">
      <c r="A350" s="22">
        <v>45077</v>
      </c>
      <c r="B350" s="12">
        <v>203.66</v>
      </c>
      <c r="C350" s="13">
        <v>-3.3999999999999998E-3</v>
      </c>
      <c r="D350" s="7">
        <v>612</v>
      </c>
      <c r="E350" s="7">
        <v>-1.6000000000000001E-3</v>
      </c>
      <c r="F350" s="7">
        <v>927</v>
      </c>
      <c r="G350" s="8">
        <f t="shared" si="22"/>
        <v>0.91146267443310836</v>
      </c>
      <c r="H350" s="9">
        <f t="shared" si="23"/>
        <v>9.9569504139165486E-4</v>
      </c>
      <c r="I350" s="10">
        <f>SUM($H$3:H350)</f>
        <v>0.36197683534994751</v>
      </c>
      <c r="J350" s="23">
        <v>-1.6000000000000001E-3</v>
      </c>
      <c r="Q350" s="7">
        <f t="shared" si="21"/>
        <v>9.4082037007810104E-5</v>
      </c>
      <c r="R350" s="7">
        <f t="shared" si="20"/>
        <v>1.0254226640349071E-3</v>
      </c>
    </row>
    <row r="351" spans="1:18" x14ac:dyDescent="0.25">
      <c r="A351" s="22">
        <v>45078</v>
      </c>
      <c r="B351" s="12">
        <v>202.99</v>
      </c>
      <c r="C351" s="13">
        <v>-3.3E-3</v>
      </c>
      <c r="D351" s="7">
        <v>611</v>
      </c>
      <c r="E351" s="7">
        <v>-1.6000000000000001E-3</v>
      </c>
      <c r="F351" s="7">
        <v>859</v>
      </c>
      <c r="G351" s="8">
        <f t="shared" si="22"/>
        <v>0.91768205351574939</v>
      </c>
      <c r="H351" s="9">
        <f t="shared" si="23"/>
        <v>1.0024891812800186E-3</v>
      </c>
      <c r="I351" s="10">
        <f>SUM($H$3:H351)</f>
        <v>0.36297932453122755</v>
      </c>
      <c r="J351" s="23">
        <v>-1.6000000000000001E-3</v>
      </c>
      <c r="Q351" s="7">
        <f t="shared" si="21"/>
        <v>9.4091446152425338E-5</v>
      </c>
      <c r="R351" s="7">
        <f t="shared" si="20"/>
        <v>1.0255252165565628E-3</v>
      </c>
    </row>
    <row r="352" spans="1:18" x14ac:dyDescent="0.25">
      <c r="A352" s="22">
        <v>45079</v>
      </c>
      <c r="B352" s="12">
        <v>203.84</v>
      </c>
      <c r="C352" s="13">
        <v>4.1999999999999997E-3</v>
      </c>
      <c r="D352" s="7">
        <v>610</v>
      </c>
      <c r="E352" s="7">
        <v>-1.6000000000000001E-3</v>
      </c>
      <c r="F352" s="7">
        <v>691</v>
      </c>
      <c r="G352" s="8">
        <f t="shared" si="22"/>
        <v>0.93323012754605694</v>
      </c>
      <c r="H352" s="9">
        <f t="shared" si="23"/>
        <v>1.0194741227915252E-3</v>
      </c>
      <c r="I352" s="10">
        <f>SUM($H$3:H352)</f>
        <v>0.36399879865401907</v>
      </c>
      <c r="J352" s="23">
        <v>-1.6000000000000001E-3</v>
      </c>
      <c r="Q352" s="7">
        <f t="shared" si="21"/>
        <v>9.4100856238049142E-5</v>
      </c>
      <c r="R352" s="7">
        <f t="shared" si="20"/>
        <v>1.0256277793344963E-3</v>
      </c>
    </row>
    <row r="353" spans="1:18" x14ac:dyDescent="0.25">
      <c r="A353" s="22">
        <v>45082</v>
      </c>
      <c r="B353" s="12">
        <v>204.28</v>
      </c>
      <c r="C353" s="13">
        <v>2.2000000000000001E-3</v>
      </c>
      <c r="D353" s="7">
        <v>609</v>
      </c>
      <c r="E353" s="7">
        <v>-1.6000000000000001E-3</v>
      </c>
      <c r="F353" s="7">
        <v>647</v>
      </c>
      <c r="G353" s="8">
        <f t="shared" si="22"/>
        <v>0.93734559326861611</v>
      </c>
      <c r="H353" s="9">
        <f t="shared" si="23"/>
        <v>1.0239699172194408E-3</v>
      </c>
      <c r="I353" s="10">
        <f>SUM($H$3:H353)</f>
        <v>0.3650227685712385</v>
      </c>
      <c r="J353" s="23">
        <v>-1.6000000000000001E-3</v>
      </c>
      <c r="Q353" s="7">
        <f t="shared" si="21"/>
        <v>9.4110267264775624E-5</v>
      </c>
      <c r="R353" s="7">
        <f t="shared" si="20"/>
        <v>1.0257303523697333E-3</v>
      </c>
    </row>
    <row r="354" spans="1:18" x14ac:dyDescent="0.25">
      <c r="A354" s="22">
        <v>45083</v>
      </c>
      <c r="B354" s="12">
        <v>204.04</v>
      </c>
      <c r="C354" s="13">
        <v>-1.1999999999999999E-3</v>
      </c>
      <c r="D354" s="7">
        <v>608</v>
      </c>
      <c r="E354" s="7">
        <v>-1.6000000000000001E-3</v>
      </c>
      <c r="F354" s="7">
        <v>569</v>
      </c>
      <c r="G354" s="8">
        <f t="shared" si="22"/>
        <v>0.94468584568235803</v>
      </c>
      <c r="H354" s="9">
        <f t="shared" si="23"/>
        <v>1.03198851538691E-3</v>
      </c>
      <c r="I354" s="10">
        <f>SUM($H$3:H354)</f>
        <v>0.36605475708662538</v>
      </c>
      <c r="J354" s="23">
        <v>-1.6000000000000001E-3</v>
      </c>
      <c r="Q354" s="7">
        <f t="shared" si="21"/>
        <v>9.4119679232698892E-5</v>
      </c>
      <c r="R354" s="7">
        <f t="shared" si="20"/>
        <v>1.0258329356632996E-3</v>
      </c>
    </row>
    <row r="355" spans="1:18" x14ac:dyDescent="0.25">
      <c r="A355" s="22">
        <v>45084</v>
      </c>
      <c r="B355" s="12">
        <v>205.34</v>
      </c>
      <c r="C355" s="13">
        <v>6.4000000000000003E-3</v>
      </c>
      <c r="D355" s="7">
        <v>607</v>
      </c>
      <c r="E355" s="7">
        <v>-1.6000000000000001E-3</v>
      </c>
      <c r="F355" s="7">
        <v>299</v>
      </c>
      <c r="G355" s="8">
        <f t="shared" si="22"/>
        <v>0.97054113189744506</v>
      </c>
      <c r="H355" s="9">
        <f t="shared" si="23"/>
        <v>1.0602332049394864E-3</v>
      </c>
      <c r="I355" s="10">
        <f>SUM($H$3:H355)</f>
        <v>0.36711499029156486</v>
      </c>
      <c r="J355" s="23">
        <v>-1.6000000000000001E-3</v>
      </c>
      <c r="Q355" s="7">
        <f t="shared" si="21"/>
        <v>9.412909214191307E-5</v>
      </c>
      <c r="R355" s="7">
        <f t="shared" si="20"/>
        <v>1.0259355292162211E-3</v>
      </c>
    </row>
    <row r="356" spans="1:18" x14ac:dyDescent="0.25">
      <c r="A356" s="22">
        <v>45085</v>
      </c>
      <c r="B356" s="12">
        <v>204.51</v>
      </c>
      <c r="C356" s="13">
        <v>-4.0000000000000001E-3</v>
      </c>
      <c r="D356" s="7">
        <v>606</v>
      </c>
      <c r="E356" s="7">
        <v>-1.6000000000000001E-3</v>
      </c>
      <c r="F356" s="7">
        <v>175</v>
      </c>
      <c r="G356" s="8">
        <f t="shared" si="22"/>
        <v>0.9826513757874219</v>
      </c>
      <c r="H356" s="9">
        <f t="shared" si="23"/>
        <v>1.0734626109585462E-3</v>
      </c>
      <c r="I356" s="10">
        <f>SUM($H$3:H356)</f>
        <v>0.36818845290252339</v>
      </c>
      <c r="J356" s="23">
        <v>-1.6000000000000001E-3</v>
      </c>
      <c r="Q356" s="7">
        <f t="shared" si="21"/>
        <v>9.4138505992512306E-5</v>
      </c>
      <c r="R356" s="7">
        <f t="shared" si="20"/>
        <v>1.0260381330295238E-3</v>
      </c>
    </row>
    <row r="357" spans="1:18" x14ac:dyDescent="0.25">
      <c r="A357" s="22">
        <v>45086</v>
      </c>
      <c r="B357" s="12">
        <v>204.03</v>
      </c>
      <c r="C357" s="13">
        <v>-2.3E-3</v>
      </c>
      <c r="D357" s="7">
        <v>605</v>
      </c>
      <c r="E357" s="7">
        <v>-1.5E-3</v>
      </c>
      <c r="F357" s="7">
        <v>904</v>
      </c>
      <c r="G357" s="8">
        <f t="shared" si="22"/>
        <v>0.91356155631901281</v>
      </c>
      <c r="H357" s="9">
        <f t="shared" si="23"/>
        <v>9.9798789039675729E-4</v>
      </c>
      <c r="I357" s="10">
        <f>SUM($H$3:H357)</f>
        <v>0.36918644079292012</v>
      </c>
      <c r="J357" s="23">
        <v>-1.5E-3</v>
      </c>
      <c r="Q357" s="7">
        <f t="shared" si="21"/>
        <v>9.4147920784590778E-5</v>
      </c>
      <c r="R357" s="7">
        <f t="shared" si="20"/>
        <v>1.0261407471042344E-3</v>
      </c>
    </row>
    <row r="358" spans="1:18" x14ac:dyDescent="0.25">
      <c r="A358" s="22">
        <v>45089</v>
      </c>
      <c r="B358" s="12">
        <v>204.46</v>
      </c>
      <c r="C358" s="13">
        <v>2.0999999999999999E-3</v>
      </c>
      <c r="D358" s="7">
        <v>604</v>
      </c>
      <c r="E358" s="7">
        <v>-1.5E-3</v>
      </c>
      <c r="F358" s="7">
        <v>838</v>
      </c>
      <c r="G358" s="8">
        <f t="shared" si="22"/>
        <v>0.91961130729986618</v>
      </c>
      <c r="H358" s="9">
        <f t="shared" si="23"/>
        <v>1.004596726087189E-3</v>
      </c>
      <c r="I358" s="10">
        <f>SUM($H$3:H358)</f>
        <v>0.37019103751900734</v>
      </c>
      <c r="J358" s="23">
        <v>-1.5E-3</v>
      </c>
      <c r="Q358" s="7">
        <f t="shared" si="21"/>
        <v>9.4157336518242607E-5</v>
      </c>
      <c r="R358" s="7">
        <f t="shared" si="20"/>
        <v>1.0262433714413786E-3</v>
      </c>
    </row>
    <row r="359" spans="1:18" x14ac:dyDescent="0.25">
      <c r="A359" s="22">
        <v>45090</v>
      </c>
      <c r="B359" s="12">
        <v>205.45</v>
      </c>
      <c r="C359" s="13">
        <v>4.7999999999999996E-3</v>
      </c>
      <c r="D359" s="7">
        <v>603</v>
      </c>
      <c r="E359" s="7">
        <v>-1.5E-3</v>
      </c>
      <c r="F359" s="7">
        <v>750</v>
      </c>
      <c r="G359" s="8">
        <f t="shared" si="22"/>
        <v>0.92774000706506776</v>
      </c>
      <c r="H359" s="9">
        <f t="shared" si="23"/>
        <v>1.0134766355735614E-3</v>
      </c>
      <c r="I359" s="10">
        <f>SUM($H$3:H359)</f>
        <v>0.37120451415458089</v>
      </c>
      <c r="J359" s="23">
        <v>-1.5E-3</v>
      </c>
      <c r="Q359" s="7">
        <f t="shared" si="21"/>
        <v>9.4166753193561942E-5</v>
      </c>
      <c r="R359" s="7">
        <f t="shared" si="20"/>
        <v>1.0263460060419825E-3</v>
      </c>
    </row>
    <row r="360" spans="1:18" x14ac:dyDescent="0.25">
      <c r="A360" s="22">
        <v>45091</v>
      </c>
      <c r="B360" s="12">
        <v>205.85</v>
      </c>
      <c r="C360" s="13">
        <v>1.9E-3</v>
      </c>
      <c r="D360" s="7">
        <v>602</v>
      </c>
      <c r="E360" s="7">
        <v>-1.5E-3</v>
      </c>
      <c r="F360" s="7">
        <v>731</v>
      </c>
      <c r="G360" s="8">
        <f t="shared" si="22"/>
        <v>0.92950447701907746</v>
      </c>
      <c r="H360" s="9">
        <f t="shared" si="23"/>
        <v>1.0154041681354237E-3</v>
      </c>
      <c r="I360" s="10">
        <f>SUM($H$3:H360)</f>
        <v>0.37221991832271634</v>
      </c>
      <c r="J360" s="23">
        <v>-1.5E-3</v>
      </c>
      <c r="Q360" s="7">
        <f t="shared" si="21"/>
        <v>9.4176170810643015E-5</v>
      </c>
      <c r="R360" s="7">
        <f t="shared" si="20"/>
        <v>1.0264486509070734E-3</v>
      </c>
    </row>
    <row r="361" spans="1:18" x14ac:dyDescent="0.25">
      <c r="A361" s="22">
        <v>45092</v>
      </c>
      <c r="B361" s="12">
        <v>205.31</v>
      </c>
      <c r="C361" s="13">
        <v>-2.5999999999999999E-3</v>
      </c>
      <c r="D361" s="7">
        <v>601</v>
      </c>
      <c r="E361" s="7">
        <v>-1.5E-3</v>
      </c>
      <c r="F361" s="7">
        <v>382</v>
      </c>
      <c r="G361" s="8">
        <f t="shared" si="22"/>
        <v>0.96251857902119442</v>
      </c>
      <c r="H361" s="9">
        <f t="shared" si="23"/>
        <v>1.0514692518536913E-3</v>
      </c>
      <c r="I361" s="10">
        <f>SUM($H$3:H361)</f>
        <v>0.37327138757457001</v>
      </c>
      <c r="J361" s="23">
        <v>-1.5E-3</v>
      </c>
      <c r="Q361" s="7">
        <f t="shared" si="21"/>
        <v>9.4185589369579962E-5</v>
      </c>
      <c r="R361" s="7">
        <f t="shared" si="20"/>
        <v>1.0265513060376771E-3</v>
      </c>
    </row>
    <row r="362" spans="1:18" x14ac:dyDescent="0.25">
      <c r="A362" s="22">
        <v>45093</v>
      </c>
      <c r="B362" s="12">
        <v>206.69</v>
      </c>
      <c r="C362" s="13">
        <v>6.7000000000000002E-3</v>
      </c>
      <c r="D362" s="7">
        <v>600</v>
      </c>
      <c r="E362" s="7">
        <v>-1.4E-3</v>
      </c>
      <c r="F362" s="7">
        <v>743</v>
      </c>
      <c r="G362" s="8">
        <f t="shared" si="22"/>
        <v>0.92838968491516483</v>
      </c>
      <c r="H362" s="9">
        <f t="shared" si="23"/>
        <v>1.0141863530770739E-3</v>
      </c>
      <c r="I362" s="10">
        <f>SUM($H$3:H362)</f>
        <v>0.37428557392764711</v>
      </c>
      <c r="J362" s="23">
        <v>-1.4E-3</v>
      </c>
      <c r="Q362" s="7">
        <f t="shared" si="21"/>
        <v>9.4195008870467012E-5</v>
      </c>
      <c r="R362" s="7">
        <f t="shared" si="20"/>
        <v>1.0266539714348206E-3</v>
      </c>
    </row>
    <row r="363" spans="1:18" x14ac:dyDescent="0.25">
      <c r="A363" s="22">
        <v>45096</v>
      </c>
      <c r="B363" s="12">
        <v>205.87</v>
      </c>
      <c r="C363" s="13">
        <v>-4.0000000000000001E-3</v>
      </c>
      <c r="D363" s="7">
        <v>599</v>
      </c>
      <c r="E363" s="7">
        <v>-1.4E-3</v>
      </c>
      <c r="F363" s="7">
        <v>93</v>
      </c>
      <c r="G363" s="8">
        <f t="shared" si="22"/>
        <v>0.99074265052545685</v>
      </c>
      <c r="H363" s="9">
        <f t="shared" si="23"/>
        <v>1.0823016368025937E-3</v>
      </c>
      <c r="I363" s="10">
        <f>SUM($H$3:H363)</f>
        <v>0.37536787556444973</v>
      </c>
      <c r="J363" s="23">
        <v>-1.4E-3</v>
      </c>
      <c r="Q363" s="7">
        <f t="shared" si="21"/>
        <v>9.4204429313398357E-5</v>
      </c>
      <c r="R363" s="7">
        <f t="shared" si="20"/>
        <v>1.0267566470995306E-3</v>
      </c>
    </row>
    <row r="364" spans="1:18" x14ac:dyDescent="0.25">
      <c r="A364" s="22">
        <v>45097</v>
      </c>
      <c r="B364" s="12">
        <v>206.5</v>
      </c>
      <c r="C364" s="13">
        <v>3.0999999999999999E-3</v>
      </c>
      <c r="D364" s="7">
        <v>598</v>
      </c>
      <c r="E364" s="7">
        <v>-1.4E-3</v>
      </c>
      <c r="F364" s="7">
        <v>89</v>
      </c>
      <c r="G364" s="8">
        <f t="shared" si="22"/>
        <v>0.99113904667975028</v>
      </c>
      <c r="H364" s="9">
        <f t="shared" si="23"/>
        <v>1.0827346657091281E-3</v>
      </c>
      <c r="I364" s="10">
        <f>SUM($H$3:H364)</f>
        <v>0.37645061023015886</v>
      </c>
      <c r="J364" s="23">
        <v>-1.4E-3</v>
      </c>
      <c r="Q364" s="7">
        <f t="shared" si="21"/>
        <v>9.4213850698468199E-5</v>
      </c>
      <c r="R364" s="7">
        <f t="shared" si="20"/>
        <v>1.0268593330328337E-3</v>
      </c>
    </row>
    <row r="365" spans="1:18" x14ac:dyDescent="0.25">
      <c r="A365" s="22">
        <v>45098</v>
      </c>
      <c r="B365" s="12">
        <v>206.87</v>
      </c>
      <c r="C365" s="13">
        <v>1.8E-3</v>
      </c>
      <c r="D365" s="7">
        <v>597</v>
      </c>
      <c r="E365" s="7">
        <v>-1.4E-3</v>
      </c>
      <c r="F365" s="7">
        <v>86</v>
      </c>
      <c r="G365" s="8">
        <f t="shared" si="22"/>
        <v>0.99143644787200991</v>
      </c>
      <c r="H365" s="9">
        <f t="shared" si="23"/>
        <v>1.0830595510837497E-3</v>
      </c>
      <c r="I365" s="10">
        <f>SUM($H$3:H365)</f>
        <v>0.37753366978124259</v>
      </c>
      <c r="J365" s="23">
        <v>-1.4E-3</v>
      </c>
      <c r="Q365" s="7">
        <f t="shared" si="21"/>
        <v>9.422327302577077E-5</v>
      </c>
      <c r="R365" s="7">
        <f t="shared" si="20"/>
        <v>1.0269620292357572E-3</v>
      </c>
    </row>
    <row r="366" spans="1:18" x14ac:dyDescent="0.25">
      <c r="A366" s="22">
        <v>45099</v>
      </c>
      <c r="B366" s="12">
        <v>206.24</v>
      </c>
      <c r="C366" s="13">
        <v>-3.0000000000000001E-3</v>
      </c>
      <c r="D366" s="7">
        <v>596</v>
      </c>
      <c r="E366" s="7">
        <v>-1.4E-3</v>
      </c>
      <c r="F366" s="7">
        <v>43</v>
      </c>
      <c r="G366" s="8">
        <f t="shared" si="22"/>
        <v>0.99570901767133246</v>
      </c>
      <c r="H366" s="9">
        <f t="shared" si="23"/>
        <v>1.0877269682830675E-3</v>
      </c>
      <c r="I366" s="10">
        <f>SUM($H$3:H366)</f>
        <v>0.37862139674952566</v>
      </c>
      <c r="J366" s="23">
        <v>-1.4E-3</v>
      </c>
      <c r="Q366" s="7">
        <f t="shared" si="21"/>
        <v>9.4232696295400313E-5</v>
      </c>
      <c r="R366" s="7">
        <f t="shared" si="20"/>
        <v>1.0270647357093282E-3</v>
      </c>
    </row>
    <row r="367" spans="1:18" x14ac:dyDescent="0.25">
      <c r="A367" s="22">
        <v>45100</v>
      </c>
      <c r="B367" s="12">
        <v>204.98</v>
      </c>
      <c r="C367" s="13">
        <v>-6.1000000000000004E-3</v>
      </c>
      <c r="D367" s="7">
        <v>595</v>
      </c>
      <c r="E367" s="7">
        <v>-1.2999999999999999E-3</v>
      </c>
      <c r="F367" s="7">
        <v>905</v>
      </c>
      <c r="G367" s="8">
        <f t="shared" si="22"/>
        <v>0.91347020016338099</v>
      </c>
      <c r="H367" s="9">
        <f t="shared" si="23"/>
        <v>9.9788809160771767E-4</v>
      </c>
      <c r="I367" s="10">
        <f>SUM($H$3:H367)</f>
        <v>0.37961928484113339</v>
      </c>
      <c r="J367" s="23">
        <v>-1.2999999999999999E-3</v>
      </c>
      <c r="Q367" s="7">
        <f t="shared" si="21"/>
        <v>9.4242120507451047E-5</v>
      </c>
      <c r="R367" s="7">
        <f t="shared" si="20"/>
        <v>1.0271674524545736E-3</v>
      </c>
    </row>
    <row r="368" spans="1:18" x14ac:dyDescent="0.25">
      <c r="A368" s="22">
        <v>45103</v>
      </c>
      <c r="B368" s="12">
        <v>205.17</v>
      </c>
      <c r="C368" s="13">
        <v>8.9999999999999998E-4</v>
      </c>
      <c r="D368" s="7">
        <v>594</v>
      </c>
      <c r="E368" s="7">
        <v>-1.2999999999999999E-3</v>
      </c>
      <c r="F368" s="7">
        <v>571</v>
      </c>
      <c r="G368" s="8">
        <f t="shared" si="22"/>
        <v>0.94449691796008006</v>
      </c>
      <c r="H368" s="9">
        <f t="shared" si="23"/>
        <v>1.0317821280037178E-3</v>
      </c>
      <c r="I368" s="10">
        <f>SUM($H$3:H368)</f>
        <v>0.38065106696913709</v>
      </c>
      <c r="J368" s="23">
        <v>-1.2999999999999999E-3</v>
      </c>
      <c r="Q368" s="7">
        <f t="shared" si="21"/>
        <v>9.4251545662017255E-5</v>
      </c>
      <c r="R368" s="7">
        <f t="shared" si="20"/>
        <v>1.0272701794725209E-3</v>
      </c>
    </row>
    <row r="369" spans="1:18" x14ac:dyDescent="0.25">
      <c r="A369" s="22">
        <v>45104</v>
      </c>
      <c r="B369" s="12">
        <v>206.46</v>
      </c>
      <c r="C369" s="13">
        <v>6.3E-3</v>
      </c>
      <c r="D369" s="7">
        <v>593</v>
      </c>
      <c r="E369" s="7">
        <v>-1.2999999999999999E-3</v>
      </c>
      <c r="F369" s="7">
        <v>168</v>
      </c>
      <c r="G369" s="8">
        <f t="shared" si="22"/>
        <v>0.9833395069754215</v>
      </c>
      <c r="H369" s="9">
        <f t="shared" si="23"/>
        <v>1.0742143354459414E-3</v>
      </c>
      <c r="I369" s="10">
        <f>SUM($H$3:H369)</f>
        <v>0.38172528130458305</v>
      </c>
      <c r="J369" s="23">
        <v>-1.2999999999999999E-3</v>
      </c>
      <c r="Q369" s="7">
        <f t="shared" si="21"/>
        <v>9.4260971759193169E-5</v>
      </c>
      <c r="R369" s="7">
        <f t="shared" si="20"/>
        <v>1.0273729167641972E-3</v>
      </c>
    </row>
    <row r="370" spans="1:18" x14ac:dyDescent="0.25">
      <c r="A370" s="22">
        <v>45105</v>
      </c>
      <c r="B370" s="12">
        <v>208.18</v>
      </c>
      <c r="C370" s="13">
        <v>8.3000000000000001E-3</v>
      </c>
      <c r="D370" s="7">
        <v>592</v>
      </c>
      <c r="E370" s="7">
        <v>-1.2999999999999999E-3</v>
      </c>
      <c r="F370" s="7">
        <v>116</v>
      </c>
      <c r="G370" s="8">
        <f t="shared" si="22"/>
        <v>0.98846644725442645</v>
      </c>
      <c r="H370" s="9">
        <f t="shared" si="23"/>
        <v>1.0798150793452912E-3</v>
      </c>
      <c r="I370" s="10">
        <f>SUM($H$3:H370)</f>
        <v>0.38280509638392834</v>
      </c>
      <c r="J370" s="23">
        <v>-1.2999999999999999E-3</v>
      </c>
      <c r="Q370" s="7">
        <f t="shared" si="21"/>
        <v>9.4270398799073087E-5</v>
      </c>
      <c r="R370" s="7">
        <f t="shared" si="20"/>
        <v>1.0274756643306304E-3</v>
      </c>
    </row>
    <row r="371" spans="1:18" x14ac:dyDescent="0.25">
      <c r="A371" s="22">
        <v>45107</v>
      </c>
      <c r="B371" s="12">
        <v>210.61</v>
      </c>
      <c r="C371" s="13">
        <v>1.17E-2</v>
      </c>
      <c r="D371" s="7">
        <v>591</v>
      </c>
      <c r="E371" s="7">
        <v>-1.2999999999999999E-3</v>
      </c>
      <c r="F371" s="7">
        <v>104</v>
      </c>
      <c r="G371" s="8">
        <f t="shared" si="22"/>
        <v>0.98965337835489708</v>
      </c>
      <c r="H371" s="9">
        <f t="shared" si="23"/>
        <v>1.0811117000894674E-3</v>
      </c>
      <c r="I371" s="10">
        <f>SUM($H$3:H371)</f>
        <v>0.3838862080840178</v>
      </c>
      <c r="J371" s="23">
        <v>-1.2999999999999999E-3</v>
      </c>
      <c r="Q371" s="7">
        <f t="shared" si="21"/>
        <v>9.4279826781751253E-5</v>
      </c>
      <c r="R371" s="7">
        <f t="shared" si="20"/>
        <v>1.0275784221728476E-3</v>
      </c>
    </row>
    <row r="372" spans="1:18" x14ac:dyDescent="0.25">
      <c r="A372" s="22">
        <v>45110</v>
      </c>
      <c r="B372" s="12">
        <v>212.3</v>
      </c>
      <c r="C372" s="13">
        <v>8.0000000000000002E-3</v>
      </c>
      <c r="D372" s="7">
        <v>590</v>
      </c>
      <c r="E372" s="7">
        <v>-1.1999999999999999E-3</v>
      </c>
      <c r="F372" s="7">
        <v>942</v>
      </c>
      <c r="G372" s="8">
        <f t="shared" si="22"/>
        <v>0.91009643704267607</v>
      </c>
      <c r="H372" s="9">
        <f t="shared" si="23"/>
        <v>9.9420254385645598E-4</v>
      </c>
      <c r="I372" s="10">
        <f>SUM($H$3:H372)</f>
        <v>0.38488041062787426</v>
      </c>
      <c r="J372" s="23">
        <v>-1.1999999999999999E-3</v>
      </c>
      <c r="Q372" s="7">
        <f t="shared" si="21"/>
        <v>9.428925570732198E-5</v>
      </c>
      <c r="R372" s="7">
        <f t="shared" si="20"/>
        <v>1.0276811902918768E-3</v>
      </c>
    </row>
    <row r="373" spans="1:18" x14ac:dyDescent="0.25">
      <c r="A373" s="22">
        <v>45111</v>
      </c>
      <c r="B373" s="12">
        <v>213.06</v>
      </c>
      <c r="C373" s="13">
        <v>3.5999999999999999E-3</v>
      </c>
      <c r="D373" s="7">
        <v>589</v>
      </c>
      <c r="E373" s="7">
        <v>-1.1999999999999999E-3</v>
      </c>
      <c r="F373" s="7">
        <v>924</v>
      </c>
      <c r="G373" s="8">
        <f t="shared" si="22"/>
        <v>0.91173616793231449</v>
      </c>
      <c r="H373" s="9">
        <f t="shared" si="23"/>
        <v>9.9599380965573301E-4</v>
      </c>
      <c r="I373" s="10">
        <f>SUM($H$3:H373)</f>
        <v>0.38587640443753002</v>
      </c>
      <c r="J373" s="23">
        <v>-1.1999999999999999E-3</v>
      </c>
      <c r="Q373" s="7">
        <f t="shared" si="21"/>
        <v>9.4298685575879579E-5</v>
      </c>
      <c r="R373" s="7">
        <f t="shared" si="20"/>
        <v>1.0277839686887457E-3</v>
      </c>
    </row>
    <row r="374" spans="1:18" x14ac:dyDescent="0.25">
      <c r="A374" s="22">
        <v>45112</v>
      </c>
      <c r="B374" s="12">
        <v>212.92</v>
      </c>
      <c r="C374" s="13">
        <v>-6.9999999999999999E-4</v>
      </c>
      <c r="D374" s="7">
        <v>588</v>
      </c>
      <c r="E374" s="7">
        <v>-1.1999999999999999E-3</v>
      </c>
      <c r="F374" s="7">
        <v>849</v>
      </c>
      <c r="G374" s="8">
        <f t="shared" si="22"/>
        <v>0.91860024049635003</v>
      </c>
      <c r="H374" s="9">
        <f t="shared" si="23"/>
        <v>1.0034922220509674E-3</v>
      </c>
      <c r="I374" s="10">
        <f>SUM($H$3:H374)</f>
        <v>0.386879896659581</v>
      </c>
      <c r="J374" s="23">
        <v>-1.1999999999999999E-3</v>
      </c>
      <c r="Q374" s="7">
        <f t="shared" si="21"/>
        <v>9.4308116387518308E-5</v>
      </c>
      <c r="R374" s="7">
        <f t="shared" si="20"/>
        <v>1.0278867573644819E-3</v>
      </c>
    </row>
    <row r="375" spans="1:18" x14ac:dyDescent="0.25">
      <c r="A375" s="22">
        <v>45113</v>
      </c>
      <c r="B375" s="12">
        <v>213.96</v>
      </c>
      <c r="C375" s="13">
        <v>4.8999999999999998E-3</v>
      </c>
      <c r="D375" s="7">
        <v>587</v>
      </c>
      <c r="E375" s="7">
        <v>-1.1999999999999999E-3</v>
      </c>
      <c r="F375" s="7">
        <v>608</v>
      </c>
      <c r="G375" s="8">
        <f t="shared" si="22"/>
        <v>0.94100856238059505</v>
      </c>
      <c r="H375" s="9">
        <f t="shared" si="23"/>
        <v>1.0279713977889404E-3</v>
      </c>
      <c r="I375" s="10">
        <f>SUM($H$3:H375)</f>
        <v>0.38790786805736993</v>
      </c>
      <c r="J375" s="23">
        <v>-1.1999999999999999E-3</v>
      </c>
      <c r="Q375" s="7">
        <f t="shared" si="21"/>
        <v>9.4317548142332548E-5</v>
      </c>
      <c r="R375" s="7">
        <f t="shared" si="20"/>
        <v>1.0279895563201141E-3</v>
      </c>
    </row>
    <row r="376" spans="1:18" x14ac:dyDescent="0.25">
      <c r="A376" s="22">
        <v>45114</v>
      </c>
      <c r="B376" s="12">
        <v>212.72</v>
      </c>
      <c r="C376" s="13">
        <v>-5.7999999999999996E-3</v>
      </c>
      <c r="D376" s="7">
        <v>586</v>
      </c>
      <c r="E376" s="7">
        <v>-1.1999999999999999E-3</v>
      </c>
      <c r="F376" s="7">
        <v>103</v>
      </c>
      <c r="G376" s="8">
        <f t="shared" si="22"/>
        <v>0.98975235359025615</v>
      </c>
      <c r="H376" s="9">
        <f t="shared" si="23"/>
        <v>1.0812198220716744E-3</v>
      </c>
      <c r="I376" s="10">
        <f>SUM($H$3:H376)</f>
        <v>0.38898908787944159</v>
      </c>
      <c r="J376" s="23">
        <v>-1.1999999999999999E-3</v>
      </c>
      <c r="Q376" s="7">
        <f t="shared" si="21"/>
        <v>9.4326980840416595E-5</v>
      </c>
      <c r="R376" s="7">
        <f t="shared" si="20"/>
        <v>1.0280923655566698E-3</v>
      </c>
    </row>
    <row r="377" spans="1:18" x14ac:dyDescent="0.25">
      <c r="A377" s="22">
        <v>45117</v>
      </c>
      <c r="B377" s="12">
        <v>212.64</v>
      </c>
      <c r="C377" s="13">
        <v>-4.0000000000000002E-4</v>
      </c>
      <c r="D377" s="7">
        <v>585</v>
      </c>
      <c r="E377" s="7">
        <v>-1.1000000000000001E-3</v>
      </c>
      <c r="F377" s="7">
        <v>928</v>
      </c>
      <c r="G377" s="8">
        <f t="shared" si="22"/>
        <v>0.91137152816566502</v>
      </c>
      <c r="H377" s="9">
        <f t="shared" si="23"/>
        <v>9.9559547188751577E-4</v>
      </c>
      <c r="I377" s="10">
        <f>SUM($H$3:H377)</f>
        <v>0.38998468335132908</v>
      </c>
      <c r="J377" s="23">
        <v>-1.1000000000000001E-3</v>
      </c>
      <c r="Q377" s="7">
        <f t="shared" si="21"/>
        <v>9.4336414481864777E-5</v>
      </c>
      <c r="R377" s="7">
        <f t="shared" si="20"/>
        <v>1.0281951850751772E-3</v>
      </c>
    </row>
    <row r="378" spans="1:18" x14ac:dyDescent="0.25">
      <c r="A378" s="22">
        <v>45118</v>
      </c>
      <c r="B378" s="12">
        <v>213.45</v>
      </c>
      <c r="C378" s="13">
        <v>3.8E-3</v>
      </c>
      <c r="D378" s="7">
        <v>584</v>
      </c>
      <c r="E378" s="7">
        <v>-1.1000000000000001E-3</v>
      </c>
      <c r="F378" s="7">
        <v>795</v>
      </c>
      <c r="G378" s="8">
        <f t="shared" si="22"/>
        <v>0.92357434850852682</v>
      </c>
      <c r="H378" s="9">
        <f t="shared" si="23"/>
        <v>1.0089260097660281E-3</v>
      </c>
      <c r="I378" s="10">
        <f>SUM($H$3:H378)</f>
        <v>0.39099360936109512</v>
      </c>
      <c r="J378" s="23">
        <v>-1.1000000000000001E-3</v>
      </c>
      <c r="Q378" s="7">
        <f t="shared" si="21"/>
        <v>9.4345849066771446E-5</v>
      </c>
      <c r="R378" s="7">
        <f t="shared" si="20"/>
        <v>1.0282980148766648E-3</v>
      </c>
    </row>
    <row r="379" spans="1:18" x14ac:dyDescent="0.25">
      <c r="A379" s="22">
        <v>45119</v>
      </c>
      <c r="B379" s="12">
        <v>213.25</v>
      </c>
      <c r="C379" s="13">
        <v>-8.9999999999999998E-4</v>
      </c>
      <c r="D379" s="7">
        <v>583</v>
      </c>
      <c r="E379" s="7">
        <v>-1.1000000000000001E-3</v>
      </c>
      <c r="F379" s="7">
        <v>699</v>
      </c>
      <c r="G379" s="8">
        <f t="shared" si="22"/>
        <v>0.93248380469620162</v>
      </c>
      <c r="H379" s="9">
        <f t="shared" si="23"/>
        <v>1.0186588288889631E-3</v>
      </c>
      <c r="I379" s="10">
        <f>SUM($H$3:H379)</f>
        <v>0.39201226818998408</v>
      </c>
      <c r="J379" s="23">
        <v>-1.1000000000000001E-3</v>
      </c>
      <c r="Q379" s="7">
        <f t="shared" si="21"/>
        <v>9.4355284595230968E-5</v>
      </c>
      <c r="R379" s="7">
        <f t="shared" si="20"/>
        <v>1.028400854962161E-3</v>
      </c>
    </row>
    <row r="380" spans="1:18" x14ac:dyDescent="0.25">
      <c r="A380" s="22">
        <v>45120</v>
      </c>
      <c r="B380" s="12">
        <v>213.69</v>
      </c>
      <c r="C380" s="13">
        <v>2.0999999999999999E-3</v>
      </c>
      <c r="D380" s="7">
        <v>582</v>
      </c>
      <c r="E380" s="7">
        <v>-1.1000000000000001E-3</v>
      </c>
      <c r="F380" s="7">
        <v>690</v>
      </c>
      <c r="G380" s="8">
        <f t="shared" si="22"/>
        <v>0.93332345989204613</v>
      </c>
      <c r="H380" s="9">
        <f t="shared" si="23"/>
        <v>1.0195760803995652E-3</v>
      </c>
      <c r="I380" s="10">
        <f>SUM($H$3:H380)</f>
        <v>0.39303184427038362</v>
      </c>
      <c r="J380" s="23">
        <v>-1.1000000000000001E-3</v>
      </c>
      <c r="Q380" s="7">
        <f t="shared" si="21"/>
        <v>9.4364721067337695E-5</v>
      </c>
      <c r="R380" s="7">
        <f t="shared" si="20"/>
        <v>1.0285037053326942E-3</v>
      </c>
    </row>
    <row r="381" spans="1:18" x14ac:dyDescent="0.25">
      <c r="A381" s="22">
        <v>45121</v>
      </c>
      <c r="B381" s="12">
        <v>214.83</v>
      </c>
      <c r="C381" s="13">
        <v>5.3E-3</v>
      </c>
      <c r="D381" s="7">
        <v>581</v>
      </c>
      <c r="E381" s="7">
        <v>-1.1000000000000001E-3</v>
      </c>
      <c r="F381" s="7">
        <v>531</v>
      </c>
      <c r="G381" s="8">
        <f t="shared" si="22"/>
        <v>0.94828266136113759</v>
      </c>
      <c r="H381" s="9">
        <f t="shared" si="23"/>
        <v>1.0359177289867847E-3</v>
      </c>
      <c r="I381" s="10">
        <f>SUM($H$3:H381)</f>
        <v>0.39406776199937038</v>
      </c>
      <c r="J381" s="23">
        <v>-1.1000000000000001E-3</v>
      </c>
      <c r="Q381" s="7">
        <f t="shared" si="21"/>
        <v>9.4374158483186022E-5</v>
      </c>
      <c r="R381" s="7">
        <f t="shared" si="20"/>
        <v>1.0286065659892932E-3</v>
      </c>
    </row>
    <row r="382" spans="1:18" x14ac:dyDescent="0.25">
      <c r="A382" s="22">
        <v>45124</v>
      </c>
      <c r="B382" s="12">
        <v>216.53</v>
      </c>
      <c r="C382" s="13">
        <v>7.9000000000000008E-3</v>
      </c>
      <c r="D382" s="7">
        <v>580</v>
      </c>
      <c r="E382" s="7">
        <v>-1.1000000000000001E-3</v>
      </c>
      <c r="F382" s="7">
        <v>187</v>
      </c>
      <c r="G382" s="8">
        <f t="shared" si="22"/>
        <v>0.98147284247025057</v>
      </c>
      <c r="H382" s="9">
        <f t="shared" si="23"/>
        <v>1.0721751640746107E-3</v>
      </c>
      <c r="I382" s="10">
        <f>SUM($H$3:H382)</f>
        <v>0.39513993716344498</v>
      </c>
      <c r="J382" s="23">
        <v>-1.1000000000000001E-3</v>
      </c>
      <c r="Q382" s="7">
        <f t="shared" si="21"/>
        <v>9.43835968428703E-5</v>
      </c>
      <c r="R382" s="7">
        <f t="shared" si="20"/>
        <v>1.0287094369329864E-3</v>
      </c>
    </row>
    <row r="383" spans="1:18" x14ac:dyDescent="0.25">
      <c r="A383" s="22">
        <v>45125</v>
      </c>
      <c r="B383" s="12">
        <v>217.02</v>
      </c>
      <c r="C383" s="13">
        <v>2.3E-3</v>
      </c>
      <c r="D383" s="7">
        <v>579</v>
      </c>
      <c r="E383" s="7">
        <v>-1.1000000000000001E-3</v>
      </c>
      <c r="F383" s="7">
        <v>183</v>
      </c>
      <c r="G383" s="8">
        <f t="shared" si="22"/>
        <v>0.98186552977415575</v>
      </c>
      <c r="H383" s="9">
        <f t="shared" si="23"/>
        <v>1.0726041413792041E-3</v>
      </c>
      <c r="I383" s="10">
        <f>SUM($H$3:H383)</f>
        <v>0.3962125413048242</v>
      </c>
      <c r="J383" s="23">
        <v>-1.1000000000000001E-3</v>
      </c>
      <c r="Q383" s="7">
        <f t="shared" si="21"/>
        <v>9.439303614648495E-5</v>
      </c>
      <c r="R383" s="7">
        <f t="shared" si="20"/>
        <v>1.0288123181648029E-3</v>
      </c>
    </row>
    <row r="384" spans="1:18" x14ac:dyDescent="0.25">
      <c r="A384" s="22">
        <v>45126</v>
      </c>
      <c r="B384" s="12">
        <v>217.97</v>
      </c>
      <c r="C384" s="13">
        <v>4.4000000000000003E-3</v>
      </c>
      <c r="D384" s="7">
        <v>578</v>
      </c>
      <c r="E384" s="7">
        <v>-1.1000000000000001E-3</v>
      </c>
      <c r="F384" s="7">
        <v>3</v>
      </c>
      <c r="G384" s="8">
        <f t="shared" si="22"/>
        <v>0.99970002999900009</v>
      </c>
      <c r="H384" s="9">
        <f t="shared" si="23"/>
        <v>1.0920868080178795E-3</v>
      </c>
      <c r="I384" s="10">
        <f>SUM($H$3:H384)</f>
        <v>0.39730462811284206</v>
      </c>
      <c r="J384" s="23">
        <v>-1.1000000000000001E-3</v>
      </c>
      <c r="Q384" s="7">
        <f t="shared" si="21"/>
        <v>9.4402476394124353E-5</v>
      </c>
      <c r="R384" s="7">
        <f t="shared" si="20"/>
        <v>1.0289152096857714E-3</v>
      </c>
    </row>
    <row r="385" spans="1:18" x14ac:dyDescent="0.25">
      <c r="A385" s="22">
        <v>45127</v>
      </c>
      <c r="B385" s="12">
        <v>219.51</v>
      </c>
      <c r="C385" s="13">
        <v>7.1000000000000004E-3</v>
      </c>
      <c r="D385" s="7">
        <v>577</v>
      </c>
      <c r="E385" s="7">
        <v>-1E-3</v>
      </c>
      <c r="F385" s="7">
        <v>444</v>
      </c>
      <c r="G385" s="8">
        <f t="shared" si="22"/>
        <v>0.95656912870877231</v>
      </c>
      <c r="H385" s="9">
        <f t="shared" si="23"/>
        <v>1.044969986067773E-3</v>
      </c>
      <c r="I385" s="10">
        <f>SUM($H$3:H385)</f>
        <v>0.39834959809890985</v>
      </c>
      <c r="J385" s="23">
        <v>-1E-3</v>
      </c>
      <c r="Q385" s="7">
        <f t="shared" si="21"/>
        <v>9.4411917585882942E-5</v>
      </c>
      <c r="R385" s="7">
        <f t="shared" si="20"/>
        <v>1.0290181114969211E-3</v>
      </c>
    </row>
    <row r="386" spans="1:18" x14ac:dyDescent="0.25">
      <c r="A386" s="22">
        <v>45128</v>
      </c>
      <c r="B386" s="12">
        <v>217.48</v>
      </c>
      <c r="C386" s="13">
        <v>-9.1999999999999998E-3</v>
      </c>
      <c r="D386" s="7">
        <v>576</v>
      </c>
      <c r="E386" s="7">
        <v>-1E-3</v>
      </c>
      <c r="F386" s="7">
        <v>368</v>
      </c>
      <c r="G386" s="8">
        <f t="shared" si="22"/>
        <v>0.96386711621557108</v>
      </c>
      <c r="H386" s="9">
        <f t="shared" si="23"/>
        <v>1.0529424134380736E-3</v>
      </c>
      <c r="I386" s="10">
        <f>SUM($H$3:H386)</f>
        <v>0.39940254051234791</v>
      </c>
      <c r="J386" s="23">
        <v>-1E-3</v>
      </c>
      <c r="Q386" s="7">
        <f t="shared" si="21"/>
        <v>9.4421359721855123E-5</v>
      </c>
      <c r="R386" s="7">
        <f t="shared" ref="R386:R449" si="24">Q386/$U$2</f>
        <v>1.029121023599281E-3</v>
      </c>
    </row>
    <row r="387" spans="1:18" x14ac:dyDescent="0.25">
      <c r="A387" s="22">
        <v>45131</v>
      </c>
      <c r="B387" s="12">
        <v>216.73</v>
      </c>
      <c r="C387" s="13">
        <v>-3.3999999999999998E-3</v>
      </c>
      <c r="D387" s="7">
        <v>575</v>
      </c>
      <c r="E387" s="7">
        <v>-8.9999999999999998E-4</v>
      </c>
      <c r="F387" s="7">
        <v>778</v>
      </c>
      <c r="G387" s="8">
        <f t="shared" si="22"/>
        <v>0.92514583886513535</v>
      </c>
      <c r="H387" s="9">
        <f t="shared" si="23"/>
        <v>1.0106427286175632E-3</v>
      </c>
      <c r="I387" s="10">
        <f>SUM($H$3:H387)</f>
        <v>0.40041318324096548</v>
      </c>
      <c r="J387" s="23">
        <v>-8.9999999999999998E-4</v>
      </c>
      <c r="Q387" s="7">
        <f t="shared" ref="Q387:Q450" si="25">(1-$N$3) * $N$3^(D388-1)</f>
        <v>9.4430802802135332E-5</v>
      </c>
      <c r="R387" s="7">
        <f t="shared" si="24"/>
        <v>1.0292239459938804E-3</v>
      </c>
    </row>
    <row r="388" spans="1:18" x14ac:dyDescent="0.25">
      <c r="A388" s="22">
        <v>45132</v>
      </c>
      <c r="B388" s="12">
        <v>216.64</v>
      </c>
      <c r="C388" s="13">
        <v>-4.0000000000000002E-4</v>
      </c>
      <c r="D388" s="7">
        <v>574</v>
      </c>
      <c r="E388" s="7">
        <v>-8.9999999999999998E-4</v>
      </c>
      <c r="F388" s="7">
        <v>583</v>
      </c>
      <c r="G388" s="8">
        <f t="shared" ref="G388:G451" si="26">$N$3^F388</f>
        <v>0.94336414481875164</v>
      </c>
      <c r="H388" s="9">
        <f t="shared" ref="H388:H451" si="27">G388/$N$4</f>
        <v>1.0305446701993773E-3</v>
      </c>
      <c r="I388" s="10">
        <f>SUM($H$3:H388)</f>
        <v>0.40144372791116484</v>
      </c>
      <c r="J388" s="23">
        <v>-8.9999999999999998E-4</v>
      </c>
      <c r="Q388" s="7">
        <f t="shared" si="25"/>
        <v>9.4440246826818001E-5</v>
      </c>
      <c r="R388" s="7">
        <f t="shared" si="24"/>
        <v>1.0293268786817484E-3</v>
      </c>
    </row>
    <row r="389" spans="1:18" x14ac:dyDescent="0.25">
      <c r="A389" s="22">
        <v>45133</v>
      </c>
      <c r="B389" s="12">
        <v>217.72</v>
      </c>
      <c r="C389" s="13">
        <v>5.0000000000000001E-3</v>
      </c>
      <c r="D389" s="7">
        <v>573</v>
      </c>
      <c r="E389" s="7">
        <v>-8.9999999999999998E-4</v>
      </c>
      <c r="F389" s="7">
        <v>540</v>
      </c>
      <c r="G389" s="8">
        <f t="shared" si="26"/>
        <v>0.94742954826802706</v>
      </c>
      <c r="H389" s="9">
        <f t="shared" si="27"/>
        <v>1.034985775874075E-3</v>
      </c>
      <c r="I389" s="10">
        <f>SUM($H$3:H389)</f>
        <v>0.40247871368703891</v>
      </c>
      <c r="J389" s="23">
        <v>-8.9999999999999998E-4</v>
      </c>
      <c r="Q389" s="7">
        <f t="shared" si="25"/>
        <v>9.4449691795997606E-5</v>
      </c>
      <c r="R389" s="7">
        <f t="shared" si="24"/>
        <v>1.0294298216639147E-3</v>
      </c>
    </row>
    <row r="390" spans="1:18" x14ac:dyDescent="0.25">
      <c r="A390" s="22">
        <v>45134</v>
      </c>
      <c r="B390" s="12">
        <v>216.63</v>
      </c>
      <c r="C390" s="13">
        <v>-5.0000000000000001E-3</v>
      </c>
      <c r="D390" s="7">
        <v>572</v>
      </c>
      <c r="E390" s="7">
        <v>-8.9999999999999998E-4</v>
      </c>
      <c r="F390" s="7">
        <v>213</v>
      </c>
      <c r="G390" s="8">
        <f t="shared" si="26"/>
        <v>0.97892420031620397</v>
      </c>
      <c r="H390" s="9">
        <f t="shared" si="27"/>
        <v>1.0693909904312476E-3</v>
      </c>
      <c r="I390" s="10">
        <f>SUM($H$3:H390)</f>
        <v>0.40354810467747015</v>
      </c>
      <c r="J390" s="23">
        <v>-8.9999999999999998E-4</v>
      </c>
      <c r="Q390" s="7">
        <f t="shared" si="25"/>
        <v>9.4459137709768581E-5</v>
      </c>
      <c r="R390" s="7">
        <f t="shared" si="24"/>
        <v>1.0295327749414089E-3</v>
      </c>
    </row>
    <row r="391" spans="1:18" x14ac:dyDescent="0.25">
      <c r="A391" s="22">
        <v>45135</v>
      </c>
      <c r="B391" s="12">
        <v>216.34</v>
      </c>
      <c r="C391" s="13">
        <v>-1.2999999999999999E-3</v>
      </c>
      <c r="D391" s="7">
        <v>571</v>
      </c>
      <c r="E391" s="7">
        <v>-8.9999999999999998E-4</v>
      </c>
      <c r="F391" s="7">
        <v>14</v>
      </c>
      <c r="G391" s="8">
        <f t="shared" si="26"/>
        <v>0.99860090963610049</v>
      </c>
      <c r="H391" s="9">
        <f t="shared" si="27"/>
        <v>1.0908861129966464E-3</v>
      </c>
      <c r="I391" s="10">
        <f>SUM($H$3:H391)</f>
        <v>0.40463899079046678</v>
      </c>
      <c r="J391" s="23">
        <v>-8.9999999999999998E-4</v>
      </c>
      <c r="Q391" s="7">
        <f t="shared" si="25"/>
        <v>9.44685845682254E-5</v>
      </c>
      <c r="R391" s="7">
        <f t="shared" si="24"/>
        <v>1.0296357385152603E-3</v>
      </c>
    </row>
    <row r="392" spans="1:18" x14ac:dyDescent="0.25">
      <c r="A392" s="22">
        <v>45138</v>
      </c>
      <c r="B392" s="12">
        <v>217.58</v>
      </c>
      <c r="C392" s="13">
        <v>5.7000000000000002E-3</v>
      </c>
      <c r="D392" s="7">
        <v>570</v>
      </c>
      <c r="E392" s="7">
        <v>-8.0000000000000004E-4</v>
      </c>
      <c r="F392" s="7">
        <v>518</v>
      </c>
      <c r="G392" s="8">
        <f t="shared" si="26"/>
        <v>0.94951629218976996</v>
      </c>
      <c r="H392" s="9">
        <f t="shared" si="27"/>
        <v>1.0372653651911318E-3</v>
      </c>
      <c r="I392" s="10">
        <f>SUM($H$3:H392)</f>
        <v>0.40567625615565789</v>
      </c>
      <c r="J392" s="23">
        <v>-8.0000000000000004E-4</v>
      </c>
      <c r="Q392" s="7">
        <f t="shared" si="25"/>
        <v>9.4478032371462538E-5</v>
      </c>
      <c r="R392" s="7">
        <f t="shared" si="24"/>
        <v>1.0297387123864991E-3</v>
      </c>
    </row>
    <row r="393" spans="1:18" x14ac:dyDescent="0.25">
      <c r="A393" s="22">
        <v>45139</v>
      </c>
      <c r="B393" s="12">
        <v>217.23</v>
      </c>
      <c r="C393" s="13">
        <v>-1.6000000000000001E-3</v>
      </c>
      <c r="D393" s="7">
        <v>569</v>
      </c>
      <c r="E393" s="7">
        <v>-8.0000000000000004E-4</v>
      </c>
      <c r="F393" s="7">
        <v>451</v>
      </c>
      <c r="G393" s="8">
        <f t="shared" si="26"/>
        <v>0.95589973116471694</v>
      </c>
      <c r="H393" s="9">
        <f t="shared" si="27"/>
        <v>1.0442387264846527E-3</v>
      </c>
      <c r="I393" s="10">
        <f>SUM($H$3:H393)</f>
        <v>0.40672049488214251</v>
      </c>
      <c r="J393" s="23">
        <v>-8.0000000000000004E-4</v>
      </c>
      <c r="Q393" s="7">
        <f t="shared" si="25"/>
        <v>9.4487481119574497E-5</v>
      </c>
      <c r="R393" s="7">
        <f t="shared" si="24"/>
        <v>1.0298416965561546E-3</v>
      </c>
    </row>
    <row r="394" spans="1:18" x14ac:dyDescent="0.25">
      <c r="A394" s="22">
        <v>45140</v>
      </c>
      <c r="B394" s="12">
        <v>215.1</v>
      </c>
      <c r="C394" s="13">
        <v>-9.7999999999999997E-3</v>
      </c>
      <c r="D394" s="7">
        <v>568</v>
      </c>
      <c r="E394" s="7">
        <v>-8.0000000000000004E-4</v>
      </c>
      <c r="F394" s="7">
        <v>375</v>
      </c>
      <c r="G394" s="8">
        <f t="shared" si="26"/>
        <v>0.96319261161258274</v>
      </c>
      <c r="H394" s="9">
        <f t="shared" si="27"/>
        <v>1.0522055748297245E-3</v>
      </c>
      <c r="I394" s="10">
        <f>SUM($H$3:H394)</f>
        <v>0.40777270045697223</v>
      </c>
      <c r="J394" s="23">
        <v>-8.0000000000000004E-4</v>
      </c>
      <c r="Q394" s="7">
        <f t="shared" si="25"/>
        <v>9.4496930812655765E-5</v>
      </c>
      <c r="R394" s="7">
        <f t="shared" si="24"/>
        <v>1.0299446910252571E-3</v>
      </c>
    </row>
    <row r="395" spans="1:18" x14ac:dyDescent="0.25">
      <c r="A395" s="22">
        <v>45141</v>
      </c>
      <c r="B395" s="12">
        <v>213.56</v>
      </c>
      <c r="C395" s="13">
        <v>-7.1999999999999998E-3</v>
      </c>
      <c r="D395" s="7">
        <v>567</v>
      </c>
      <c r="E395" s="7">
        <v>-8.0000000000000004E-4</v>
      </c>
      <c r="F395" s="7">
        <v>177</v>
      </c>
      <c r="G395" s="8">
        <f t="shared" si="26"/>
        <v>0.98245485533877819</v>
      </c>
      <c r="H395" s="9">
        <f t="shared" si="27"/>
        <v>1.0732479291709804E-3</v>
      </c>
      <c r="I395" s="10">
        <f>SUM($H$3:H395)</f>
        <v>0.40884594838614319</v>
      </c>
      <c r="J395" s="23">
        <v>-8.0000000000000004E-4</v>
      </c>
      <c r="Q395" s="7">
        <f t="shared" si="25"/>
        <v>9.4506381450800857E-5</v>
      </c>
      <c r="R395" s="7">
        <f t="shared" si="24"/>
        <v>1.0300476957948368E-3</v>
      </c>
    </row>
    <row r="396" spans="1:18" x14ac:dyDescent="0.25">
      <c r="A396" s="22">
        <v>45142</v>
      </c>
      <c r="B396" s="12">
        <v>215.04</v>
      </c>
      <c r="C396" s="13">
        <v>6.8999999999999999E-3</v>
      </c>
      <c r="D396" s="7">
        <v>566</v>
      </c>
      <c r="E396" s="7">
        <v>-6.9999999999999999E-4</v>
      </c>
      <c r="F396" s="7">
        <v>828</v>
      </c>
      <c r="G396" s="8">
        <f t="shared" si="26"/>
        <v>0.92053142459576487</v>
      </c>
      <c r="H396" s="9">
        <f t="shared" si="27"/>
        <v>1.0056018755625583E-3</v>
      </c>
      <c r="I396" s="10">
        <f>SUM($H$3:H396)</f>
        <v>0.40985155026170572</v>
      </c>
      <c r="J396" s="23">
        <v>-6.9999999999999999E-4</v>
      </c>
      <c r="Q396" s="7">
        <f t="shared" si="25"/>
        <v>9.4515833034104234E-5</v>
      </c>
      <c r="R396" s="7">
        <f t="shared" si="24"/>
        <v>1.0301507108659231E-3</v>
      </c>
    </row>
    <row r="397" spans="1:18" x14ac:dyDescent="0.25">
      <c r="A397" s="22">
        <v>45145</v>
      </c>
      <c r="B397" s="12">
        <v>215.95</v>
      </c>
      <c r="C397" s="13">
        <v>4.1999999999999997E-3</v>
      </c>
      <c r="D397" s="7">
        <v>565</v>
      </c>
      <c r="E397" s="7">
        <v>-6.9999999999999999E-4</v>
      </c>
      <c r="F397" s="7">
        <v>639</v>
      </c>
      <c r="G397" s="8">
        <f t="shared" si="26"/>
        <v>0.93809580730015685</v>
      </c>
      <c r="H397" s="9">
        <f t="shared" si="27"/>
        <v>1.0247894619052967E-3</v>
      </c>
      <c r="I397" s="10">
        <f>SUM($H$3:H397)</f>
        <v>0.41087633972361104</v>
      </c>
      <c r="J397" s="23">
        <v>-6.9999999999999999E-4</v>
      </c>
      <c r="Q397" s="7">
        <f t="shared" si="25"/>
        <v>9.4525285562660507E-5</v>
      </c>
      <c r="R397" s="7">
        <f t="shared" si="24"/>
        <v>1.030253736239547E-3</v>
      </c>
    </row>
    <row r="398" spans="1:18" x14ac:dyDescent="0.25">
      <c r="A398" s="22">
        <v>45146</v>
      </c>
      <c r="B398" s="12">
        <v>215.79</v>
      </c>
      <c r="C398" s="13">
        <v>-6.9999999999999999E-4</v>
      </c>
      <c r="D398" s="7">
        <v>564</v>
      </c>
      <c r="E398" s="7">
        <v>-6.9999999999999999E-4</v>
      </c>
      <c r="F398" s="7">
        <v>588</v>
      </c>
      <c r="G398" s="8">
        <f t="shared" si="26"/>
        <v>0.94289255707332364</v>
      </c>
      <c r="H398" s="9">
        <f t="shared" si="27"/>
        <v>1.0300295009084397E-3</v>
      </c>
      <c r="I398" s="10">
        <f>SUM($H$3:H398)</f>
        <v>0.41190636922451945</v>
      </c>
      <c r="J398" s="23">
        <v>-6.9999999999999999E-4</v>
      </c>
      <c r="Q398" s="7">
        <f t="shared" si="25"/>
        <v>9.4534739036564164E-5</v>
      </c>
      <c r="R398" s="7">
        <f t="shared" si="24"/>
        <v>1.0303567719167387E-3</v>
      </c>
    </row>
    <row r="399" spans="1:18" x14ac:dyDescent="0.25">
      <c r="A399" s="22">
        <v>45147</v>
      </c>
      <c r="B399" s="12">
        <v>216.49</v>
      </c>
      <c r="C399" s="13">
        <v>3.2000000000000002E-3</v>
      </c>
      <c r="D399" s="7">
        <v>563</v>
      </c>
      <c r="E399" s="7">
        <v>-6.9999999999999999E-4</v>
      </c>
      <c r="F399" s="7">
        <v>564</v>
      </c>
      <c r="G399" s="8">
        <f t="shared" si="26"/>
        <v>0.94515833034114649</v>
      </c>
      <c r="H399" s="9">
        <f t="shared" si="27"/>
        <v>1.0325046644790075E-3</v>
      </c>
      <c r="I399" s="10">
        <f>SUM($H$3:H399)</f>
        <v>0.41293887388899847</v>
      </c>
      <c r="J399" s="23">
        <v>-6.9999999999999999E-4</v>
      </c>
      <c r="Q399" s="7">
        <f t="shared" si="25"/>
        <v>9.4544193455909761E-5</v>
      </c>
      <c r="R399" s="7">
        <f t="shared" si="24"/>
        <v>1.0304598178985287E-3</v>
      </c>
    </row>
    <row r="400" spans="1:18" x14ac:dyDescent="0.25">
      <c r="A400" s="22">
        <v>45148</v>
      </c>
      <c r="B400" s="12">
        <v>215.33</v>
      </c>
      <c r="C400" s="13">
        <v>-5.4000000000000003E-3</v>
      </c>
      <c r="D400" s="7">
        <v>562</v>
      </c>
      <c r="E400" s="7">
        <v>-6.9999999999999999E-4</v>
      </c>
      <c r="F400" s="7">
        <v>520</v>
      </c>
      <c r="G400" s="8">
        <f t="shared" si="26"/>
        <v>0.94932639842649491</v>
      </c>
      <c r="H400" s="9">
        <f t="shared" si="27"/>
        <v>1.0370579224907471E-3</v>
      </c>
      <c r="I400" s="10">
        <f>SUM($H$3:H400)</f>
        <v>0.41397593181148923</v>
      </c>
      <c r="J400" s="23">
        <v>-6.9999999999999999E-4</v>
      </c>
      <c r="Q400" s="7">
        <f t="shared" si="25"/>
        <v>9.4553648820791826E-5</v>
      </c>
      <c r="R400" s="7">
        <f t="shared" si="24"/>
        <v>1.030562874185947E-3</v>
      </c>
    </row>
    <row r="401" spans="1:18" x14ac:dyDescent="0.25">
      <c r="A401" s="22">
        <v>45149</v>
      </c>
      <c r="B401" s="12">
        <v>214.4</v>
      </c>
      <c r="C401" s="13">
        <v>-4.3E-3</v>
      </c>
      <c r="D401" s="7">
        <v>561</v>
      </c>
      <c r="E401" s="7">
        <v>-6.9999999999999999E-4</v>
      </c>
      <c r="F401" s="7">
        <v>400</v>
      </c>
      <c r="G401" s="8">
        <f t="shared" si="26"/>
        <v>0.96078751744726176</v>
      </c>
      <c r="H401" s="9">
        <f t="shared" si="27"/>
        <v>1.049578215090633E-3</v>
      </c>
      <c r="I401" s="10">
        <f>SUM($H$3:H401)</f>
        <v>0.41502551002657984</v>
      </c>
      <c r="J401" s="23">
        <v>-6.9999999999999999E-4</v>
      </c>
      <c r="Q401" s="7">
        <f t="shared" si="25"/>
        <v>9.456310513130497E-5</v>
      </c>
      <c r="R401" s="7">
        <f t="shared" si="24"/>
        <v>1.0306659407800253E-3</v>
      </c>
    </row>
    <row r="402" spans="1:18" x14ac:dyDescent="0.25">
      <c r="A402" s="22">
        <v>45152</v>
      </c>
      <c r="B402" s="12">
        <v>214.51</v>
      </c>
      <c r="C402" s="13">
        <v>5.0000000000000001E-4</v>
      </c>
      <c r="D402" s="7">
        <v>560</v>
      </c>
      <c r="E402" s="7">
        <v>-6.9999999999999999E-4</v>
      </c>
      <c r="F402" s="7">
        <v>352</v>
      </c>
      <c r="G402" s="8">
        <f t="shared" si="26"/>
        <v>0.9654106152476829</v>
      </c>
      <c r="H402" s="9">
        <f t="shared" si="27"/>
        <v>1.0546285541608656E-3</v>
      </c>
      <c r="I402" s="10">
        <f>SUM($H$3:H402)</f>
        <v>0.41608013858074072</v>
      </c>
      <c r="J402" s="23">
        <v>-6.9999999999999999E-4</v>
      </c>
      <c r="Q402" s="7">
        <f t="shared" si="25"/>
        <v>9.4572562387543722E-5</v>
      </c>
      <c r="R402" s="7">
        <f t="shared" si="24"/>
        <v>1.0307690176817935E-3</v>
      </c>
    </row>
    <row r="403" spans="1:18" x14ac:dyDescent="0.25">
      <c r="A403" s="22">
        <v>45154</v>
      </c>
      <c r="B403" s="12">
        <v>214.57</v>
      </c>
      <c r="C403" s="13">
        <v>2.9999999999999997E-4</v>
      </c>
      <c r="D403" s="7">
        <v>559</v>
      </c>
      <c r="E403" s="7">
        <v>-6.9999999999999999E-4</v>
      </c>
      <c r="F403" s="7">
        <v>313</v>
      </c>
      <c r="G403" s="8">
        <f t="shared" si="26"/>
        <v>0.96918325715203912</v>
      </c>
      <c r="H403" s="9">
        <f t="shared" si="27"/>
        <v>1.0587498428789692E-3</v>
      </c>
      <c r="I403" s="10">
        <f>SUM($H$3:H403)</f>
        <v>0.41713888842361968</v>
      </c>
      <c r="J403" s="23">
        <v>-6.9999999999999999E-4</v>
      </c>
      <c r="Q403" s="7">
        <f t="shared" si="25"/>
        <v>9.4582020589602678E-5</v>
      </c>
      <c r="R403" s="7">
        <f t="shared" si="24"/>
        <v>1.0308721048922825E-3</v>
      </c>
    </row>
    <row r="404" spans="1:18" x14ac:dyDescent="0.25">
      <c r="A404" s="22">
        <v>45155</v>
      </c>
      <c r="B404" s="12">
        <v>213.7</v>
      </c>
      <c r="C404" s="13">
        <v>-4.1000000000000003E-3</v>
      </c>
      <c r="D404" s="7">
        <v>558</v>
      </c>
      <c r="E404" s="7">
        <v>-6.9999999999999999E-4</v>
      </c>
      <c r="F404" s="7">
        <v>243</v>
      </c>
      <c r="G404" s="8">
        <f t="shared" si="26"/>
        <v>0.97599168206377651</v>
      </c>
      <c r="H404" s="9">
        <f t="shared" si="27"/>
        <v>1.0661874649719647E-3</v>
      </c>
      <c r="I404" s="10">
        <f>SUM($H$3:H404)</f>
        <v>0.41820507588859163</v>
      </c>
      <c r="J404" s="23">
        <v>-6.9999999999999999E-4</v>
      </c>
      <c r="Q404" s="7">
        <f t="shared" si="25"/>
        <v>9.4591479737576422E-5</v>
      </c>
      <c r="R404" s="7">
        <f t="shared" si="24"/>
        <v>1.0309752024125238E-3</v>
      </c>
    </row>
    <row r="405" spans="1:18" x14ac:dyDescent="0.25">
      <c r="A405" s="22">
        <v>45156</v>
      </c>
      <c r="B405" s="12">
        <v>213</v>
      </c>
      <c r="C405" s="13">
        <v>-3.3E-3</v>
      </c>
      <c r="D405" s="7">
        <v>557</v>
      </c>
      <c r="E405" s="7">
        <v>-6.9999999999999999E-4</v>
      </c>
      <c r="F405" s="7">
        <v>80</v>
      </c>
      <c r="G405" s="8">
        <f t="shared" si="26"/>
        <v>0.99203151799791989</v>
      </c>
      <c r="H405" s="9">
        <f t="shared" si="27"/>
        <v>1.0837096143175705E-3</v>
      </c>
      <c r="I405" s="10">
        <f>SUM($H$3:H405)</f>
        <v>0.41928878550290921</v>
      </c>
      <c r="J405" s="23">
        <v>-6.9999999999999999E-4</v>
      </c>
      <c r="Q405" s="7">
        <f t="shared" si="25"/>
        <v>9.4600939831559577E-5</v>
      </c>
      <c r="R405" s="7">
        <f t="shared" si="24"/>
        <v>1.031078310243548E-3</v>
      </c>
    </row>
    <row r="406" spans="1:18" x14ac:dyDescent="0.25">
      <c r="A406" s="22">
        <v>45159</v>
      </c>
      <c r="B406" s="12">
        <v>213.5</v>
      </c>
      <c r="C406" s="13">
        <v>2.3E-3</v>
      </c>
      <c r="D406" s="7">
        <v>556</v>
      </c>
      <c r="E406" s="7">
        <v>-6.9999999999999999E-4</v>
      </c>
      <c r="F406" s="7">
        <v>33</v>
      </c>
      <c r="G406" s="8">
        <f t="shared" si="26"/>
        <v>0.99670527454809044</v>
      </c>
      <c r="H406" s="9">
        <f t="shared" si="27"/>
        <v>1.0888152937405604E-3</v>
      </c>
      <c r="I406" s="10">
        <f>SUM($H$3:H406)</f>
        <v>0.42037760079664976</v>
      </c>
      <c r="J406" s="23">
        <v>-6.9999999999999999E-4</v>
      </c>
      <c r="Q406" s="7">
        <f t="shared" si="25"/>
        <v>9.461040087164674E-5</v>
      </c>
      <c r="R406" s="7">
        <f t="shared" si="24"/>
        <v>1.0311814283863866E-3</v>
      </c>
    </row>
    <row r="407" spans="1:18" x14ac:dyDescent="0.25">
      <c r="A407" s="22">
        <v>45160</v>
      </c>
      <c r="B407" s="12">
        <v>213.43</v>
      </c>
      <c r="C407" s="13">
        <v>-2.9999999999999997E-4</v>
      </c>
      <c r="D407" s="7">
        <v>555</v>
      </c>
      <c r="E407" s="7">
        <v>-5.9999999999999995E-4</v>
      </c>
      <c r="F407" s="7">
        <v>792</v>
      </c>
      <c r="G407" s="8">
        <f t="shared" si="26"/>
        <v>0.92385147623677732</v>
      </c>
      <c r="H407" s="9">
        <f t="shared" si="27"/>
        <v>1.0092287481146091E-3</v>
      </c>
      <c r="I407" s="10">
        <f>SUM($H$3:H407)</f>
        <v>0.42138682954476436</v>
      </c>
      <c r="J407" s="23">
        <v>-5.9999999999999995E-4</v>
      </c>
      <c r="Q407" s="7">
        <f t="shared" si="25"/>
        <v>9.4619862857932535E-5</v>
      </c>
      <c r="R407" s="7">
        <f t="shared" si="24"/>
        <v>1.0312845568420709E-3</v>
      </c>
    </row>
    <row r="408" spans="1:18" x14ac:dyDescent="0.25">
      <c r="A408" s="22">
        <v>45161</v>
      </c>
      <c r="B408" s="12">
        <v>214.37</v>
      </c>
      <c r="C408" s="13">
        <v>4.4000000000000003E-3</v>
      </c>
      <c r="D408" s="7">
        <v>554</v>
      </c>
      <c r="E408" s="7">
        <v>-5.9999999999999995E-4</v>
      </c>
      <c r="F408" s="7">
        <v>495</v>
      </c>
      <c r="G408" s="8">
        <f t="shared" si="26"/>
        <v>0.95170280251208006</v>
      </c>
      <c r="H408" s="9">
        <f t="shared" si="27"/>
        <v>1.0396539407707406E-3</v>
      </c>
      <c r="I408" s="10">
        <f>SUM($H$3:H408)</f>
        <v>0.42242648348553513</v>
      </c>
      <c r="J408" s="23">
        <v>-5.9999999999999995E-4</v>
      </c>
      <c r="Q408" s="7">
        <f t="shared" si="25"/>
        <v>9.4629325790511584E-5</v>
      </c>
      <c r="R408" s="7">
        <f t="shared" si="24"/>
        <v>1.031387695611632E-3</v>
      </c>
    </row>
    <row r="409" spans="1:18" x14ac:dyDescent="0.25">
      <c r="A409" s="22">
        <v>45162</v>
      </c>
      <c r="B409" s="12">
        <v>213.77</v>
      </c>
      <c r="C409" s="13">
        <v>-2.8E-3</v>
      </c>
      <c r="D409" s="7">
        <v>553</v>
      </c>
      <c r="E409" s="7">
        <v>-5.9999999999999995E-4</v>
      </c>
      <c r="F409" s="7">
        <v>336</v>
      </c>
      <c r="G409" s="8">
        <f t="shared" si="26"/>
        <v>0.96695658597866496</v>
      </c>
      <c r="H409" s="9">
        <f t="shared" si="27"/>
        <v>1.0563173950033419E-3</v>
      </c>
      <c r="I409" s="10">
        <f>SUM($H$3:H409)</f>
        <v>0.42348280088053847</v>
      </c>
      <c r="J409" s="23">
        <v>-5.9999999999999995E-4</v>
      </c>
      <c r="Q409" s="7">
        <f t="shared" si="25"/>
        <v>9.4638789669478527E-5</v>
      </c>
      <c r="R409" s="7">
        <f t="shared" si="24"/>
        <v>1.0314908446961016E-3</v>
      </c>
    </row>
    <row r="410" spans="1:18" x14ac:dyDescent="0.25">
      <c r="A410" s="22">
        <v>45163</v>
      </c>
      <c r="B410" s="12">
        <v>212.76</v>
      </c>
      <c r="C410" s="13">
        <v>-4.7000000000000002E-3</v>
      </c>
      <c r="D410" s="7">
        <v>552</v>
      </c>
      <c r="E410" s="7">
        <v>-5.9999999999999995E-4</v>
      </c>
      <c r="F410" s="7">
        <v>315</v>
      </c>
      <c r="G410" s="8">
        <f t="shared" si="26"/>
        <v>0.96898943019244144</v>
      </c>
      <c r="H410" s="9">
        <f t="shared" si="27"/>
        <v>1.058538103497892E-3</v>
      </c>
      <c r="I410" s="10">
        <f>SUM($H$3:H410)</f>
        <v>0.42454133898403634</v>
      </c>
      <c r="J410" s="23">
        <v>-5.9999999999999995E-4</v>
      </c>
      <c r="Q410" s="7">
        <f t="shared" si="25"/>
        <v>9.4648254494928026E-5</v>
      </c>
      <c r="R410" s="7">
        <f t="shared" si="24"/>
        <v>1.0315940040965114E-3</v>
      </c>
    </row>
    <row r="411" spans="1:18" x14ac:dyDescent="0.25">
      <c r="A411" s="22">
        <v>45166</v>
      </c>
      <c r="B411" s="12">
        <v>212.87</v>
      </c>
      <c r="C411" s="13">
        <v>5.0000000000000001E-4</v>
      </c>
      <c r="D411" s="7">
        <v>551</v>
      </c>
      <c r="E411" s="7">
        <v>-5.9999999999999995E-4</v>
      </c>
      <c r="F411" s="7">
        <v>223</v>
      </c>
      <c r="G411" s="8">
        <f t="shared" si="26"/>
        <v>0.97794571651432782</v>
      </c>
      <c r="H411" s="9">
        <f t="shared" si="27"/>
        <v>1.0683220805384579E-3</v>
      </c>
      <c r="I411" s="10">
        <f>SUM($H$3:H411)</f>
        <v>0.42560966106457482</v>
      </c>
      <c r="J411" s="23">
        <v>-5.9999999999999995E-4</v>
      </c>
      <c r="Q411" s="7">
        <f t="shared" si="25"/>
        <v>9.465772026695472E-5</v>
      </c>
      <c r="R411" s="7">
        <f t="shared" si="24"/>
        <v>1.0316971738138926E-3</v>
      </c>
    </row>
    <row r="412" spans="1:18" x14ac:dyDescent="0.25">
      <c r="A412" s="22">
        <v>45167</v>
      </c>
      <c r="B412" s="12">
        <v>213.16</v>
      </c>
      <c r="C412" s="13">
        <v>1.4E-3</v>
      </c>
      <c r="D412" s="7">
        <v>550</v>
      </c>
      <c r="E412" s="7">
        <v>-5.9999999999999995E-4</v>
      </c>
      <c r="F412" s="7">
        <v>160</v>
      </c>
      <c r="G412" s="8">
        <f t="shared" si="26"/>
        <v>0.98412653270125738</v>
      </c>
      <c r="H412" s="9">
        <f t="shared" si="27"/>
        <v>1.0750740937603999E-3</v>
      </c>
      <c r="I412" s="10">
        <f>SUM($H$3:H412)</f>
        <v>0.42668473515833522</v>
      </c>
      <c r="J412" s="23">
        <v>-5.9999999999999995E-4</v>
      </c>
      <c r="Q412" s="7">
        <f t="shared" si="25"/>
        <v>9.4667186985653273E-5</v>
      </c>
      <c r="R412" s="7">
        <f t="shared" si="24"/>
        <v>1.0318003538492774E-3</v>
      </c>
    </row>
    <row r="413" spans="1:18" x14ac:dyDescent="0.25">
      <c r="A413" s="22">
        <v>45168</v>
      </c>
      <c r="B413" s="12">
        <v>213.54</v>
      </c>
      <c r="C413" s="13">
        <v>1.8E-3</v>
      </c>
      <c r="D413" s="7">
        <v>549</v>
      </c>
      <c r="E413" s="7">
        <v>-5.0000000000000001E-4</v>
      </c>
      <c r="F413" s="7">
        <v>482</v>
      </c>
      <c r="G413" s="8">
        <f t="shared" si="26"/>
        <v>0.95294088263809373</v>
      </c>
      <c r="H413" s="9">
        <f t="shared" si="27"/>
        <v>1.04100643745206E-3</v>
      </c>
      <c r="I413" s="10">
        <f>SUM($H$3:H413)</f>
        <v>0.4277257415957873</v>
      </c>
      <c r="J413" s="23">
        <v>-5.0000000000000001E-4</v>
      </c>
      <c r="Q413" s="7">
        <f t="shared" si="25"/>
        <v>9.4676654651118389E-5</v>
      </c>
      <c r="R413" s="7">
        <f t="shared" si="24"/>
        <v>1.0319035442036978E-3</v>
      </c>
    </row>
    <row r="414" spans="1:18" x14ac:dyDescent="0.25">
      <c r="A414" s="22">
        <v>45169</v>
      </c>
      <c r="B414" s="12">
        <v>212.77</v>
      </c>
      <c r="C414" s="13">
        <v>-3.5999999999999999E-3</v>
      </c>
      <c r="D414" s="7">
        <v>548</v>
      </c>
      <c r="E414" s="7">
        <v>-5.0000000000000001E-4</v>
      </c>
      <c r="F414" s="7">
        <v>305</v>
      </c>
      <c r="G414" s="8">
        <f t="shared" si="26"/>
        <v>0.96995895278006716</v>
      </c>
      <c r="H414" s="9">
        <f t="shared" si="27"/>
        <v>1.0595972240303006E-3</v>
      </c>
      <c r="I414" s="10">
        <f>SUM($H$3:H414)</f>
        <v>0.42878533881981762</v>
      </c>
      <c r="J414" s="23">
        <v>-5.0000000000000001E-4</v>
      </c>
      <c r="Q414" s="7">
        <f t="shared" si="25"/>
        <v>9.4686123263444734E-5</v>
      </c>
      <c r="R414" s="7">
        <f t="shared" si="24"/>
        <v>1.0320067448781856E-3</v>
      </c>
    </row>
    <row r="415" spans="1:18" x14ac:dyDescent="0.25">
      <c r="A415" s="22">
        <v>45170</v>
      </c>
      <c r="B415" s="12">
        <v>214.27</v>
      </c>
      <c r="C415" s="13">
        <v>7.0000000000000001E-3</v>
      </c>
      <c r="D415" s="7">
        <v>547</v>
      </c>
      <c r="E415" s="7">
        <v>-5.0000000000000001E-4</v>
      </c>
      <c r="F415" s="7">
        <v>296</v>
      </c>
      <c r="G415" s="8">
        <f t="shared" si="26"/>
        <v>0.97083235247918909</v>
      </c>
      <c r="H415" s="9">
        <f t="shared" si="27"/>
        <v>1.0605513385255646E-3</v>
      </c>
      <c r="I415" s="10">
        <f>SUM($H$3:H415)</f>
        <v>0.42984589015834318</v>
      </c>
      <c r="J415" s="23">
        <v>-5.0000000000000001E-4</v>
      </c>
      <c r="Q415" s="7">
        <f t="shared" si="25"/>
        <v>9.4695592822726984E-5</v>
      </c>
      <c r="R415" s="7">
        <f t="shared" si="24"/>
        <v>1.0321099558737727E-3</v>
      </c>
    </row>
    <row r="416" spans="1:18" x14ac:dyDescent="0.25">
      <c r="A416" s="22">
        <v>45173</v>
      </c>
      <c r="B416" s="12">
        <v>215.59</v>
      </c>
      <c r="C416" s="13">
        <v>6.1999999999999998E-3</v>
      </c>
      <c r="D416" s="7">
        <v>546</v>
      </c>
      <c r="E416" s="7">
        <v>-5.0000000000000001E-4</v>
      </c>
      <c r="F416" s="7">
        <v>178</v>
      </c>
      <c r="G416" s="8">
        <f t="shared" si="26"/>
        <v>0.98235660985324436</v>
      </c>
      <c r="H416" s="9">
        <f t="shared" si="27"/>
        <v>1.0731406043780634E-3</v>
      </c>
      <c r="I416" s="10">
        <f>SUM($H$3:H416)</f>
        <v>0.43091903076272126</v>
      </c>
      <c r="J416" s="23">
        <v>-5.0000000000000001E-4</v>
      </c>
      <c r="Q416" s="7">
        <f t="shared" si="25"/>
        <v>9.4705063329059901E-5</v>
      </c>
      <c r="R416" s="7">
        <f t="shared" si="24"/>
        <v>1.0322131771914921E-3</v>
      </c>
    </row>
    <row r="417" spans="1:18" x14ac:dyDescent="0.25">
      <c r="A417" s="22">
        <v>45174</v>
      </c>
      <c r="B417" s="12">
        <v>215.84</v>
      </c>
      <c r="C417" s="13">
        <v>1.1999999999999999E-3</v>
      </c>
      <c r="D417" s="7">
        <v>545</v>
      </c>
      <c r="E417" s="7">
        <v>-5.0000000000000001E-4</v>
      </c>
      <c r="F417" s="7">
        <v>37</v>
      </c>
      <c r="G417" s="8">
        <f t="shared" si="26"/>
        <v>0.99630665223660109</v>
      </c>
      <c r="H417" s="9">
        <f t="shared" si="27"/>
        <v>1.0883798329476269E-3</v>
      </c>
      <c r="I417" s="10">
        <f>SUM($H$3:H417)</f>
        <v>0.43200741059566888</v>
      </c>
      <c r="J417" s="23">
        <v>-5.0000000000000001E-4</v>
      </c>
      <c r="Q417" s="7">
        <f t="shared" si="25"/>
        <v>9.471453478253816E-5</v>
      </c>
      <c r="R417" s="7">
        <f t="shared" si="24"/>
        <v>1.0323164088323754E-3</v>
      </c>
    </row>
    <row r="418" spans="1:18" x14ac:dyDescent="0.25">
      <c r="A418" s="22">
        <v>45175</v>
      </c>
      <c r="B418" s="12">
        <v>216.22</v>
      </c>
      <c r="C418" s="13">
        <v>1.8E-3</v>
      </c>
      <c r="D418" s="7">
        <v>544</v>
      </c>
      <c r="E418" s="7">
        <v>-4.0000000000000002E-4</v>
      </c>
      <c r="F418" s="7">
        <v>625</v>
      </c>
      <c r="G418" s="8">
        <f t="shared" si="26"/>
        <v>0.93941012695653137</v>
      </c>
      <c r="H418" s="9">
        <f t="shared" si="27"/>
        <v>1.0262252437550248E-3</v>
      </c>
      <c r="I418" s="10">
        <f>SUM($H$3:H418)</f>
        <v>0.43303363583942389</v>
      </c>
      <c r="J418" s="23">
        <v>-4.0000000000000002E-4</v>
      </c>
      <c r="Q418" s="7">
        <f t="shared" si="25"/>
        <v>9.4724007183256482E-5</v>
      </c>
      <c r="R418" s="7">
        <f t="shared" si="24"/>
        <v>1.0324196507974551E-3</v>
      </c>
    </row>
    <row r="419" spans="1:18" x14ac:dyDescent="0.25">
      <c r="A419" s="22">
        <v>45176</v>
      </c>
      <c r="B419" s="12">
        <v>217.29</v>
      </c>
      <c r="C419" s="13">
        <v>4.8999999999999998E-3</v>
      </c>
      <c r="D419" s="7">
        <v>543</v>
      </c>
      <c r="E419" s="7">
        <v>-4.0000000000000002E-4</v>
      </c>
      <c r="F419" s="7">
        <v>585</v>
      </c>
      <c r="G419" s="8">
        <f t="shared" si="26"/>
        <v>0.94317548142342933</v>
      </c>
      <c r="H419" s="9">
        <f t="shared" si="27"/>
        <v>1.0303385715707842E-3</v>
      </c>
      <c r="I419" s="10">
        <f>SUM($H$3:H419)</f>
        <v>0.4340639744109947</v>
      </c>
      <c r="J419" s="23">
        <v>-4.0000000000000002E-4</v>
      </c>
      <c r="Q419" s="7">
        <f t="shared" si="25"/>
        <v>9.4733480531309597E-5</v>
      </c>
      <c r="R419" s="7">
        <f t="shared" si="24"/>
        <v>1.0325229030877638E-3</v>
      </c>
    </row>
    <row r="420" spans="1:18" x14ac:dyDescent="0.25">
      <c r="A420" s="22">
        <v>45177</v>
      </c>
      <c r="B420" s="12">
        <v>218.41</v>
      </c>
      <c r="C420" s="13">
        <v>5.1999999999999998E-3</v>
      </c>
      <c r="D420" s="7">
        <v>542</v>
      </c>
      <c r="E420" s="7">
        <v>-4.0000000000000002E-4</v>
      </c>
      <c r="F420" s="7">
        <v>574</v>
      </c>
      <c r="G420" s="8">
        <f t="shared" si="26"/>
        <v>0.94421359721865528</v>
      </c>
      <c r="H420" s="9">
        <f t="shared" si="27"/>
        <v>1.031472624317749E-3</v>
      </c>
      <c r="I420" s="10">
        <f>SUM($H$3:H420)</f>
        <v>0.43509544703531244</v>
      </c>
      <c r="J420" s="23">
        <v>-4.0000000000000002E-4</v>
      </c>
      <c r="Q420" s="7">
        <f t="shared" si="25"/>
        <v>9.4742954826792266E-5</v>
      </c>
      <c r="R420" s="7">
        <f t="shared" si="24"/>
        <v>1.032626165704334E-3</v>
      </c>
    </row>
    <row r="421" spans="1:18" x14ac:dyDescent="0.25">
      <c r="A421" s="22">
        <v>45180</v>
      </c>
      <c r="B421" s="12">
        <v>220.38</v>
      </c>
      <c r="C421" s="13">
        <v>8.9999999999999993E-3</v>
      </c>
      <c r="D421" s="7">
        <v>541</v>
      </c>
      <c r="E421" s="7">
        <v>-4.0000000000000002E-4</v>
      </c>
      <c r="F421" s="7">
        <v>490</v>
      </c>
      <c r="G421" s="8">
        <f t="shared" si="26"/>
        <v>0.95217879670207262</v>
      </c>
      <c r="H421" s="9">
        <f t="shared" si="27"/>
        <v>1.040173923725612E-3</v>
      </c>
      <c r="I421" s="10">
        <f>SUM($H$3:H421)</f>
        <v>0.43613562095903807</v>
      </c>
      <c r="J421" s="23">
        <v>-4.0000000000000002E-4</v>
      </c>
      <c r="Q421" s="7">
        <f t="shared" si="25"/>
        <v>9.4752430069799248E-5</v>
      </c>
      <c r="R421" s="7">
        <f t="shared" si="24"/>
        <v>1.032729438648199E-3</v>
      </c>
    </row>
    <row r="422" spans="1:18" x14ac:dyDescent="0.25">
      <c r="A422" s="22">
        <v>45181</v>
      </c>
      <c r="B422" s="12">
        <v>220.19</v>
      </c>
      <c r="C422" s="13">
        <v>-8.9999999999999998E-4</v>
      </c>
      <c r="D422" s="7">
        <v>540</v>
      </c>
      <c r="E422" s="7">
        <v>-4.0000000000000002E-4</v>
      </c>
      <c r="F422" s="7">
        <v>428</v>
      </c>
      <c r="G422" s="8">
        <f t="shared" si="26"/>
        <v>0.95810094102965238</v>
      </c>
      <c r="H422" s="9">
        <f t="shared" si="27"/>
        <v>1.0466433600577628E-3</v>
      </c>
      <c r="I422" s="10">
        <f>SUM($H$3:H422)</f>
        <v>0.43718226431909585</v>
      </c>
      <c r="J422" s="23">
        <v>-4.0000000000000002E-4</v>
      </c>
      <c r="Q422" s="7">
        <f t="shared" si="25"/>
        <v>9.4761906260425302E-5</v>
      </c>
      <c r="R422" s="7">
        <f t="shared" si="24"/>
        <v>1.0328327219203911E-3</v>
      </c>
    </row>
    <row r="423" spans="1:18" x14ac:dyDescent="0.25">
      <c r="A423" s="22">
        <v>45182</v>
      </c>
      <c r="B423" s="12">
        <v>221.43</v>
      </c>
      <c r="C423" s="13">
        <v>5.5999999999999999E-3</v>
      </c>
      <c r="D423" s="7">
        <v>539</v>
      </c>
      <c r="E423" s="7">
        <v>-4.0000000000000002E-4</v>
      </c>
      <c r="F423" s="7">
        <v>280</v>
      </c>
      <c r="G423" s="8">
        <f t="shared" si="26"/>
        <v>0.97238700536773037</v>
      </c>
      <c r="H423" s="9">
        <f t="shared" si="27"/>
        <v>1.0622496638828466E-3</v>
      </c>
      <c r="I423" s="10">
        <f>SUM($H$3:H423)</f>
        <v>0.4382445139829787</v>
      </c>
      <c r="J423" s="23">
        <v>-4.0000000000000002E-4</v>
      </c>
      <c r="Q423" s="7">
        <f t="shared" si="25"/>
        <v>9.477138339876516E-5</v>
      </c>
      <c r="R423" s="7">
        <f t="shared" si="24"/>
        <v>1.032936015521943E-3</v>
      </c>
    </row>
    <row r="424" spans="1:18" x14ac:dyDescent="0.25">
      <c r="A424" s="22">
        <v>45183</v>
      </c>
      <c r="B424" s="12">
        <v>221.53</v>
      </c>
      <c r="C424" s="13">
        <v>5.0000000000000001E-4</v>
      </c>
      <c r="D424" s="7">
        <v>538</v>
      </c>
      <c r="E424" s="7">
        <v>-4.0000000000000002E-4</v>
      </c>
      <c r="F424" s="7">
        <v>186</v>
      </c>
      <c r="G424" s="8">
        <f t="shared" si="26"/>
        <v>0.98157099957020766</v>
      </c>
      <c r="H424" s="9">
        <f t="shared" si="27"/>
        <v>1.0722823923138421E-3</v>
      </c>
      <c r="I424" s="10">
        <f>SUM($H$3:H424)</f>
        <v>0.43931679637529253</v>
      </c>
      <c r="J424" s="23">
        <v>-4.0000000000000002E-4</v>
      </c>
      <c r="Q424" s="7">
        <f t="shared" si="25"/>
        <v>9.4780861484913663E-5</v>
      </c>
      <c r="R424" s="7">
        <f t="shared" si="24"/>
        <v>1.0330393194538886E-3</v>
      </c>
    </row>
    <row r="425" spans="1:18" x14ac:dyDescent="0.25">
      <c r="A425" s="22">
        <v>45184</v>
      </c>
      <c r="B425" s="12">
        <v>222.57</v>
      </c>
      <c r="C425" s="13">
        <v>4.7000000000000002E-3</v>
      </c>
      <c r="D425" s="7">
        <v>537</v>
      </c>
      <c r="E425" s="7">
        <v>-2.9999999999999997E-4</v>
      </c>
      <c r="F425" s="7">
        <v>856</v>
      </c>
      <c r="G425" s="8">
        <f t="shared" si="26"/>
        <v>0.91795741320190538</v>
      </c>
      <c r="H425" s="9">
        <f t="shared" si="27"/>
        <v>1.0027899881937799E-3</v>
      </c>
      <c r="I425" s="10">
        <f>SUM($H$3:H425)</f>
        <v>0.44031958636348628</v>
      </c>
      <c r="J425" s="23">
        <v>-2.9999999999999997E-4</v>
      </c>
      <c r="Q425" s="7">
        <f t="shared" si="25"/>
        <v>9.4790340518965556E-5</v>
      </c>
      <c r="R425" s="7">
        <f t="shared" si="24"/>
        <v>1.0331426337172602E-3</v>
      </c>
    </row>
    <row r="426" spans="1:18" x14ac:dyDescent="0.25">
      <c r="A426" s="22">
        <v>45187</v>
      </c>
      <c r="B426" s="12">
        <v>221.92</v>
      </c>
      <c r="C426" s="13">
        <v>-2.8999999999999998E-3</v>
      </c>
      <c r="D426" s="7">
        <v>536</v>
      </c>
      <c r="E426" s="7">
        <v>-2.9999999999999997E-4</v>
      </c>
      <c r="F426" s="7">
        <v>831</v>
      </c>
      <c r="G426" s="8">
        <f t="shared" si="26"/>
        <v>0.92025529278340867</v>
      </c>
      <c r="H426" s="9">
        <f t="shared" si="27"/>
        <v>1.0053002251669406E-3</v>
      </c>
      <c r="I426" s="10">
        <f>SUM($H$3:H426)</f>
        <v>0.44132488658865321</v>
      </c>
      <c r="J426" s="23">
        <v>-2.9999999999999997E-4</v>
      </c>
      <c r="Q426" s="7">
        <f t="shared" si="25"/>
        <v>9.4799820501015653E-5</v>
      </c>
      <c r="R426" s="7">
        <f t="shared" si="24"/>
        <v>1.0332459583130916E-3</v>
      </c>
    </row>
    <row r="427" spans="1:18" x14ac:dyDescent="0.25">
      <c r="A427" s="22">
        <v>45189</v>
      </c>
      <c r="B427" s="12">
        <v>219.6</v>
      </c>
      <c r="C427" s="13">
        <v>-1.0500000000000001E-2</v>
      </c>
      <c r="D427" s="7">
        <v>535</v>
      </c>
      <c r="E427" s="7">
        <v>-2.9999999999999997E-4</v>
      </c>
      <c r="F427" s="7">
        <v>555</v>
      </c>
      <c r="G427" s="8">
        <f t="shared" si="26"/>
        <v>0.94600939831569997</v>
      </c>
      <c r="H427" s="9">
        <f t="shared" si="27"/>
        <v>1.0334343834745518E-3</v>
      </c>
      <c r="I427" s="10">
        <f>SUM($H$3:H427)</f>
        <v>0.44235832097212774</v>
      </c>
      <c r="J427" s="23">
        <v>-2.9999999999999997E-4</v>
      </c>
      <c r="Q427" s="7">
        <f t="shared" si="25"/>
        <v>9.4809301431158767E-5</v>
      </c>
      <c r="R427" s="7">
        <f t="shared" si="24"/>
        <v>1.0333492932424156E-3</v>
      </c>
    </row>
    <row r="428" spans="1:18" x14ac:dyDescent="0.25">
      <c r="A428" s="22">
        <v>45190</v>
      </c>
      <c r="B428" s="12">
        <v>217.63</v>
      </c>
      <c r="C428" s="13">
        <v>-8.9999999999999993E-3</v>
      </c>
      <c r="D428" s="7">
        <v>534</v>
      </c>
      <c r="E428" s="7">
        <v>-2.9999999999999997E-4</v>
      </c>
      <c r="F428" s="7">
        <v>503</v>
      </c>
      <c r="G428" s="8">
        <f t="shared" si="26"/>
        <v>0.95094170669356659</v>
      </c>
      <c r="H428" s="9">
        <f t="shared" si="27"/>
        <v>1.0388225086630143E-3</v>
      </c>
      <c r="I428" s="10">
        <f>SUM($H$3:H428)</f>
        <v>0.44339714348079073</v>
      </c>
      <c r="J428" s="23">
        <v>-2.9999999999999997E-4</v>
      </c>
      <c r="Q428" s="7">
        <f t="shared" si="25"/>
        <v>9.4818783309489713E-5</v>
      </c>
      <c r="R428" s="7">
        <f t="shared" si="24"/>
        <v>1.0334526385062663E-3</v>
      </c>
    </row>
    <row r="429" spans="1:18" x14ac:dyDescent="0.25">
      <c r="A429" s="22">
        <v>45191</v>
      </c>
      <c r="B429" s="12">
        <v>216.81</v>
      </c>
      <c r="C429" s="13">
        <v>-3.8E-3</v>
      </c>
      <c r="D429" s="7">
        <v>533</v>
      </c>
      <c r="E429" s="7">
        <v>-2.9999999999999997E-4</v>
      </c>
      <c r="F429" s="7">
        <v>500</v>
      </c>
      <c r="G429" s="8">
        <f t="shared" si="26"/>
        <v>0.95122704627158772</v>
      </c>
      <c r="H429" s="9">
        <f t="shared" si="27"/>
        <v>1.0391342177553532E-3</v>
      </c>
      <c r="I429" s="10">
        <f>SUM($H$3:H429)</f>
        <v>0.4444362776985461</v>
      </c>
      <c r="J429" s="23">
        <v>-2.9999999999999997E-4</v>
      </c>
      <c r="Q429" s="7">
        <f t="shared" si="25"/>
        <v>9.4828266136103316E-5</v>
      </c>
      <c r="R429" s="7">
        <f t="shared" si="24"/>
        <v>1.0335559941056767E-3</v>
      </c>
    </row>
    <row r="430" spans="1:18" x14ac:dyDescent="0.25">
      <c r="A430" s="22">
        <v>45194</v>
      </c>
      <c r="B430" s="12">
        <v>216.8</v>
      </c>
      <c r="C430" s="13">
        <v>0</v>
      </c>
      <c r="D430" s="7">
        <v>532</v>
      </c>
      <c r="E430" s="7">
        <v>-2.9999999999999997E-4</v>
      </c>
      <c r="F430" s="7">
        <v>252</v>
      </c>
      <c r="G430" s="8">
        <f t="shared" si="26"/>
        <v>0.97511364082495378</v>
      </c>
      <c r="H430" s="9">
        <f t="shared" si="27"/>
        <v>1.065228279991431E-3</v>
      </c>
      <c r="I430" s="10">
        <f>SUM($H$3:H430)</f>
        <v>0.44550150597853755</v>
      </c>
      <c r="J430" s="23">
        <v>-2.9999999999999997E-4</v>
      </c>
      <c r="Q430" s="7">
        <f t="shared" si="25"/>
        <v>9.4837749911094431E-5</v>
      </c>
      <c r="R430" s="7">
        <f t="shared" si="24"/>
        <v>1.0336593600416811E-3</v>
      </c>
    </row>
    <row r="431" spans="1:18" x14ac:dyDescent="0.25">
      <c r="A431" s="22">
        <v>45195</v>
      </c>
      <c r="B431" s="12">
        <v>216.57</v>
      </c>
      <c r="C431" s="13">
        <v>-1.1000000000000001E-3</v>
      </c>
      <c r="D431" s="7">
        <v>531</v>
      </c>
      <c r="E431" s="7">
        <v>-2.9999999999999997E-4</v>
      </c>
      <c r="F431" s="7">
        <v>249</v>
      </c>
      <c r="G431" s="8">
        <f t="shared" si="26"/>
        <v>0.97540623343377231</v>
      </c>
      <c r="H431" s="9">
        <f t="shared" si="27"/>
        <v>1.0655479123997792E-3</v>
      </c>
      <c r="I431" s="10">
        <f>SUM($H$3:H431)</f>
        <v>0.44656705389093732</v>
      </c>
      <c r="J431" s="23">
        <v>-2.9999999999999997E-4</v>
      </c>
      <c r="Q431" s="7">
        <f t="shared" si="25"/>
        <v>9.4847234634557872E-5</v>
      </c>
      <c r="R431" s="7">
        <f t="shared" si="24"/>
        <v>1.0337627363153125E-3</v>
      </c>
    </row>
    <row r="432" spans="1:18" x14ac:dyDescent="0.25">
      <c r="A432" s="22">
        <v>45196</v>
      </c>
      <c r="B432" s="12">
        <v>217.56</v>
      </c>
      <c r="C432" s="13">
        <v>4.5999999999999999E-3</v>
      </c>
      <c r="D432" s="7">
        <v>530</v>
      </c>
      <c r="E432" s="7">
        <v>-2.0000000000000001E-4</v>
      </c>
      <c r="F432" s="7">
        <v>900</v>
      </c>
      <c r="G432" s="8">
        <f t="shared" si="26"/>
        <v>0.91392707231597037</v>
      </c>
      <c r="H432" s="9">
        <f t="shared" si="27"/>
        <v>9.983871853716682E-4</v>
      </c>
      <c r="I432" s="10">
        <f>SUM($H$3:H432)</f>
        <v>0.44756544107630897</v>
      </c>
      <c r="J432" s="23">
        <v>-2.0000000000000001E-4</v>
      </c>
      <c r="Q432" s="7">
        <f t="shared" si="25"/>
        <v>9.4856720306588533E-5</v>
      </c>
      <c r="R432" s="7">
        <f t="shared" si="24"/>
        <v>1.0338661229276052E-3</v>
      </c>
    </row>
    <row r="433" spans="1:18" x14ac:dyDescent="0.25">
      <c r="A433" s="22">
        <v>45197</v>
      </c>
      <c r="B433" s="12">
        <v>215.77</v>
      </c>
      <c r="C433" s="13">
        <v>-8.2000000000000007E-3</v>
      </c>
      <c r="D433" s="7">
        <v>529</v>
      </c>
      <c r="E433" s="7">
        <v>-2.0000000000000001E-4</v>
      </c>
      <c r="F433" s="7">
        <v>878</v>
      </c>
      <c r="G433" s="8">
        <f t="shared" si="26"/>
        <v>0.91594002596150315</v>
      </c>
      <c r="H433" s="9">
        <f t="shared" si="27"/>
        <v>1.0005861651210637E-3</v>
      </c>
      <c r="I433" s="10">
        <f>SUM($H$3:H433)</f>
        <v>0.44856602724143002</v>
      </c>
      <c r="J433" s="23">
        <v>-2.0000000000000001E-4</v>
      </c>
      <c r="Q433" s="7">
        <f t="shared" si="25"/>
        <v>9.4866206927281255E-5</v>
      </c>
      <c r="R433" s="7">
        <f t="shared" si="24"/>
        <v>1.033969519879593E-3</v>
      </c>
    </row>
    <row r="434" spans="1:18" x14ac:dyDescent="0.25">
      <c r="A434" s="22">
        <v>45198</v>
      </c>
      <c r="B434" s="12">
        <v>216.75</v>
      </c>
      <c r="C434" s="13">
        <v>4.4999999999999997E-3</v>
      </c>
      <c r="D434" s="7">
        <v>528</v>
      </c>
      <c r="E434" s="7">
        <v>-2.0000000000000001E-4</v>
      </c>
      <c r="F434" s="7">
        <v>747</v>
      </c>
      <c r="G434" s="8">
        <f t="shared" si="26"/>
        <v>0.92801838474086651</v>
      </c>
      <c r="H434" s="9">
        <f t="shared" si="27"/>
        <v>1.0137807393829678E-3</v>
      </c>
      <c r="I434" s="10">
        <f>SUM($H$3:H434)</f>
        <v>0.44957980798081298</v>
      </c>
      <c r="J434" s="23">
        <v>-2.0000000000000001E-4</v>
      </c>
      <c r="Q434" s="7">
        <f t="shared" si="25"/>
        <v>9.4875694496730946E-5</v>
      </c>
      <c r="R434" s="7">
        <f t="shared" si="24"/>
        <v>1.0340729271723105E-3</v>
      </c>
    </row>
    <row r="435" spans="1:18" x14ac:dyDescent="0.25">
      <c r="A435" s="22">
        <v>45202</v>
      </c>
      <c r="B435" s="12">
        <v>215.57</v>
      </c>
      <c r="C435" s="13">
        <v>-5.4000000000000003E-3</v>
      </c>
      <c r="D435" s="7">
        <v>527</v>
      </c>
      <c r="E435" s="7">
        <v>-2.0000000000000001E-4</v>
      </c>
      <c r="F435" s="7">
        <v>745</v>
      </c>
      <c r="G435" s="8">
        <f t="shared" si="26"/>
        <v>0.9282040162620786</v>
      </c>
      <c r="H435" s="9">
        <f t="shared" si="27"/>
        <v>1.013983525948322E-3</v>
      </c>
      <c r="I435" s="10">
        <f>SUM($H$3:H435)</f>
        <v>0.45059379150676132</v>
      </c>
      <c r="J435" s="23">
        <v>-2.0000000000000001E-4</v>
      </c>
      <c r="Q435" s="7">
        <f t="shared" si="25"/>
        <v>9.4885183015032434E-5</v>
      </c>
      <c r="R435" s="7">
        <f t="shared" si="24"/>
        <v>1.0341763448067909E-3</v>
      </c>
    </row>
    <row r="436" spans="1:18" x14ac:dyDescent="0.25">
      <c r="A436" s="22">
        <v>45203</v>
      </c>
      <c r="B436" s="12">
        <v>214.4</v>
      </c>
      <c r="C436" s="13">
        <v>-5.4000000000000003E-3</v>
      </c>
      <c r="D436" s="7">
        <v>526</v>
      </c>
      <c r="E436" s="7">
        <v>-2.0000000000000001E-4</v>
      </c>
      <c r="F436" s="7">
        <v>475</v>
      </c>
      <c r="G436" s="8">
        <f t="shared" si="26"/>
        <v>0.95360820815945435</v>
      </c>
      <c r="H436" s="9">
        <f t="shared" si="27"/>
        <v>1.041735433527545E-3</v>
      </c>
      <c r="I436" s="10">
        <f>SUM($H$3:H436)</f>
        <v>0.45163552694028886</v>
      </c>
      <c r="J436" s="23">
        <v>-2.0000000000000001E-4</v>
      </c>
      <c r="Q436" s="7">
        <f t="shared" si="25"/>
        <v>9.4894672482280653E-5</v>
      </c>
      <c r="R436" s="7">
        <f t="shared" si="24"/>
        <v>1.0342797727840693E-3</v>
      </c>
    </row>
    <row r="437" spans="1:18" x14ac:dyDescent="0.25">
      <c r="A437" s="22">
        <v>45204</v>
      </c>
      <c r="B437" s="12">
        <v>215.53</v>
      </c>
      <c r="C437" s="13">
        <v>5.3E-3</v>
      </c>
      <c r="D437" s="7">
        <v>525</v>
      </c>
      <c r="E437" s="7">
        <v>-2.0000000000000001E-4</v>
      </c>
      <c r="F437" s="7">
        <v>402</v>
      </c>
      <c r="G437" s="8">
        <f t="shared" si="26"/>
        <v>0.96059536955164748</v>
      </c>
      <c r="H437" s="9">
        <f t="shared" si="27"/>
        <v>1.0493683099433971E-3</v>
      </c>
      <c r="I437" s="10">
        <f>SUM($H$3:H437)</f>
        <v>0.45268489525023226</v>
      </c>
      <c r="J437" s="23">
        <v>-2.0000000000000001E-4</v>
      </c>
      <c r="Q437" s="7">
        <f t="shared" si="25"/>
        <v>9.4904162898570512E-5</v>
      </c>
      <c r="R437" s="7">
        <f t="shared" si="24"/>
        <v>1.0343832111051798E-3</v>
      </c>
    </row>
    <row r="438" spans="1:18" x14ac:dyDescent="0.25">
      <c r="A438" s="22">
        <v>45205</v>
      </c>
      <c r="B438" s="12">
        <v>216.62</v>
      </c>
      <c r="C438" s="13">
        <v>5.1000000000000004E-3</v>
      </c>
      <c r="D438" s="7">
        <v>524</v>
      </c>
      <c r="E438" s="7">
        <v>-2.0000000000000001E-4</v>
      </c>
      <c r="F438" s="7">
        <v>181</v>
      </c>
      <c r="G438" s="8">
        <f t="shared" si="26"/>
        <v>0.9820619323400045</v>
      </c>
      <c r="H438" s="9">
        <f t="shared" si="27"/>
        <v>1.0728186943898953E-3</v>
      </c>
      <c r="I438" s="10">
        <f>SUM($H$3:H438)</f>
        <v>0.45375771394462217</v>
      </c>
      <c r="J438" s="23">
        <v>-2.0000000000000001E-4</v>
      </c>
      <c r="Q438" s="7">
        <f t="shared" si="25"/>
        <v>9.4913654263996907E-5</v>
      </c>
      <c r="R438" s="7">
        <f t="shared" si="24"/>
        <v>1.0344866597711568E-3</v>
      </c>
    </row>
    <row r="439" spans="1:18" x14ac:dyDescent="0.25">
      <c r="A439" s="22">
        <v>45208</v>
      </c>
      <c r="B439" s="12">
        <v>215.48</v>
      </c>
      <c r="C439" s="13">
        <v>-5.3E-3</v>
      </c>
      <c r="D439" s="7">
        <v>523</v>
      </c>
      <c r="E439" s="7">
        <v>-2.0000000000000001E-4</v>
      </c>
      <c r="F439" s="7">
        <v>84</v>
      </c>
      <c r="G439" s="8">
        <f t="shared" si="26"/>
        <v>0.99163476490864388</v>
      </c>
      <c r="H439" s="9">
        <f t="shared" si="27"/>
        <v>1.0832761954900857E-3</v>
      </c>
      <c r="I439" s="10">
        <f>SUM($H$3:H439)</f>
        <v>0.45484099014011226</v>
      </c>
      <c r="J439" s="23">
        <v>-2.0000000000000001E-4</v>
      </c>
      <c r="Q439" s="7">
        <f t="shared" si="25"/>
        <v>9.4923146578654758E-5</v>
      </c>
      <c r="R439" s="7">
        <f t="shared" si="24"/>
        <v>1.034590118783035E-3</v>
      </c>
    </row>
    <row r="440" spans="1:18" x14ac:dyDescent="0.25">
      <c r="A440" s="22">
        <v>45209</v>
      </c>
      <c r="B440" s="12">
        <v>217.13</v>
      </c>
      <c r="C440" s="13">
        <v>7.7000000000000002E-3</v>
      </c>
      <c r="D440" s="7">
        <v>522</v>
      </c>
      <c r="E440" s="7">
        <v>-1E-4</v>
      </c>
      <c r="F440" s="7">
        <v>815</v>
      </c>
      <c r="G440" s="8">
        <f t="shared" si="26"/>
        <v>0.92172895355034501</v>
      </c>
      <c r="H440" s="9">
        <f t="shared" si="27"/>
        <v>1.0069100735562281E-3</v>
      </c>
      <c r="I440" s="10">
        <f>SUM($H$3:H440)</f>
        <v>0.4558479002136685</v>
      </c>
      <c r="J440" s="23">
        <v>-1E-4</v>
      </c>
      <c r="Q440" s="7">
        <f t="shared" si="25"/>
        <v>9.4932639842639042E-5</v>
      </c>
      <c r="R440" s="7">
        <f t="shared" si="24"/>
        <v>1.0346935881418494E-3</v>
      </c>
    </row>
    <row r="441" spans="1:18" x14ac:dyDescent="0.25">
      <c r="A441" s="22">
        <v>45210</v>
      </c>
      <c r="B441" s="12">
        <v>218.76</v>
      </c>
      <c r="C441" s="13">
        <v>7.4999999999999997E-3</v>
      </c>
      <c r="D441" s="7">
        <v>521</v>
      </c>
      <c r="E441" s="7">
        <v>-1E-4</v>
      </c>
      <c r="F441" s="7">
        <v>753</v>
      </c>
      <c r="G441" s="8">
        <f t="shared" si="26"/>
        <v>0.92746171289422075</v>
      </c>
      <c r="H441" s="9">
        <f t="shared" si="27"/>
        <v>1.0131726229861749E-3</v>
      </c>
      <c r="I441" s="10">
        <f>SUM($H$3:H441)</f>
        <v>0.45686107283665467</v>
      </c>
      <c r="J441" s="23">
        <v>-1E-4</v>
      </c>
      <c r="Q441" s="7">
        <f t="shared" si="25"/>
        <v>9.494213405604464E-5</v>
      </c>
      <c r="R441" s="7">
        <f t="shared" si="24"/>
        <v>1.0347970678486343E-3</v>
      </c>
    </row>
    <row r="442" spans="1:18" x14ac:dyDescent="0.25">
      <c r="A442" s="22">
        <v>45211</v>
      </c>
      <c r="B442" s="12">
        <v>218.6</v>
      </c>
      <c r="C442" s="13">
        <v>-6.9999999999999999E-4</v>
      </c>
      <c r="D442" s="7">
        <v>520</v>
      </c>
      <c r="E442" s="7">
        <v>-1E-4</v>
      </c>
      <c r="F442" s="7">
        <v>715</v>
      </c>
      <c r="G442" s="8">
        <f t="shared" si="26"/>
        <v>0.93099294906723251</v>
      </c>
      <c r="H442" s="9">
        <f t="shared" si="27"/>
        <v>1.0170301965830722E-3</v>
      </c>
      <c r="I442" s="10">
        <f>SUM($H$3:H442)</f>
        <v>0.45787810303323773</v>
      </c>
      <c r="J442" s="23">
        <v>-1E-4</v>
      </c>
      <c r="Q442" s="7">
        <f t="shared" si="25"/>
        <v>9.4951629218966541E-5</v>
      </c>
      <c r="R442" s="7">
        <f t="shared" si="24"/>
        <v>1.0349005579044248E-3</v>
      </c>
    </row>
    <row r="443" spans="1:18" x14ac:dyDescent="0.25">
      <c r="A443" s="22">
        <v>45212</v>
      </c>
      <c r="B443" s="12">
        <v>218.07</v>
      </c>
      <c r="C443" s="13">
        <v>-2.3999999999999998E-3</v>
      </c>
      <c r="D443" s="7">
        <v>519</v>
      </c>
      <c r="E443" s="7">
        <v>-1E-4</v>
      </c>
      <c r="F443" s="7">
        <v>696</v>
      </c>
      <c r="G443" s="8">
        <f t="shared" si="26"/>
        <v>0.93276360579596496</v>
      </c>
      <c r="H443" s="9">
        <f t="shared" si="27"/>
        <v>1.0189644876673475E-3</v>
      </c>
      <c r="I443" s="10">
        <f>SUM($H$3:H443)</f>
        <v>0.45889706752090509</v>
      </c>
      <c r="J443" s="23">
        <v>-1E-4</v>
      </c>
      <c r="Q443" s="7">
        <f t="shared" si="25"/>
        <v>9.4961125331499683E-5</v>
      </c>
      <c r="R443" s="7">
        <f t="shared" si="24"/>
        <v>1.0350040583102557E-3</v>
      </c>
    </row>
    <row r="444" spans="1:18" x14ac:dyDescent="0.25">
      <c r="A444" s="22">
        <v>45215</v>
      </c>
      <c r="B444" s="12">
        <v>217.9</v>
      </c>
      <c r="C444" s="13">
        <v>-8.0000000000000004E-4</v>
      </c>
      <c r="D444" s="7">
        <v>518</v>
      </c>
      <c r="E444" s="7">
        <v>-1E-4</v>
      </c>
      <c r="F444" s="7">
        <v>628</v>
      </c>
      <c r="G444" s="8">
        <f t="shared" si="26"/>
        <v>0.93912833209980884</v>
      </c>
      <c r="H444" s="9">
        <f t="shared" si="27"/>
        <v>1.0259174069676294E-3</v>
      </c>
      <c r="I444" s="10">
        <f>SUM($H$3:H444)</f>
        <v>0.4599229849278727</v>
      </c>
      <c r="J444" s="23">
        <v>-1E-4</v>
      </c>
      <c r="Q444" s="7">
        <f t="shared" si="25"/>
        <v>9.4970622393739053E-5</v>
      </c>
      <c r="R444" s="7">
        <f t="shared" si="24"/>
        <v>1.0351075690671623E-3</v>
      </c>
    </row>
    <row r="445" spans="1:18" x14ac:dyDescent="0.25">
      <c r="A445" s="22">
        <v>45216</v>
      </c>
      <c r="B445" s="12">
        <v>218.55</v>
      </c>
      <c r="C445" s="13">
        <v>3.0000000000000001E-3</v>
      </c>
      <c r="D445" s="7">
        <v>517</v>
      </c>
      <c r="E445" s="7">
        <v>-1E-4</v>
      </c>
      <c r="F445" s="7">
        <v>416</v>
      </c>
      <c r="G445" s="8">
        <f t="shared" si="26"/>
        <v>0.95925140982650126</v>
      </c>
      <c r="H445" s="9">
        <f t="shared" si="27"/>
        <v>1.0479001488527739E-3</v>
      </c>
      <c r="I445" s="10">
        <f>SUM($H$3:H445)</f>
        <v>0.46097088507672546</v>
      </c>
      <c r="J445" s="23">
        <v>-1E-4</v>
      </c>
      <c r="Q445" s="7">
        <f t="shared" si="25"/>
        <v>9.4980120405779628E-5</v>
      </c>
      <c r="R445" s="7">
        <f t="shared" si="24"/>
        <v>1.03521109017618E-3</v>
      </c>
    </row>
    <row r="446" spans="1:18" x14ac:dyDescent="0.25">
      <c r="A446" s="22">
        <v>45217</v>
      </c>
      <c r="B446" s="12">
        <v>217.2</v>
      </c>
      <c r="C446" s="13">
        <v>-6.1999999999999998E-3</v>
      </c>
      <c r="D446" s="7">
        <v>516</v>
      </c>
      <c r="E446" s="7">
        <v>-1E-4</v>
      </c>
      <c r="F446" s="7">
        <v>410</v>
      </c>
      <c r="G446" s="8">
        <f t="shared" si="26"/>
        <v>0.95982716216892328</v>
      </c>
      <c r="H446" s="9">
        <f t="shared" si="27"/>
        <v>1.0485291090598123E-3</v>
      </c>
      <c r="I446" s="10">
        <f>SUM($H$3:H446)</f>
        <v>0.46201941418578529</v>
      </c>
      <c r="J446" s="23">
        <v>-1E-4</v>
      </c>
      <c r="Q446" s="7">
        <f t="shared" si="25"/>
        <v>9.4989619367716397E-5</v>
      </c>
      <c r="R446" s="7">
        <f t="shared" si="24"/>
        <v>1.0353146216383437E-3</v>
      </c>
    </row>
    <row r="447" spans="1:18" x14ac:dyDescent="0.25">
      <c r="A447" s="22">
        <v>45218</v>
      </c>
      <c r="B447" s="12">
        <v>216.67</v>
      </c>
      <c r="C447" s="13">
        <v>-2.3999999999999998E-3</v>
      </c>
      <c r="D447" s="7">
        <v>515</v>
      </c>
      <c r="E447" s="7">
        <v>-1E-4</v>
      </c>
      <c r="F447" s="7">
        <v>285</v>
      </c>
      <c r="G447" s="8">
        <f t="shared" si="26"/>
        <v>0.97190090909402371</v>
      </c>
      <c r="H447" s="9">
        <f t="shared" si="27"/>
        <v>1.0617186452652496E-3</v>
      </c>
      <c r="I447" s="10">
        <f>SUM($H$3:H447)</f>
        <v>0.46308113283105057</v>
      </c>
      <c r="J447" s="23">
        <v>-1E-4</v>
      </c>
      <c r="Q447" s="7">
        <f t="shared" si="25"/>
        <v>9.4999119279644352E-5</v>
      </c>
      <c r="R447" s="7">
        <f t="shared" si="24"/>
        <v>1.035418163454689E-3</v>
      </c>
    </row>
    <row r="448" spans="1:18" x14ac:dyDescent="0.25">
      <c r="A448" s="22">
        <v>45219</v>
      </c>
      <c r="B448" s="12">
        <v>215.3</v>
      </c>
      <c r="C448" s="13">
        <v>-6.3E-3</v>
      </c>
      <c r="D448" s="7">
        <v>514</v>
      </c>
      <c r="E448" s="7">
        <v>-1E-4</v>
      </c>
      <c r="F448" s="7">
        <v>235</v>
      </c>
      <c r="G448" s="8">
        <f t="shared" si="26"/>
        <v>0.97677282688358413</v>
      </c>
      <c r="H448" s="9">
        <f t="shared" si="27"/>
        <v>1.0670407988994071E-3</v>
      </c>
      <c r="I448" s="10">
        <f>SUM($H$3:H448)</f>
        <v>0.46414817362994998</v>
      </c>
      <c r="J448" s="23">
        <v>-1E-4</v>
      </c>
      <c r="Q448" s="7">
        <f t="shared" si="25"/>
        <v>9.500862014165852E-5</v>
      </c>
      <c r="R448" s="7">
        <f t="shared" si="24"/>
        <v>1.0355217156262518E-3</v>
      </c>
    </row>
    <row r="449" spans="1:18" x14ac:dyDescent="0.25">
      <c r="A449" s="22">
        <v>45222</v>
      </c>
      <c r="B449" s="12">
        <v>213.17</v>
      </c>
      <c r="C449" s="13">
        <v>-9.9000000000000008E-3</v>
      </c>
      <c r="D449" s="7">
        <v>513</v>
      </c>
      <c r="E449" s="7">
        <v>-1E-4</v>
      </c>
      <c r="F449" s="7">
        <v>91</v>
      </c>
      <c r="G449" s="8">
        <f t="shared" si="26"/>
        <v>0.99094082878180489</v>
      </c>
      <c r="H449" s="9">
        <f t="shared" si="27"/>
        <v>1.082518129603333E-3</v>
      </c>
      <c r="I449" s="10">
        <f>SUM($H$3:H449)</f>
        <v>0.46523069175955334</v>
      </c>
      <c r="J449" s="23">
        <v>-1E-4</v>
      </c>
      <c r="Q449" s="7">
        <f t="shared" si="25"/>
        <v>9.5018121953853907E-5</v>
      </c>
      <c r="R449" s="7">
        <f t="shared" si="24"/>
        <v>1.0356252781540671E-3</v>
      </c>
    </row>
    <row r="450" spans="1:18" x14ac:dyDescent="0.25">
      <c r="A450" s="22">
        <v>45224</v>
      </c>
      <c r="B450" s="12">
        <v>211.48</v>
      </c>
      <c r="C450" s="13">
        <v>-7.9000000000000008E-3</v>
      </c>
      <c r="D450" s="7">
        <v>512</v>
      </c>
      <c r="E450" s="7">
        <v>-1E-4</v>
      </c>
      <c r="F450" s="7">
        <v>68</v>
      </c>
      <c r="G450" s="8">
        <f t="shared" si="26"/>
        <v>0.99322272996533612</v>
      </c>
      <c r="H450" s="9">
        <f t="shared" si="27"/>
        <v>1.0850109115428687E-3</v>
      </c>
      <c r="I450" s="10">
        <f>SUM($H$3:H450)</f>
        <v>0.46631570267109623</v>
      </c>
      <c r="J450" s="23">
        <v>-1E-4</v>
      </c>
      <c r="Q450" s="7">
        <f t="shared" si="25"/>
        <v>9.5027624716325542E-5</v>
      </c>
      <c r="R450" s="7">
        <f t="shared" ref="R450:R513" si="28">Q450/$U$2</f>
        <v>1.0357288510391711E-3</v>
      </c>
    </row>
    <row r="451" spans="1:18" x14ac:dyDescent="0.25">
      <c r="A451" s="22">
        <v>45225</v>
      </c>
      <c r="B451" s="12">
        <v>208.74</v>
      </c>
      <c r="C451" s="13">
        <v>-1.2999999999999999E-2</v>
      </c>
      <c r="D451" s="7">
        <v>511</v>
      </c>
      <c r="E451" s="7">
        <v>0</v>
      </c>
      <c r="F451" s="7">
        <v>705</v>
      </c>
      <c r="G451" s="8">
        <f t="shared" si="26"/>
        <v>0.93192445426730652</v>
      </c>
      <c r="H451" s="9">
        <f t="shared" si="27"/>
        <v>1.0180477863700826E-3</v>
      </c>
      <c r="I451" s="10">
        <f>SUM($H$3:H451)</f>
        <v>0.46733375045746633</v>
      </c>
      <c r="J451" s="23">
        <v>0</v>
      </c>
      <c r="Q451" s="7">
        <f t="shared" ref="Q451:Q514" si="29">(1-$N$3) * $N$3^(D452-1)</f>
        <v>9.5037128429168455E-5</v>
      </c>
      <c r="R451" s="7">
        <f t="shared" si="28"/>
        <v>1.0358324342825992E-3</v>
      </c>
    </row>
    <row r="452" spans="1:18" x14ac:dyDescent="0.25">
      <c r="A452" s="22">
        <v>45226</v>
      </c>
      <c r="B452" s="12">
        <v>210.57</v>
      </c>
      <c r="C452" s="13">
        <v>8.8000000000000005E-3</v>
      </c>
      <c r="D452" s="7">
        <v>510</v>
      </c>
      <c r="E452" s="7">
        <v>0</v>
      </c>
      <c r="F452" s="7">
        <v>532</v>
      </c>
      <c r="G452" s="8">
        <f t="shared" ref="G452:G515" si="30">$N$3^F452</f>
        <v>0.94818783309500154</v>
      </c>
      <c r="H452" s="9">
        <f t="shared" ref="H452:H515" si="31">G452/$N$4</f>
        <v>1.035814137213886E-3</v>
      </c>
      <c r="I452" s="10">
        <f>SUM($H$3:H452)</f>
        <v>0.46836956459468021</v>
      </c>
      <c r="J452" s="23">
        <v>0</v>
      </c>
      <c r="Q452" s="7">
        <f t="shared" si="29"/>
        <v>9.5046633092477691E-5</v>
      </c>
      <c r="R452" s="7">
        <f t="shared" si="28"/>
        <v>1.0359360278853877E-3</v>
      </c>
    </row>
    <row r="453" spans="1:18" x14ac:dyDescent="0.25">
      <c r="A453" s="22">
        <v>45229</v>
      </c>
      <c r="B453" s="12">
        <v>211.52</v>
      </c>
      <c r="C453" s="13">
        <v>4.4999999999999997E-3</v>
      </c>
      <c r="D453" s="7">
        <v>509</v>
      </c>
      <c r="E453" s="7">
        <v>0</v>
      </c>
      <c r="F453" s="7">
        <v>398</v>
      </c>
      <c r="G453" s="8">
        <f t="shared" si="30"/>
        <v>0.96097970377822028</v>
      </c>
      <c r="H453" s="9">
        <f t="shared" si="31"/>
        <v>1.0497881622251965E-3</v>
      </c>
      <c r="I453" s="10">
        <f>SUM($H$3:H453)</f>
        <v>0.46941935275690538</v>
      </c>
      <c r="J453" s="23">
        <v>0</v>
      </c>
      <c r="Q453" s="7">
        <f t="shared" si="29"/>
        <v>9.505613870634832E-5</v>
      </c>
      <c r="R453" s="7">
        <f t="shared" si="28"/>
        <v>1.0360396318485725E-3</v>
      </c>
    </row>
    <row r="454" spans="1:18" x14ac:dyDescent="0.25">
      <c r="A454" s="22">
        <v>45230</v>
      </c>
      <c r="B454" s="12">
        <v>210.98</v>
      </c>
      <c r="C454" s="13">
        <v>-2.5999999999999999E-3</v>
      </c>
      <c r="D454" s="7">
        <v>508</v>
      </c>
      <c r="E454" s="7">
        <v>0</v>
      </c>
      <c r="F454" s="7">
        <v>340</v>
      </c>
      <c r="G454" s="8">
        <f t="shared" si="30"/>
        <v>0.9665698613578011</v>
      </c>
      <c r="H454" s="9">
        <f t="shared" si="31"/>
        <v>1.0558949314201592E-3</v>
      </c>
      <c r="I454" s="10">
        <f>SUM($H$3:H454)</f>
        <v>0.47047524768832555</v>
      </c>
      <c r="J454" s="23">
        <v>0</v>
      </c>
      <c r="Q454" s="7">
        <f t="shared" si="29"/>
        <v>9.5065645270875414E-5</v>
      </c>
      <c r="R454" s="7">
        <f t="shared" si="28"/>
        <v>1.0361432461731899E-3</v>
      </c>
    </row>
    <row r="455" spans="1:18" x14ac:dyDescent="0.25">
      <c r="A455" s="22">
        <v>45231</v>
      </c>
      <c r="B455" s="12">
        <v>209.99</v>
      </c>
      <c r="C455" s="13">
        <v>-4.7000000000000002E-3</v>
      </c>
      <c r="D455" s="7">
        <v>507</v>
      </c>
      <c r="E455" s="7">
        <v>0</v>
      </c>
      <c r="F455" s="7">
        <v>139</v>
      </c>
      <c r="G455" s="8">
        <f t="shared" si="30"/>
        <v>0.98619547349615433</v>
      </c>
      <c r="H455" s="9">
        <f t="shared" si="31"/>
        <v>1.0773342346835518E-3</v>
      </c>
      <c r="I455" s="10">
        <f>SUM($H$3:H455)</f>
        <v>0.47155258192300908</v>
      </c>
      <c r="J455" s="23">
        <v>0</v>
      </c>
      <c r="Q455" s="7">
        <f t="shared" si="29"/>
        <v>9.5075152786154029E-5</v>
      </c>
      <c r="R455" s="7">
        <f t="shared" si="28"/>
        <v>1.036246870860276E-3</v>
      </c>
    </row>
    <row r="456" spans="1:18" x14ac:dyDescent="0.25">
      <c r="A456" s="22">
        <v>45232</v>
      </c>
      <c r="B456" s="12">
        <v>211.64</v>
      </c>
      <c r="C456" s="13">
        <v>7.9000000000000008E-3</v>
      </c>
      <c r="D456" s="7">
        <v>506</v>
      </c>
      <c r="E456" s="7">
        <v>0</v>
      </c>
      <c r="F456" s="7">
        <v>18</v>
      </c>
      <c r="G456" s="8">
        <f t="shared" si="30"/>
        <v>0.99820152918430638</v>
      </c>
      <c r="H456" s="9">
        <f t="shared" si="31"/>
        <v>1.0904498240002511E-3</v>
      </c>
      <c r="I456" s="10">
        <f>SUM($H$3:H456)</f>
        <v>0.47264303174700933</v>
      </c>
      <c r="J456" s="23">
        <v>0</v>
      </c>
      <c r="Q456" s="7">
        <f t="shared" si="29"/>
        <v>9.5084661252279237E-5</v>
      </c>
      <c r="R456" s="7">
        <f t="shared" si="28"/>
        <v>1.0363505059108669E-3</v>
      </c>
    </row>
    <row r="457" spans="1:18" x14ac:dyDescent="0.25">
      <c r="A457" s="22">
        <v>45233</v>
      </c>
      <c r="B457" s="12">
        <v>212.69</v>
      </c>
      <c r="C457" s="13">
        <v>5.0000000000000001E-3</v>
      </c>
      <c r="D457" s="7">
        <v>505</v>
      </c>
      <c r="E457" s="7">
        <v>1E-4</v>
      </c>
      <c r="F457" s="7">
        <v>491</v>
      </c>
      <c r="G457" s="8">
        <f t="shared" si="30"/>
        <v>0.95208357882240247</v>
      </c>
      <c r="H457" s="9">
        <f t="shared" si="31"/>
        <v>1.0400699063332396E-3</v>
      </c>
      <c r="I457" s="10">
        <f>SUM($H$3:H457)</f>
        <v>0.4736831016533426</v>
      </c>
      <c r="J457" s="23">
        <v>1E-4</v>
      </c>
      <c r="Q457" s="7">
        <f t="shared" si="29"/>
        <v>9.509417066934619E-5</v>
      </c>
      <c r="R457" s="7">
        <f t="shared" si="28"/>
        <v>1.0364541513259997E-3</v>
      </c>
    </row>
    <row r="458" spans="1:18" x14ac:dyDescent="0.25">
      <c r="A458" s="22">
        <v>45236</v>
      </c>
      <c r="B458" s="12">
        <v>214.56</v>
      </c>
      <c r="C458" s="13">
        <v>8.8000000000000005E-3</v>
      </c>
      <c r="D458" s="7">
        <v>504</v>
      </c>
      <c r="E458" s="7">
        <v>1E-4</v>
      </c>
      <c r="F458" s="7">
        <v>327</v>
      </c>
      <c r="G458" s="8">
        <f t="shared" si="30"/>
        <v>0.96782728219610503</v>
      </c>
      <c r="H458" s="9">
        <f t="shared" si="31"/>
        <v>1.0572685561760172E-3</v>
      </c>
      <c r="I458" s="10">
        <f>SUM($H$3:H458)</f>
        <v>0.47474037020951859</v>
      </c>
      <c r="J458" s="23">
        <v>1E-4</v>
      </c>
      <c r="Q458" s="7">
        <f t="shared" si="29"/>
        <v>9.5103681037449919E-5</v>
      </c>
      <c r="R458" s="7">
        <f t="shared" si="28"/>
        <v>1.03655780710671E-3</v>
      </c>
    </row>
    <row r="459" spans="1:18" x14ac:dyDescent="0.25">
      <c r="A459" s="22">
        <v>45237</v>
      </c>
      <c r="B459" s="12">
        <v>214.49</v>
      </c>
      <c r="C459" s="13">
        <v>-2.9999999999999997E-4</v>
      </c>
      <c r="D459" s="7">
        <v>503</v>
      </c>
      <c r="E459" s="7">
        <v>1E-4</v>
      </c>
      <c r="F459" s="7">
        <v>127</v>
      </c>
      <c r="G459" s="8">
        <f t="shared" si="30"/>
        <v>0.9873796776559286</v>
      </c>
      <c r="H459" s="9">
        <f t="shared" si="31"/>
        <v>1.0786278764781717E-3</v>
      </c>
      <c r="I459" s="10">
        <f>SUM($H$3:H459)</f>
        <v>0.47581899808599676</v>
      </c>
      <c r="J459" s="23">
        <v>1E-4</v>
      </c>
      <c r="Q459" s="7">
        <f t="shared" si="29"/>
        <v>9.5113192356685616E-5</v>
      </c>
      <c r="R459" s="7">
        <f t="shared" si="28"/>
        <v>1.0366614732540359E-3</v>
      </c>
    </row>
    <row r="460" spans="1:18" x14ac:dyDescent="0.25">
      <c r="A460" s="22">
        <v>45238</v>
      </c>
      <c r="B460" s="12">
        <v>214.83</v>
      </c>
      <c r="C460" s="13">
        <v>1.6000000000000001E-3</v>
      </c>
      <c r="D460" s="7">
        <v>502</v>
      </c>
      <c r="E460" s="7">
        <v>1E-4</v>
      </c>
      <c r="F460" s="7">
        <v>110</v>
      </c>
      <c r="G460" s="8">
        <f t="shared" si="30"/>
        <v>0.98905973475609954</v>
      </c>
      <c r="H460" s="9">
        <f t="shared" si="31"/>
        <v>1.0804631952145483E-3</v>
      </c>
      <c r="I460" s="10">
        <f>SUM($H$3:H460)</f>
        <v>0.4768994612812113</v>
      </c>
      <c r="J460" s="23">
        <v>1E-4</v>
      </c>
      <c r="Q460" s="7">
        <f t="shared" si="29"/>
        <v>9.5122704627148297E-5</v>
      </c>
      <c r="R460" s="7">
        <f t="shared" si="28"/>
        <v>1.0367651497690123E-3</v>
      </c>
    </row>
    <row r="461" spans="1:18" x14ac:dyDescent="0.25">
      <c r="A461" s="22">
        <v>45239</v>
      </c>
      <c r="B461" s="12">
        <v>214.3</v>
      </c>
      <c r="C461" s="13">
        <v>-2.5000000000000001E-3</v>
      </c>
      <c r="D461" s="7">
        <v>501</v>
      </c>
      <c r="E461" s="7">
        <v>1E-4</v>
      </c>
      <c r="F461" s="7">
        <v>74</v>
      </c>
      <c r="G461" s="8">
        <f t="shared" si="30"/>
        <v>0.99262694529090356</v>
      </c>
      <c r="H461" s="9">
        <f t="shared" si="31"/>
        <v>1.0843600677258813E-3</v>
      </c>
      <c r="I461" s="10">
        <f>SUM($H$3:H461)</f>
        <v>0.47798382134893719</v>
      </c>
      <c r="J461" s="23">
        <v>1E-4</v>
      </c>
      <c r="Q461" s="7">
        <f t="shared" si="29"/>
        <v>9.5132217848933185E-5</v>
      </c>
      <c r="R461" s="7">
        <f t="shared" si="28"/>
        <v>1.0368688366526775E-3</v>
      </c>
    </row>
    <row r="462" spans="1:18" x14ac:dyDescent="0.25">
      <c r="A462" s="22">
        <v>45240</v>
      </c>
      <c r="B462" s="12">
        <v>214.24</v>
      </c>
      <c r="C462" s="13">
        <v>-2.9999999999999997E-4</v>
      </c>
      <c r="D462" s="7">
        <v>500</v>
      </c>
      <c r="E462" s="7">
        <v>2.0000000000000001E-4</v>
      </c>
      <c r="F462" s="7">
        <v>840</v>
      </c>
      <c r="G462" s="8">
        <f t="shared" si="30"/>
        <v>0.91942739423451936</v>
      </c>
      <c r="H462" s="9">
        <f t="shared" si="31"/>
        <v>1.0043958167879391E-3</v>
      </c>
      <c r="I462" s="10">
        <f>SUM($H$3:H462)</f>
        <v>0.47898821716572515</v>
      </c>
      <c r="J462" s="23">
        <v>2.0000000000000001E-4</v>
      </c>
      <c r="Q462" s="7">
        <f t="shared" si="29"/>
        <v>9.5141732022135415E-5</v>
      </c>
      <c r="R462" s="7">
        <f t="shared" si="28"/>
        <v>1.0369725339060684E-3</v>
      </c>
    </row>
    <row r="463" spans="1:18" x14ac:dyDescent="0.25">
      <c r="A463" s="22">
        <v>45242</v>
      </c>
      <c r="B463" s="12">
        <v>215.16</v>
      </c>
      <c r="C463" s="13">
        <v>4.3E-3</v>
      </c>
      <c r="D463" s="7">
        <v>499</v>
      </c>
      <c r="E463" s="7">
        <v>2.0000000000000001E-4</v>
      </c>
      <c r="F463" s="7">
        <v>837</v>
      </c>
      <c r="G463" s="8">
        <f t="shared" si="30"/>
        <v>0.91970327762762893</v>
      </c>
      <c r="H463" s="9">
        <f t="shared" si="31"/>
        <v>1.0046971958067698E-3</v>
      </c>
      <c r="I463" s="10">
        <f>SUM($H$3:H463)</f>
        <v>0.47999291436153191</v>
      </c>
      <c r="J463" s="23">
        <v>2.0000000000000001E-4</v>
      </c>
      <c r="Q463" s="7">
        <f t="shared" si="29"/>
        <v>9.5151247146850088E-5</v>
      </c>
      <c r="R463" s="7">
        <f t="shared" si="28"/>
        <v>1.0370762415302212E-3</v>
      </c>
    </row>
    <row r="464" spans="1:18" x14ac:dyDescent="0.25">
      <c r="A464" s="22">
        <v>45243</v>
      </c>
      <c r="B464" s="12">
        <v>214.55</v>
      </c>
      <c r="C464" s="13">
        <v>-2.8E-3</v>
      </c>
      <c r="D464" s="7">
        <v>498</v>
      </c>
      <c r="E464" s="7">
        <v>2.0000000000000001E-4</v>
      </c>
      <c r="F464" s="7">
        <v>418</v>
      </c>
      <c r="G464" s="8">
        <f t="shared" si="30"/>
        <v>0.95905956913705004</v>
      </c>
      <c r="H464" s="9">
        <f t="shared" si="31"/>
        <v>1.0476905793020048E-3</v>
      </c>
      <c r="I464" s="10">
        <f>SUM($H$3:H464)</f>
        <v>0.48104060494083389</v>
      </c>
      <c r="J464" s="23">
        <v>2.0000000000000001E-4</v>
      </c>
      <c r="Q464" s="7">
        <f t="shared" si="29"/>
        <v>9.516076322317241E-5</v>
      </c>
      <c r="R464" s="7">
        <f t="shared" si="28"/>
        <v>1.0371799595261738E-3</v>
      </c>
    </row>
    <row r="465" spans="1:18" x14ac:dyDescent="0.25">
      <c r="A465" s="22">
        <v>45245</v>
      </c>
      <c r="B465" s="12">
        <v>216.97</v>
      </c>
      <c r="C465" s="13">
        <v>1.1299999999999999E-2</v>
      </c>
      <c r="D465" s="7">
        <v>497</v>
      </c>
      <c r="E465" s="7">
        <v>2.0000000000000001E-4</v>
      </c>
      <c r="F465" s="7">
        <v>182</v>
      </c>
      <c r="G465" s="8">
        <f t="shared" si="30"/>
        <v>0.98196372614677041</v>
      </c>
      <c r="H465" s="9">
        <f t="shared" si="31"/>
        <v>1.0727114125204562E-3</v>
      </c>
      <c r="I465" s="10">
        <f>SUM($H$3:H465)</f>
        <v>0.48211331635335436</v>
      </c>
      <c r="J465" s="23">
        <v>2.0000000000000001E-4</v>
      </c>
      <c r="Q465" s="7">
        <f t="shared" si="29"/>
        <v>9.5170280251197518E-5</v>
      </c>
      <c r="R465" s="7">
        <f t="shared" si="28"/>
        <v>1.0372836878949634E-3</v>
      </c>
    </row>
    <row r="466" spans="1:18" x14ac:dyDescent="0.25">
      <c r="A466" s="22">
        <v>45246</v>
      </c>
      <c r="B466" s="12">
        <v>218.16</v>
      </c>
      <c r="C466" s="13">
        <v>5.4999999999999997E-3</v>
      </c>
      <c r="D466" s="7">
        <v>496</v>
      </c>
      <c r="E466" s="7">
        <v>2.0000000000000001E-4</v>
      </c>
      <c r="F466" s="7">
        <v>137</v>
      </c>
      <c r="G466" s="8">
        <f t="shared" si="30"/>
        <v>0.98639274218066297</v>
      </c>
      <c r="H466" s="9">
        <f t="shared" si="31"/>
        <v>1.0775497338548253E-3</v>
      </c>
      <c r="I466" s="10">
        <f>SUM($H$3:H466)</f>
        <v>0.48319086608720918</v>
      </c>
      <c r="J466" s="23">
        <v>2.0000000000000001E-4</v>
      </c>
      <c r="Q466" s="7">
        <f t="shared" si="29"/>
        <v>9.5179798231020621E-5</v>
      </c>
      <c r="R466" s="7">
        <f t="shared" si="28"/>
        <v>1.037387426637627E-3</v>
      </c>
    </row>
    <row r="467" spans="1:18" x14ac:dyDescent="0.25">
      <c r="A467" s="22">
        <v>45247</v>
      </c>
      <c r="B467" s="12">
        <v>218.02</v>
      </c>
      <c r="C467" s="13">
        <v>-5.9999999999999995E-4</v>
      </c>
      <c r="D467" s="7">
        <v>495</v>
      </c>
      <c r="E467" s="7">
        <v>2.9999999999999997E-4</v>
      </c>
      <c r="F467" s="7">
        <v>813</v>
      </c>
      <c r="G467" s="8">
        <f t="shared" si="30"/>
        <v>0.92191332699661099</v>
      </c>
      <c r="H467" s="9">
        <f t="shared" si="31"/>
        <v>1.0071114857822696E-3</v>
      </c>
      <c r="I467" s="10">
        <f>SUM($H$3:H467)</f>
        <v>0.48419797757299143</v>
      </c>
      <c r="J467" s="23">
        <v>2.9999999999999997E-4</v>
      </c>
      <c r="Q467" s="7">
        <f t="shared" si="29"/>
        <v>9.5189317162736896E-5</v>
      </c>
      <c r="R467" s="7">
        <f t="shared" si="28"/>
        <v>1.0374911757552027E-3</v>
      </c>
    </row>
    <row r="468" spans="1:18" x14ac:dyDescent="0.25">
      <c r="A468" s="22">
        <v>45250</v>
      </c>
      <c r="B468" s="12">
        <v>217.35</v>
      </c>
      <c r="C468" s="13">
        <v>-3.0999999999999999E-3</v>
      </c>
      <c r="D468" s="7">
        <v>494</v>
      </c>
      <c r="E468" s="7">
        <v>2.9999999999999997E-4</v>
      </c>
      <c r="F468" s="7">
        <v>559</v>
      </c>
      <c r="G468" s="8">
        <f t="shared" si="30"/>
        <v>0.94563105131315384</v>
      </c>
      <c r="H468" s="9">
        <f t="shared" si="31"/>
        <v>1.0330210717230915E-3</v>
      </c>
      <c r="I468" s="10">
        <f>SUM($H$3:H468)</f>
        <v>0.48523099864471453</v>
      </c>
      <c r="J468" s="23">
        <v>2.9999999999999997E-4</v>
      </c>
      <c r="Q468" s="7">
        <f t="shared" si="29"/>
        <v>9.5198837046441524E-5</v>
      </c>
      <c r="R468" s="7">
        <f t="shared" si="28"/>
        <v>1.0375949352487274E-3</v>
      </c>
    </row>
    <row r="469" spans="1:18" x14ac:dyDescent="0.25">
      <c r="A469" s="22">
        <v>45251</v>
      </c>
      <c r="B469" s="12">
        <v>218.39</v>
      </c>
      <c r="C469" s="13">
        <v>4.7999999999999996E-3</v>
      </c>
      <c r="D469" s="7">
        <v>493</v>
      </c>
      <c r="E469" s="7">
        <v>2.9999999999999997E-4</v>
      </c>
      <c r="F469" s="7">
        <v>291</v>
      </c>
      <c r="G469" s="8">
        <f t="shared" si="30"/>
        <v>0.97131791431426739</v>
      </c>
      <c r="H469" s="9">
        <f t="shared" si="31"/>
        <v>1.0610817733146547E-3</v>
      </c>
      <c r="I469" s="10">
        <f>SUM($H$3:H469)</f>
        <v>0.48629208041802918</v>
      </c>
      <c r="J469" s="23">
        <v>2.9999999999999997E-4</v>
      </c>
      <c r="Q469" s="7">
        <f t="shared" si="29"/>
        <v>9.5208357882229765E-5</v>
      </c>
      <c r="R469" s="7">
        <f t="shared" si="28"/>
        <v>1.0376987051192393E-3</v>
      </c>
    </row>
    <row r="470" spans="1:18" x14ac:dyDescent="0.25">
      <c r="A470" s="22">
        <v>45252</v>
      </c>
      <c r="B470" s="12">
        <v>218.53</v>
      </c>
      <c r="C470" s="13">
        <v>5.9999999999999995E-4</v>
      </c>
      <c r="D470" s="7">
        <v>492</v>
      </c>
      <c r="E470" s="7">
        <v>2.9999999999999997E-4</v>
      </c>
      <c r="F470" s="7">
        <v>138</v>
      </c>
      <c r="G470" s="8">
        <f t="shared" si="30"/>
        <v>0.98629410290644492</v>
      </c>
      <c r="H470" s="9">
        <f t="shared" si="31"/>
        <v>1.0774419788814398E-3</v>
      </c>
      <c r="I470" s="10">
        <f>SUM($H$3:H470)</f>
        <v>0.48736952239691061</v>
      </c>
      <c r="J470" s="23">
        <v>2.9999999999999997E-4</v>
      </c>
      <c r="Q470" s="7">
        <f t="shared" si="29"/>
        <v>9.5217879670196772E-5</v>
      </c>
      <c r="R470" s="7">
        <f t="shared" si="28"/>
        <v>1.0378024853677761E-3</v>
      </c>
    </row>
    <row r="471" spans="1:18" x14ac:dyDescent="0.25">
      <c r="A471" s="22">
        <v>45253</v>
      </c>
      <c r="B471" s="12">
        <v>218.56</v>
      </c>
      <c r="C471" s="13">
        <v>1E-4</v>
      </c>
      <c r="D471" s="7">
        <v>491</v>
      </c>
      <c r="E471" s="7">
        <v>4.0000000000000002E-4</v>
      </c>
      <c r="F471" s="7">
        <v>812</v>
      </c>
      <c r="G471" s="8">
        <f t="shared" si="30"/>
        <v>0.92200552754936582</v>
      </c>
      <c r="H471" s="9">
        <f t="shared" si="31"/>
        <v>1.0072122070029698E-3</v>
      </c>
      <c r="I471" s="10">
        <f>SUM($H$3:H471)</f>
        <v>0.48837673460391356</v>
      </c>
      <c r="J471" s="23">
        <v>4.0000000000000002E-4</v>
      </c>
      <c r="Q471" s="7">
        <f t="shared" si="29"/>
        <v>9.5227402410437805E-5</v>
      </c>
      <c r="R471" s="7">
        <f t="shared" si="28"/>
        <v>1.0379062759953755E-3</v>
      </c>
    </row>
    <row r="472" spans="1:18" x14ac:dyDescent="0.25">
      <c r="A472" s="22">
        <v>45254</v>
      </c>
      <c r="B472" s="12">
        <v>218.48</v>
      </c>
      <c r="C472" s="13">
        <v>-4.0000000000000002E-4</v>
      </c>
      <c r="D472" s="7">
        <v>490</v>
      </c>
      <c r="E472" s="7">
        <v>4.0000000000000002E-4</v>
      </c>
      <c r="F472" s="7">
        <v>761</v>
      </c>
      <c r="G472" s="8">
        <f t="shared" si="30"/>
        <v>0.9267200031612538</v>
      </c>
      <c r="H472" s="9">
        <f t="shared" si="31"/>
        <v>1.0123623685193901E-3</v>
      </c>
      <c r="I472" s="10">
        <f>SUM($H$3:H472)</f>
        <v>0.48938909697243294</v>
      </c>
      <c r="J472" s="23">
        <v>4.0000000000000002E-4</v>
      </c>
      <c r="Q472" s="7">
        <f t="shared" si="29"/>
        <v>9.5236926103048111E-5</v>
      </c>
      <c r="R472" s="7">
        <f t="shared" si="28"/>
        <v>1.0380100770030758E-3</v>
      </c>
    </row>
    <row r="473" spans="1:18" x14ac:dyDescent="0.25">
      <c r="A473" s="22">
        <v>45258</v>
      </c>
      <c r="B473" s="12">
        <v>219.56</v>
      </c>
      <c r="C473" s="13">
        <v>4.8999999999999998E-3</v>
      </c>
      <c r="D473" s="7">
        <v>489</v>
      </c>
      <c r="E473" s="7">
        <v>4.0000000000000002E-4</v>
      </c>
      <c r="F473" s="7">
        <v>460</v>
      </c>
      <c r="G473" s="8">
        <f t="shared" si="30"/>
        <v>0.95503976545028846</v>
      </c>
      <c r="H473" s="9">
        <f t="shared" si="31"/>
        <v>1.0432992874690552E-3</v>
      </c>
      <c r="I473" s="10">
        <f>SUM($H$3:H473)</f>
        <v>0.49043239625990198</v>
      </c>
      <c r="J473" s="23">
        <v>4.0000000000000002E-4</v>
      </c>
      <c r="Q473" s="7">
        <f t="shared" si="29"/>
        <v>9.5246450748122938E-5</v>
      </c>
      <c r="R473" s="7">
        <f t="shared" si="28"/>
        <v>1.0381138883919152E-3</v>
      </c>
    </row>
    <row r="474" spans="1:18" x14ac:dyDescent="0.25">
      <c r="A474" s="22">
        <v>45259</v>
      </c>
      <c r="B474" s="12">
        <v>221.66</v>
      </c>
      <c r="C474" s="13">
        <v>9.5999999999999992E-3</v>
      </c>
      <c r="D474" s="7">
        <v>488</v>
      </c>
      <c r="E474" s="7">
        <v>4.0000000000000002E-4</v>
      </c>
      <c r="F474" s="7">
        <v>307</v>
      </c>
      <c r="G474" s="8">
        <f t="shared" si="30"/>
        <v>0.96976497068910072</v>
      </c>
      <c r="H474" s="9">
        <f t="shared" si="31"/>
        <v>1.0593853151814668E-3</v>
      </c>
      <c r="I474" s="10">
        <f>SUM($H$3:H474)</f>
        <v>0.49149178157508344</v>
      </c>
      <c r="J474" s="23">
        <v>4.0000000000000002E-4</v>
      </c>
      <c r="Q474" s="7">
        <f t="shared" si="29"/>
        <v>9.5255976345757506E-5</v>
      </c>
      <c r="R474" s="7">
        <f t="shared" si="28"/>
        <v>1.0382177101629314E-3</v>
      </c>
    </row>
    <row r="475" spans="1:18" x14ac:dyDescent="0.25">
      <c r="A475" s="22">
        <v>45260</v>
      </c>
      <c r="B475" s="12">
        <v>222.13</v>
      </c>
      <c r="C475" s="13">
        <v>2.0999999999999999E-3</v>
      </c>
      <c r="D475" s="7">
        <v>487</v>
      </c>
      <c r="E475" s="7">
        <v>4.0000000000000002E-4</v>
      </c>
      <c r="F475" s="7">
        <v>219</v>
      </c>
      <c r="G475" s="8">
        <f t="shared" si="30"/>
        <v>0.97833699261506735</v>
      </c>
      <c r="H475" s="9">
        <f t="shared" si="31"/>
        <v>1.0687495162242512E-3</v>
      </c>
      <c r="I475" s="10">
        <f>SUM($H$3:H475)</f>
        <v>0.49256053109130771</v>
      </c>
      <c r="J475" s="23">
        <v>4.0000000000000002E-4</v>
      </c>
      <c r="Q475" s="7">
        <f t="shared" si="29"/>
        <v>9.5265502896047102E-5</v>
      </c>
      <c r="R475" s="7">
        <f t="shared" si="28"/>
        <v>1.038321542317163E-3</v>
      </c>
    </row>
    <row r="476" spans="1:18" x14ac:dyDescent="0.25">
      <c r="A476" s="22">
        <v>45261</v>
      </c>
      <c r="B476" s="12">
        <v>223.75</v>
      </c>
      <c r="C476" s="13">
        <v>7.3000000000000001E-3</v>
      </c>
      <c r="D476" s="7">
        <v>486</v>
      </c>
      <c r="E476" s="7">
        <v>4.0000000000000002E-4</v>
      </c>
      <c r="F476" s="7">
        <v>171</v>
      </c>
      <c r="G476" s="8">
        <f t="shared" si="30"/>
        <v>0.98304453462253083</v>
      </c>
      <c r="H476" s="9">
        <f t="shared" si="31"/>
        <v>1.0738921033706635E-3</v>
      </c>
      <c r="I476" s="10">
        <f>SUM($H$3:H476)</f>
        <v>0.49363442319467837</v>
      </c>
      <c r="J476" s="23">
        <v>4.0000000000000002E-4</v>
      </c>
      <c r="Q476" s="7">
        <f t="shared" si="29"/>
        <v>9.5275030399087014E-5</v>
      </c>
      <c r="R476" s="7">
        <f t="shared" si="28"/>
        <v>1.0384253848556486E-3</v>
      </c>
    </row>
    <row r="477" spans="1:18" x14ac:dyDescent="0.25">
      <c r="A477" s="22">
        <v>45264</v>
      </c>
      <c r="B477" s="12">
        <v>228.18</v>
      </c>
      <c r="C477" s="13">
        <v>1.9800000000000002E-2</v>
      </c>
      <c r="D477" s="7">
        <v>485</v>
      </c>
      <c r="E477" s="7">
        <v>5.0000000000000001E-4</v>
      </c>
      <c r="F477" s="7">
        <v>560</v>
      </c>
      <c r="G477" s="8">
        <f t="shared" si="30"/>
        <v>0.94553648820802239</v>
      </c>
      <c r="H477" s="9">
        <f t="shared" si="31"/>
        <v>1.0329177696159191E-3</v>
      </c>
      <c r="I477" s="10">
        <f>SUM($H$3:H477)</f>
        <v>0.49466734096429427</v>
      </c>
      <c r="J477" s="23">
        <v>5.0000000000000001E-4</v>
      </c>
      <c r="Q477" s="7">
        <f t="shared" si="29"/>
        <v>9.5284558854972503E-5</v>
      </c>
      <c r="R477" s="7">
        <f t="shared" si="28"/>
        <v>1.0385292377794264E-3</v>
      </c>
    </row>
    <row r="478" spans="1:18" x14ac:dyDescent="0.25">
      <c r="A478" s="22">
        <v>45265</v>
      </c>
      <c r="B478" s="12">
        <v>230.06</v>
      </c>
      <c r="C478" s="13">
        <v>8.2000000000000007E-3</v>
      </c>
      <c r="D478" s="7">
        <v>484</v>
      </c>
      <c r="E478" s="7">
        <v>5.0000000000000001E-4</v>
      </c>
      <c r="F478" s="7">
        <v>551</v>
      </c>
      <c r="G478" s="8">
        <f t="shared" si="30"/>
        <v>0.94638789669488954</v>
      </c>
      <c r="H478" s="9">
        <f t="shared" si="31"/>
        <v>1.0338478605920523E-3</v>
      </c>
      <c r="I478" s="10">
        <f>SUM($H$3:H478)</f>
        <v>0.49570118882488634</v>
      </c>
      <c r="J478" s="23">
        <v>5.0000000000000001E-4</v>
      </c>
      <c r="Q478" s="7">
        <f t="shared" si="29"/>
        <v>9.5294088263798884E-5</v>
      </c>
      <c r="R478" s="7">
        <f t="shared" si="28"/>
        <v>1.0386331010895354E-3</v>
      </c>
    </row>
    <row r="479" spans="1:18" x14ac:dyDescent="0.25">
      <c r="A479" s="22">
        <v>45266</v>
      </c>
      <c r="B479" s="12">
        <v>230.94</v>
      </c>
      <c r="C479" s="13">
        <v>3.8E-3</v>
      </c>
      <c r="D479" s="7">
        <v>483</v>
      </c>
      <c r="E479" s="7">
        <v>5.0000000000000001E-4</v>
      </c>
      <c r="F479" s="7">
        <v>538</v>
      </c>
      <c r="G479" s="8">
        <f t="shared" si="30"/>
        <v>0.94761906260435735</v>
      </c>
      <c r="H479" s="9">
        <f t="shared" si="31"/>
        <v>1.0351928040829637E-3</v>
      </c>
      <c r="I479" s="10">
        <f>SUM($H$3:H479)</f>
        <v>0.49673638162896933</v>
      </c>
      <c r="J479" s="23">
        <v>5.0000000000000001E-4</v>
      </c>
      <c r="Q479" s="7">
        <f t="shared" si="29"/>
        <v>9.5303618625661445E-5</v>
      </c>
      <c r="R479" s="7">
        <f t="shared" si="28"/>
        <v>1.0387369747870141E-3</v>
      </c>
    </row>
    <row r="480" spans="1:18" x14ac:dyDescent="0.25">
      <c r="A480" s="22">
        <v>45267</v>
      </c>
      <c r="B480" s="12">
        <v>230.83</v>
      </c>
      <c r="C480" s="13">
        <v>-5.0000000000000001E-4</v>
      </c>
      <c r="D480" s="7">
        <v>482</v>
      </c>
      <c r="E480" s="7">
        <v>5.0000000000000001E-4</v>
      </c>
      <c r="F480" s="7">
        <v>474</v>
      </c>
      <c r="G480" s="8">
        <f t="shared" si="30"/>
        <v>0.95370357851730614</v>
      </c>
      <c r="H480" s="9">
        <f t="shared" si="31"/>
        <v>1.041839617489294E-3</v>
      </c>
      <c r="I480" s="10">
        <f>SUM($H$3:H480)</f>
        <v>0.4977782212464586</v>
      </c>
      <c r="J480" s="23">
        <v>5.0000000000000001E-4</v>
      </c>
      <c r="Q480" s="7">
        <f t="shared" si="29"/>
        <v>9.53131499406555E-5</v>
      </c>
      <c r="R480" s="7">
        <f t="shared" si="28"/>
        <v>1.0388408588729013E-3</v>
      </c>
    </row>
    <row r="481" spans="1:18" x14ac:dyDescent="0.25">
      <c r="A481" s="22">
        <v>45268</v>
      </c>
      <c r="B481" s="12">
        <v>231.36</v>
      </c>
      <c r="C481" s="13">
        <v>2.3E-3</v>
      </c>
      <c r="D481" s="7">
        <v>481</v>
      </c>
      <c r="E481" s="7">
        <v>5.0000000000000001E-4</v>
      </c>
      <c r="F481" s="7">
        <v>458</v>
      </c>
      <c r="G481" s="8">
        <f t="shared" si="30"/>
        <v>0.95523080205839206</v>
      </c>
      <c r="H481" s="9">
        <f t="shared" si="31"/>
        <v>1.0435079786297013E-3</v>
      </c>
      <c r="I481" s="10">
        <f>SUM($H$3:H481)</f>
        <v>0.49882172922508827</v>
      </c>
      <c r="J481" s="23">
        <v>5.0000000000000001E-4</v>
      </c>
      <c r="Q481" s="7">
        <f t="shared" si="29"/>
        <v>9.5322682208876406E-5</v>
      </c>
      <c r="R481" s="7">
        <f t="shared" si="28"/>
        <v>1.0389447533482362E-3</v>
      </c>
    </row>
    <row r="482" spans="1:18" x14ac:dyDescent="0.25">
      <c r="A482" s="22">
        <v>45271</v>
      </c>
      <c r="B482" s="12">
        <v>231.79</v>
      </c>
      <c r="C482" s="13">
        <v>1.9E-3</v>
      </c>
      <c r="D482" s="7">
        <v>480</v>
      </c>
      <c r="E482" s="7">
        <v>5.0000000000000001E-4</v>
      </c>
      <c r="F482" s="7">
        <v>389</v>
      </c>
      <c r="G482" s="8">
        <f t="shared" si="30"/>
        <v>0.96184501811109635</v>
      </c>
      <c r="H482" s="9">
        <f t="shared" si="31"/>
        <v>1.0507334441491388E-3</v>
      </c>
      <c r="I482" s="10">
        <f>SUM($H$3:H482)</f>
        <v>0.49987246266923741</v>
      </c>
      <c r="J482" s="23">
        <v>5.0000000000000001E-4</v>
      </c>
      <c r="Q482" s="7">
        <f t="shared" si="29"/>
        <v>9.5332215430419436E-5</v>
      </c>
      <c r="R482" s="7">
        <f t="shared" si="28"/>
        <v>1.0390486582140576E-3</v>
      </c>
    </row>
    <row r="483" spans="1:18" x14ac:dyDescent="0.25">
      <c r="A483" s="22">
        <v>45272</v>
      </c>
      <c r="B483" s="12">
        <v>230.96</v>
      </c>
      <c r="C483" s="13">
        <v>-3.5999999999999999E-3</v>
      </c>
      <c r="D483" s="7">
        <v>479</v>
      </c>
      <c r="E483" s="7">
        <v>5.0000000000000001E-4</v>
      </c>
      <c r="F483" s="7">
        <v>380</v>
      </c>
      <c r="G483" s="8">
        <f t="shared" si="30"/>
        <v>0.96271111161640621</v>
      </c>
      <c r="H483" s="9">
        <f t="shared" si="31"/>
        <v>1.0516795772523456E-3</v>
      </c>
      <c r="I483" s="10">
        <f>SUM($H$3:H483)</f>
        <v>0.50092414224648973</v>
      </c>
      <c r="J483" s="23">
        <v>5.0000000000000001E-4</v>
      </c>
      <c r="Q483" s="7">
        <f t="shared" si="29"/>
        <v>9.534174960537996E-5</v>
      </c>
      <c r="R483" s="7">
        <f t="shared" si="28"/>
        <v>1.0391525734714045E-3</v>
      </c>
    </row>
    <row r="484" spans="1:18" x14ac:dyDescent="0.25">
      <c r="A484" s="22">
        <v>45273</v>
      </c>
      <c r="B484" s="12">
        <v>231.15</v>
      </c>
      <c r="C484" s="13">
        <v>8.0000000000000004E-4</v>
      </c>
      <c r="D484" s="7">
        <v>478</v>
      </c>
      <c r="E484" s="7">
        <v>5.9999999999999995E-4</v>
      </c>
      <c r="F484" s="7">
        <v>727</v>
      </c>
      <c r="G484" s="8">
        <f t="shared" si="30"/>
        <v>0.92987637177892613</v>
      </c>
      <c r="H484" s="9">
        <f t="shared" si="31"/>
        <v>1.0158104313634064E-3</v>
      </c>
      <c r="I484" s="10">
        <f>SUM($H$3:H484)</f>
        <v>0.50193995267785319</v>
      </c>
      <c r="J484" s="23">
        <v>5.9999999999999995E-4</v>
      </c>
      <c r="Q484" s="7">
        <f t="shared" si="29"/>
        <v>9.5351284733853332E-5</v>
      </c>
      <c r="R484" s="7">
        <f t="shared" si="28"/>
        <v>1.0392564991213164E-3</v>
      </c>
    </row>
    <row r="485" spans="1:18" x14ac:dyDescent="0.25">
      <c r="A485" s="22">
        <v>45274</v>
      </c>
      <c r="B485" s="12">
        <v>233.99</v>
      </c>
      <c r="C485" s="13">
        <v>1.23E-2</v>
      </c>
      <c r="D485" s="7">
        <v>477</v>
      </c>
      <c r="E485" s="7">
        <v>5.9999999999999995E-4</v>
      </c>
      <c r="F485" s="7">
        <v>492</v>
      </c>
      <c r="G485" s="8">
        <f t="shared" si="30"/>
        <v>0.95198837046452012</v>
      </c>
      <c r="H485" s="9">
        <f t="shared" si="31"/>
        <v>1.0399658993426061E-3</v>
      </c>
      <c r="I485" s="10">
        <f>SUM($H$3:H485)</f>
        <v>0.50297991857719582</v>
      </c>
      <c r="J485" s="23">
        <v>5.9999999999999995E-4</v>
      </c>
      <c r="Q485" s="7">
        <f t="shared" si="29"/>
        <v>9.5360820815934937E-5</v>
      </c>
      <c r="R485" s="7">
        <f t="shared" si="28"/>
        <v>1.039360435164833E-3</v>
      </c>
    </row>
    <row r="486" spans="1:18" x14ac:dyDescent="0.25">
      <c r="A486" s="22">
        <v>45275</v>
      </c>
      <c r="B486" s="12">
        <v>236.62</v>
      </c>
      <c r="C486" s="13">
        <v>1.12E-2</v>
      </c>
      <c r="D486" s="7">
        <v>476</v>
      </c>
      <c r="E486" s="7">
        <v>5.9999999999999995E-4</v>
      </c>
      <c r="F486" s="7">
        <v>184</v>
      </c>
      <c r="G486" s="8">
        <f t="shared" si="30"/>
        <v>0.98176734322117831</v>
      </c>
      <c r="H486" s="9">
        <f t="shared" si="31"/>
        <v>1.0724968809650661E-3</v>
      </c>
      <c r="I486" s="10">
        <f>SUM($H$3:H486)</f>
        <v>0.50405241545816093</v>
      </c>
      <c r="J486" s="23">
        <v>5.9999999999999995E-4</v>
      </c>
      <c r="Q486" s="7">
        <f t="shared" si="29"/>
        <v>9.5370357851720116E-5</v>
      </c>
      <c r="R486" s="7">
        <f t="shared" si="28"/>
        <v>1.0394643816029935E-3</v>
      </c>
    </row>
    <row r="487" spans="1:18" x14ac:dyDescent="0.25">
      <c r="A487" s="22">
        <v>45278</v>
      </c>
      <c r="B487" s="12">
        <v>236.57</v>
      </c>
      <c r="C487" s="13">
        <v>-2.0000000000000001E-4</v>
      </c>
      <c r="D487" s="7">
        <v>475</v>
      </c>
      <c r="E487" s="7">
        <v>6.9999999999999999E-4</v>
      </c>
      <c r="F487" s="7">
        <v>799</v>
      </c>
      <c r="G487" s="8">
        <f t="shared" si="30"/>
        <v>0.92320497417989023</v>
      </c>
      <c r="H487" s="9">
        <f t="shared" si="31"/>
        <v>1.0085224998936469E-3</v>
      </c>
      <c r="I487" s="10">
        <f>SUM($H$3:H487)</f>
        <v>0.50506093795805462</v>
      </c>
      <c r="J487" s="23">
        <v>6.9999999999999999E-4</v>
      </c>
      <c r="Q487" s="7">
        <f t="shared" si="29"/>
        <v>9.5379895841304237E-5</v>
      </c>
      <c r="R487" s="7">
        <f t="shared" si="28"/>
        <v>1.039568338436837E-3</v>
      </c>
    </row>
    <row r="488" spans="1:18" x14ac:dyDescent="0.25">
      <c r="A488" s="22">
        <v>45279</v>
      </c>
      <c r="B488" s="12">
        <v>236.7</v>
      </c>
      <c r="C488" s="13">
        <v>5.0000000000000001E-4</v>
      </c>
      <c r="D488" s="7">
        <v>474</v>
      </c>
      <c r="E488" s="7">
        <v>6.9999999999999999E-4</v>
      </c>
      <c r="F488" s="7">
        <v>661</v>
      </c>
      <c r="G488" s="8">
        <f t="shared" si="30"/>
        <v>0.93603416208143042</v>
      </c>
      <c r="H488" s="9">
        <f t="shared" si="31"/>
        <v>1.0225372907753363E-3</v>
      </c>
      <c r="I488" s="10">
        <f>SUM($H$3:H488)</f>
        <v>0.50608347524882991</v>
      </c>
      <c r="J488" s="23">
        <v>6.9999999999999999E-4</v>
      </c>
      <c r="Q488" s="7">
        <f t="shared" si="29"/>
        <v>9.5389434784782712E-5</v>
      </c>
      <c r="R488" s="7">
        <f t="shared" si="28"/>
        <v>1.0396723056674037E-3</v>
      </c>
    </row>
    <row r="489" spans="1:18" x14ac:dyDescent="0.25">
      <c r="A489" s="22">
        <v>45280</v>
      </c>
      <c r="B489" s="12">
        <v>233.25</v>
      </c>
      <c r="C489" s="13">
        <v>-1.46E-2</v>
      </c>
      <c r="D489" s="7">
        <v>473</v>
      </c>
      <c r="E489" s="7">
        <v>6.9999999999999999E-4</v>
      </c>
      <c r="F489" s="7">
        <v>644</v>
      </c>
      <c r="G489" s="8">
        <f t="shared" si="30"/>
        <v>0.93762685319670713</v>
      </c>
      <c r="H489" s="9">
        <f t="shared" si="31"/>
        <v>1.024277169643043E-3</v>
      </c>
      <c r="I489" s="10">
        <f>SUM($H$3:H489)</f>
        <v>0.50710775241847295</v>
      </c>
      <c r="J489" s="23">
        <v>6.9999999999999999E-4</v>
      </c>
      <c r="Q489" s="7">
        <f t="shared" si="29"/>
        <v>9.5398974682250936E-5</v>
      </c>
      <c r="R489" s="7">
        <f t="shared" si="28"/>
        <v>1.0397762832957333E-3</v>
      </c>
    </row>
    <row r="490" spans="1:18" x14ac:dyDescent="0.25">
      <c r="A490" s="22">
        <v>45281</v>
      </c>
      <c r="B490" s="12">
        <v>234.6</v>
      </c>
      <c r="C490" s="13">
        <v>5.7999999999999996E-3</v>
      </c>
      <c r="D490" s="7">
        <v>472</v>
      </c>
      <c r="E490" s="7">
        <v>6.9999999999999999E-4</v>
      </c>
      <c r="F490" s="7">
        <v>640</v>
      </c>
      <c r="G490" s="8">
        <f t="shared" si="30"/>
        <v>0.93800199771942683</v>
      </c>
      <c r="H490" s="9">
        <f t="shared" si="31"/>
        <v>1.0246869829591062E-3</v>
      </c>
      <c r="I490" s="10">
        <f>SUM($H$3:H490)</f>
        <v>0.50813243940143205</v>
      </c>
      <c r="J490" s="23">
        <v>6.9999999999999999E-4</v>
      </c>
      <c r="Q490" s="7">
        <f t="shared" si="29"/>
        <v>9.5408515533804318E-5</v>
      </c>
      <c r="R490" s="7">
        <f t="shared" si="28"/>
        <v>1.0398802713228656E-3</v>
      </c>
    </row>
    <row r="491" spans="1:18" x14ac:dyDescent="0.25">
      <c r="A491" s="22">
        <v>45282</v>
      </c>
      <c r="B491" s="12">
        <v>235.5</v>
      </c>
      <c r="C491" s="13">
        <v>3.8E-3</v>
      </c>
      <c r="D491" s="7">
        <v>471</v>
      </c>
      <c r="E491" s="7">
        <v>6.9999999999999999E-4</v>
      </c>
      <c r="F491" s="7">
        <v>424</v>
      </c>
      <c r="G491" s="8">
        <f t="shared" si="30"/>
        <v>0.95848427723532359</v>
      </c>
      <c r="H491" s="9">
        <f t="shared" si="31"/>
        <v>1.0470621220870584E-3</v>
      </c>
      <c r="I491" s="10">
        <f>SUM($H$3:H491)</f>
        <v>0.5091795015235191</v>
      </c>
      <c r="J491" s="23">
        <v>6.9999999999999999E-4</v>
      </c>
      <c r="Q491" s="7">
        <f t="shared" si="29"/>
        <v>9.5418057339538269E-5</v>
      </c>
      <c r="R491" s="7">
        <f t="shared" si="28"/>
        <v>1.0399842697498406E-3</v>
      </c>
    </row>
    <row r="492" spans="1:18" x14ac:dyDescent="0.25">
      <c r="A492" s="22">
        <v>45286</v>
      </c>
      <c r="B492" s="12">
        <v>236.93</v>
      </c>
      <c r="C492" s="13">
        <v>6.1000000000000004E-3</v>
      </c>
      <c r="D492" s="7">
        <v>470</v>
      </c>
      <c r="E492" s="7">
        <v>6.9999999999999999E-4</v>
      </c>
      <c r="F492" s="7">
        <v>412</v>
      </c>
      <c r="G492" s="8">
        <f t="shared" si="30"/>
        <v>0.95963520633476096</v>
      </c>
      <c r="H492" s="9">
        <f t="shared" si="31"/>
        <v>1.0483194137232911E-3</v>
      </c>
      <c r="I492" s="10">
        <f>SUM($H$3:H492)</f>
        <v>0.51022782093724239</v>
      </c>
      <c r="J492" s="23">
        <v>6.9999999999999999E-4</v>
      </c>
      <c r="Q492" s="7">
        <f t="shared" si="29"/>
        <v>9.5427600099548212E-5</v>
      </c>
      <c r="R492" s="7">
        <f t="shared" si="28"/>
        <v>1.0400882785776982E-3</v>
      </c>
    </row>
    <row r="493" spans="1:18" x14ac:dyDescent="0.25">
      <c r="A493" s="22">
        <v>45287</v>
      </c>
      <c r="B493" s="12">
        <v>238.91</v>
      </c>
      <c r="C493" s="13">
        <v>8.3999999999999995E-3</v>
      </c>
      <c r="D493" s="7">
        <v>469</v>
      </c>
      <c r="E493" s="7">
        <v>6.9999999999999999E-4</v>
      </c>
      <c r="F493" s="7">
        <v>329</v>
      </c>
      <c r="G493" s="8">
        <f t="shared" si="30"/>
        <v>0.96763372641793866</v>
      </c>
      <c r="H493" s="9">
        <f t="shared" si="31"/>
        <v>1.0570571130374675E-3</v>
      </c>
      <c r="I493" s="10">
        <f>SUM($H$3:H493)</f>
        <v>0.51128487805027989</v>
      </c>
      <c r="J493" s="23">
        <v>6.9999999999999999E-4</v>
      </c>
      <c r="Q493" s="7">
        <f t="shared" si="29"/>
        <v>9.5437143813929611E-5</v>
      </c>
      <c r="R493" s="7">
        <f t="shared" si="28"/>
        <v>1.0401922978074791E-3</v>
      </c>
    </row>
    <row r="494" spans="1:18" x14ac:dyDescent="0.25">
      <c r="A494" s="22">
        <v>45288</v>
      </c>
      <c r="B494" s="12">
        <v>240.16</v>
      </c>
      <c r="C494" s="13">
        <v>5.1999999999999998E-3</v>
      </c>
      <c r="D494" s="7">
        <v>468</v>
      </c>
      <c r="E494" s="7">
        <v>6.9999999999999999E-4</v>
      </c>
      <c r="F494" s="7">
        <v>222</v>
      </c>
      <c r="G494" s="8">
        <f t="shared" si="30"/>
        <v>0.97804352086641444</v>
      </c>
      <c r="H494" s="9">
        <f t="shared" si="31"/>
        <v>1.0684289234308007E-3</v>
      </c>
      <c r="I494" s="10">
        <f>SUM($H$3:H494)</f>
        <v>0.51235330697371073</v>
      </c>
      <c r="J494" s="23">
        <v>6.9999999999999999E-4</v>
      </c>
      <c r="Q494" s="7">
        <f t="shared" si="29"/>
        <v>9.5446688482777876E-5</v>
      </c>
      <c r="R494" s="7">
        <f t="shared" si="28"/>
        <v>1.040296327440223E-3</v>
      </c>
    </row>
    <row r="495" spans="1:18" x14ac:dyDescent="0.25">
      <c r="A495" s="22">
        <v>45289</v>
      </c>
      <c r="B495" s="12">
        <v>239.65</v>
      </c>
      <c r="C495" s="13">
        <v>-2.0999999999999999E-3</v>
      </c>
      <c r="D495" s="7">
        <v>467</v>
      </c>
      <c r="E495" s="7">
        <v>6.9999999999999999E-4</v>
      </c>
      <c r="F495" s="7">
        <v>134</v>
      </c>
      <c r="G495" s="8">
        <f t="shared" si="30"/>
        <v>0.98668871919674717</v>
      </c>
      <c r="H495" s="9">
        <f t="shared" si="31"/>
        <v>1.077873063438743E-3</v>
      </c>
      <c r="I495" s="10">
        <f>SUM($H$3:H495)</f>
        <v>0.51343118003714949</v>
      </c>
      <c r="J495" s="23">
        <v>6.9999999999999999E-4</v>
      </c>
      <c r="Q495" s="7">
        <f t="shared" si="29"/>
        <v>9.5456234106188498E-5</v>
      </c>
      <c r="R495" s="7">
        <f t="shared" si="28"/>
        <v>1.0404003674769706E-3</v>
      </c>
    </row>
    <row r="496" spans="1:18" x14ac:dyDescent="0.25">
      <c r="A496" s="22">
        <v>45292</v>
      </c>
      <c r="B496" s="12">
        <v>240.35</v>
      </c>
      <c r="C496" s="13">
        <v>2.8999999999999998E-3</v>
      </c>
      <c r="D496" s="7">
        <v>466</v>
      </c>
      <c r="E496" s="7">
        <v>6.9999999999999999E-4</v>
      </c>
      <c r="F496" s="7">
        <v>7</v>
      </c>
      <c r="G496" s="8">
        <f t="shared" si="30"/>
        <v>0.99930020996500368</v>
      </c>
      <c r="H496" s="9">
        <f t="shared" si="31"/>
        <v>1.0916500388155129E-3</v>
      </c>
      <c r="I496" s="10">
        <f>SUM($H$3:H496)</f>
        <v>0.514522830075965</v>
      </c>
      <c r="J496" s="23">
        <v>6.9999999999999999E-4</v>
      </c>
      <c r="Q496" s="7">
        <f t="shared" si="29"/>
        <v>9.5465780684256913E-5</v>
      </c>
      <c r="R496" s="7">
        <f t="shared" si="28"/>
        <v>1.0405044179187624E-3</v>
      </c>
    </row>
    <row r="497" spans="1:18" x14ac:dyDescent="0.25">
      <c r="A497" s="22">
        <v>45293</v>
      </c>
      <c r="B497" s="12">
        <v>239.21</v>
      </c>
      <c r="C497" s="13">
        <v>-4.7000000000000002E-3</v>
      </c>
      <c r="D497" s="7">
        <v>465</v>
      </c>
      <c r="E497" s="7">
        <v>8.0000000000000004E-4</v>
      </c>
      <c r="F497" s="7">
        <v>805</v>
      </c>
      <c r="G497" s="8">
        <f t="shared" si="30"/>
        <v>0.92265118965766579</v>
      </c>
      <c r="H497" s="9">
        <f t="shared" si="31"/>
        <v>1.0079175376519168E-3</v>
      </c>
      <c r="I497" s="10">
        <f>SUM($H$3:H497)</f>
        <v>0.51553074761361695</v>
      </c>
      <c r="J497" s="23">
        <v>8.0000000000000004E-4</v>
      </c>
      <c r="Q497" s="7">
        <f t="shared" si="29"/>
        <v>9.5475328217078627E-5</v>
      </c>
      <c r="R497" s="7">
        <f t="shared" si="28"/>
        <v>1.0406084787666391E-3</v>
      </c>
    </row>
    <row r="498" spans="1:18" x14ac:dyDescent="0.25">
      <c r="A498" s="22">
        <v>45294</v>
      </c>
      <c r="B498" s="12">
        <v>237.74</v>
      </c>
      <c r="C498" s="13">
        <v>-6.1000000000000004E-3</v>
      </c>
      <c r="D498" s="7">
        <v>464</v>
      </c>
      <c r="E498" s="7">
        <v>8.0000000000000004E-4</v>
      </c>
      <c r="F498" s="7">
        <v>478</v>
      </c>
      <c r="G498" s="8">
        <f t="shared" si="30"/>
        <v>0.95332215430429934</v>
      </c>
      <c r="H498" s="9">
        <f t="shared" si="31"/>
        <v>1.0414229441485083E-3</v>
      </c>
      <c r="I498" s="10">
        <f>SUM($H$3:H498)</f>
        <v>0.5165721705577655</v>
      </c>
      <c r="J498" s="23">
        <v>8.0000000000000004E-4</v>
      </c>
      <c r="Q498" s="7">
        <f t="shared" si="29"/>
        <v>9.5484876704749104E-5</v>
      </c>
      <c r="R498" s="7">
        <f t="shared" si="28"/>
        <v>1.0407125500216414E-3</v>
      </c>
    </row>
    <row r="499" spans="1:18" x14ac:dyDescent="0.25">
      <c r="A499" s="22">
        <v>45295</v>
      </c>
      <c r="B499" s="12">
        <v>239.3</v>
      </c>
      <c r="C499" s="13">
        <v>6.6E-3</v>
      </c>
      <c r="D499" s="7">
        <v>463</v>
      </c>
      <c r="E499" s="7">
        <v>8.0000000000000004E-4</v>
      </c>
      <c r="F499" s="7">
        <v>377</v>
      </c>
      <c r="G499" s="8">
        <f t="shared" si="30"/>
        <v>0.96299998272218645</v>
      </c>
      <c r="H499" s="9">
        <f t="shared" si="31"/>
        <v>1.0519951442368143E-3</v>
      </c>
      <c r="I499" s="10">
        <f>SUM($H$3:H499)</f>
        <v>0.51762416570200231</v>
      </c>
      <c r="J499" s="23">
        <v>8.0000000000000004E-4</v>
      </c>
      <c r="Q499" s="7">
        <f t="shared" si="29"/>
        <v>9.5494426147363834E-5</v>
      </c>
      <c r="R499" s="7">
        <f t="shared" si="28"/>
        <v>1.0408166316848097E-3</v>
      </c>
    </row>
    <row r="500" spans="1:18" x14ac:dyDescent="0.25">
      <c r="A500" s="22">
        <v>45296</v>
      </c>
      <c r="B500" s="12">
        <v>239.74</v>
      </c>
      <c r="C500" s="13">
        <v>1.8E-3</v>
      </c>
      <c r="D500" s="7">
        <v>462</v>
      </c>
      <c r="E500" s="7">
        <v>8.0000000000000004E-4</v>
      </c>
      <c r="F500" s="7">
        <v>192</v>
      </c>
      <c r="G500" s="8">
        <f t="shared" si="30"/>
        <v>0.98098220418648563</v>
      </c>
      <c r="H500" s="9">
        <f t="shared" si="31"/>
        <v>1.0716391836993687E-3</v>
      </c>
      <c r="I500" s="10">
        <f>SUM($H$3:H500)</f>
        <v>0.51869580488570166</v>
      </c>
      <c r="J500" s="23">
        <v>8.0000000000000004E-4</v>
      </c>
      <c r="Q500" s="7">
        <f t="shared" si="29"/>
        <v>9.5503976545018322E-5</v>
      </c>
      <c r="R500" s="7">
        <f t="shared" si="28"/>
        <v>1.0409207237571853E-3</v>
      </c>
    </row>
    <row r="501" spans="1:18" x14ac:dyDescent="0.25">
      <c r="A501" s="22">
        <v>45299</v>
      </c>
      <c r="B501" s="12">
        <v>237.68</v>
      </c>
      <c r="C501" s="13">
        <v>-8.6E-3</v>
      </c>
      <c r="D501" s="7">
        <v>461</v>
      </c>
      <c r="E501" s="7">
        <v>8.0000000000000004E-4</v>
      </c>
      <c r="F501" s="7">
        <v>63</v>
      </c>
      <c r="G501" s="8">
        <f t="shared" si="30"/>
        <v>0.99371949034849794</v>
      </c>
      <c r="H501" s="9">
        <f t="shared" si="31"/>
        <v>1.0855535797882597E-3</v>
      </c>
      <c r="I501" s="10">
        <f>SUM($H$3:H501)</f>
        <v>0.5197813584654899</v>
      </c>
      <c r="J501" s="23">
        <v>8.0000000000000004E-4</v>
      </c>
      <c r="Q501" s="7">
        <f t="shared" si="29"/>
        <v>9.5513527897808114E-5</v>
      </c>
      <c r="R501" s="7">
        <f t="shared" si="28"/>
        <v>1.0410248262398094E-3</v>
      </c>
    </row>
    <row r="502" spans="1:18" x14ac:dyDescent="0.25">
      <c r="A502" s="22">
        <v>45300</v>
      </c>
      <c r="B502" s="12">
        <v>237.78</v>
      </c>
      <c r="C502" s="13">
        <v>4.0000000000000002E-4</v>
      </c>
      <c r="D502" s="7">
        <v>460</v>
      </c>
      <c r="E502" s="7">
        <v>8.9999999999999998E-4</v>
      </c>
      <c r="F502" s="7">
        <v>637</v>
      </c>
      <c r="G502" s="8">
        <f t="shared" si="30"/>
        <v>0.93828345460824392</v>
      </c>
      <c r="H502" s="9">
        <f t="shared" si="31"/>
        <v>1.0249944505454612E-3</v>
      </c>
      <c r="I502" s="10">
        <f>SUM($H$3:H502)</f>
        <v>0.52080635291603539</v>
      </c>
      <c r="J502" s="23">
        <v>8.9999999999999998E-4</v>
      </c>
      <c r="Q502" s="7">
        <f t="shared" si="29"/>
        <v>9.5523080205828687E-5</v>
      </c>
      <c r="R502" s="7">
        <f t="shared" si="28"/>
        <v>1.0411289391337227E-3</v>
      </c>
    </row>
    <row r="503" spans="1:18" x14ac:dyDescent="0.25">
      <c r="A503" s="22">
        <v>45301</v>
      </c>
      <c r="B503" s="12">
        <v>238.76</v>
      </c>
      <c r="C503" s="13">
        <v>4.1000000000000003E-3</v>
      </c>
      <c r="D503" s="7">
        <v>459</v>
      </c>
      <c r="E503" s="7">
        <v>8.9999999999999998E-4</v>
      </c>
      <c r="F503" s="7">
        <v>594</v>
      </c>
      <c r="G503" s="8">
        <f t="shared" si="30"/>
        <v>0.94232696295410689</v>
      </c>
      <c r="H503" s="9">
        <f t="shared" si="31"/>
        <v>1.0294116376917211E-3</v>
      </c>
      <c r="I503" s="10">
        <f>SUM($H$3:H503)</f>
        <v>0.52183576455372715</v>
      </c>
      <c r="J503" s="23">
        <v>8.9999999999999998E-4</v>
      </c>
      <c r="Q503" s="7">
        <f t="shared" si="29"/>
        <v>9.5532633469175599E-5</v>
      </c>
      <c r="R503" s="7">
        <f t="shared" si="28"/>
        <v>1.0412330624399665E-3</v>
      </c>
    </row>
    <row r="504" spans="1:18" x14ac:dyDescent="0.25">
      <c r="A504" s="22">
        <v>45302</v>
      </c>
      <c r="B504" s="12">
        <v>238.87</v>
      </c>
      <c r="C504" s="13">
        <v>5.0000000000000001E-4</v>
      </c>
      <c r="D504" s="7">
        <v>458</v>
      </c>
      <c r="E504" s="7">
        <v>8.9999999999999998E-4</v>
      </c>
      <c r="F504" s="7">
        <v>304</v>
      </c>
      <c r="G504" s="8">
        <f t="shared" si="30"/>
        <v>0.97005595837590475</v>
      </c>
      <c r="H504" s="9">
        <f t="shared" si="31"/>
        <v>1.0597031943497357E-3</v>
      </c>
      <c r="I504" s="10">
        <f>SUM($H$3:H504)</f>
        <v>0.52289546774807694</v>
      </c>
      <c r="J504" s="23">
        <v>8.9999999999999998E-4</v>
      </c>
      <c r="Q504" s="7">
        <f t="shared" si="29"/>
        <v>9.5542187687944411E-5</v>
      </c>
      <c r="R504" s="7">
        <f t="shared" si="28"/>
        <v>1.0413371961595828E-3</v>
      </c>
    </row>
    <row r="505" spans="1:18" x14ac:dyDescent="0.25">
      <c r="A505" s="22">
        <v>45303</v>
      </c>
      <c r="B505" s="12">
        <v>241.73</v>
      </c>
      <c r="C505" s="13">
        <v>1.2E-2</v>
      </c>
      <c r="D505" s="7">
        <v>457</v>
      </c>
      <c r="E505" s="7">
        <v>8.9999999999999998E-4</v>
      </c>
      <c r="F505" s="7">
        <v>10</v>
      </c>
      <c r="G505" s="8">
        <f t="shared" si="30"/>
        <v>0.99900044988002124</v>
      </c>
      <c r="H505" s="9">
        <f t="shared" si="31"/>
        <v>1.0913225765522777E-3</v>
      </c>
      <c r="I505" s="10">
        <f>SUM($H$3:H505)</f>
        <v>0.52398679032462925</v>
      </c>
      <c r="J505" s="23">
        <v>8.9999999999999998E-4</v>
      </c>
      <c r="Q505" s="7">
        <f t="shared" si="29"/>
        <v>9.5551742862230626E-5</v>
      </c>
      <c r="R505" s="7">
        <f t="shared" si="28"/>
        <v>1.041441340293612E-3</v>
      </c>
    </row>
    <row r="506" spans="1:18" x14ac:dyDescent="0.25">
      <c r="A506" s="22">
        <v>45306</v>
      </c>
      <c r="B506" s="12">
        <v>244.07</v>
      </c>
      <c r="C506" s="13">
        <v>9.7000000000000003E-3</v>
      </c>
      <c r="D506" s="7">
        <v>456</v>
      </c>
      <c r="E506" s="7">
        <v>1E-3</v>
      </c>
      <c r="F506" s="7">
        <v>763</v>
      </c>
      <c r="G506" s="8">
        <f t="shared" si="30"/>
        <v>0.92653466842782173</v>
      </c>
      <c r="H506" s="9">
        <f t="shared" si="31"/>
        <v>1.0121599061693101E-3</v>
      </c>
      <c r="I506" s="10">
        <f>SUM($H$3:H506)</f>
        <v>0.52499895023079857</v>
      </c>
      <c r="J506" s="23">
        <v>1E-3</v>
      </c>
      <c r="Q506" s="7">
        <f t="shared" si="29"/>
        <v>9.5561298992129831E-5</v>
      </c>
      <c r="R506" s="7">
        <f t="shared" si="28"/>
        <v>1.0415454948430962E-3</v>
      </c>
    </row>
    <row r="507" spans="1:18" x14ac:dyDescent="0.25">
      <c r="A507" s="22">
        <v>45307</v>
      </c>
      <c r="B507" s="12">
        <v>243.24</v>
      </c>
      <c r="C507" s="13">
        <v>-3.3999999999999998E-3</v>
      </c>
      <c r="D507" s="7">
        <v>455</v>
      </c>
      <c r="E507" s="7">
        <v>1E-3</v>
      </c>
      <c r="F507" s="7">
        <v>692</v>
      </c>
      <c r="G507" s="8">
        <f t="shared" si="30"/>
        <v>0.93313680453330228</v>
      </c>
      <c r="H507" s="9">
        <f t="shared" si="31"/>
        <v>1.019372175379246E-3</v>
      </c>
      <c r="I507" s="10">
        <f>SUM($H$3:H507)</f>
        <v>0.52601832240617785</v>
      </c>
      <c r="J507" s="23">
        <v>1E-3</v>
      </c>
      <c r="Q507" s="7">
        <f t="shared" si="29"/>
        <v>9.5570856077737611E-5</v>
      </c>
      <c r="R507" s="7">
        <f t="shared" si="28"/>
        <v>1.0416496598090771E-3</v>
      </c>
    </row>
    <row r="508" spans="1:18" x14ac:dyDescent="0.25">
      <c r="A508" s="22">
        <v>45308</v>
      </c>
      <c r="B508" s="12">
        <v>238.38</v>
      </c>
      <c r="C508" s="13">
        <v>-0.02</v>
      </c>
      <c r="D508" s="7">
        <v>454</v>
      </c>
      <c r="E508" s="7">
        <v>1E-3</v>
      </c>
      <c r="F508" s="7">
        <v>300</v>
      </c>
      <c r="G508" s="8">
        <f t="shared" si="30"/>
        <v>0.97044407778425534</v>
      </c>
      <c r="H508" s="9">
        <f t="shared" si="31"/>
        <v>1.0601271816189925E-3</v>
      </c>
      <c r="I508" s="10">
        <f>SUM($H$3:H508)</f>
        <v>0.52707844958779682</v>
      </c>
      <c r="J508" s="23">
        <v>1E-3</v>
      </c>
      <c r="Q508" s="7">
        <f t="shared" si="29"/>
        <v>9.5580414119149511E-5</v>
      </c>
      <c r="R508" s="7">
        <f t="shared" si="28"/>
        <v>1.0417538351925964E-3</v>
      </c>
    </row>
    <row r="509" spans="1:18" x14ac:dyDescent="0.25">
      <c r="A509" s="22">
        <v>45309</v>
      </c>
      <c r="B509" s="12">
        <v>237.51</v>
      </c>
      <c r="C509" s="13">
        <v>-3.5999999999999999E-3</v>
      </c>
      <c r="D509" s="7">
        <v>453</v>
      </c>
      <c r="E509" s="7">
        <v>1E-3</v>
      </c>
      <c r="F509" s="7">
        <v>49</v>
      </c>
      <c r="G509" s="8">
        <f t="shared" si="30"/>
        <v>0.99511174159716975</v>
      </c>
      <c r="H509" s="9">
        <f t="shared" si="31"/>
        <v>1.08707449523939E-3</v>
      </c>
      <c r="I509" s="10">
        <f>SUM($H$3:H509)</f>
        <v>0.52816552408303619</v>
      </c>
      <c r="J509" s="23">
        <v>1E-3</v>
      </c>
      <c r="Q509" s="7">
        <f t="shared" si="29"/>
        <v>9.5589973116461159E-5</v>
      </c>
      <c r="R509" s="7">
        <f t="shared" si="28"/>
        <v>1.0418580209946959E-3</v>
      </c>
    </row>
    <row r="510" spans="1:18" x14ac:dyDescent="0.25">
      <c r="A510" s="22">
        <v>45310</v>
      </c>
      <c r="B510" s="12">
        <v>239.15</v>
      </c>
      <c r="C510" s="13">
        <v>6.8999999999999999E-3</v>
      </c>
      <c r="D510" s="7">
        <v>452</v>
      </c>
      <c r="E510" s="7">
        <v>1.1000000000000001E-3</v>
      </c>
      <c r="F510" s="7">
        <v>613</v>
      </c>
      <c r="G510" s="8">
        <f t="shared" si="30"/>
        <v>0.94053815219085157</v>
      </c>
      <c r="H510" s="9">
        <f t="shared" si="31"/>
        <v>1.0274575148769068E-3</v>
      </c>
      <c r="I510" s="10">
        <f>SUM($H$3:H510)</f>
        <v>0.52919298159791306</v>
      </c>
      <c r="J510" s="23">
        <v>1.1000000000000001E-3</v>
      </c>
      <c r="Q510" s="7">
        <f t="shared" si="29"/>
        <v>9.5599533069768141E-5</v>
      </c>
      <c r="R510" s="7">
        <f t="shared" si="28"/>
        <v>1.0419622172164176E-3</v>
      </c>
    </row>
    <row r="511" spans="1:18" x14ac:dyDescent="0.25">
      <c r="A511" s="22">
        <v>45311</v>
      </c>
      <c r="B511" s="12">
        <v>238.95</v>
      </c>
      <c r="C511" s="13">
        <v>-8.0000000000000004E-4</v>
      </c>
      <c r="D511" s="7">
        <v>451</v>
      </c>
      <c r="E511" s="7">
        <v>1.1000000000000001E-3</v>
      </c>
      <c r="F511" s="7">
        <v>341</v>
      </c>
      <c r="G511" s="8">
        <f t="shared" si="30"/>
        <v>0.9664732043716654</v>
      </c>
      <c r="H511" s="9">
        <f t="shared" si="31"/>
        <v>1.0557893419270174E-3</v>
      </c>
      <c r="I511" s="10">
        <f>SUM($H$3:H511)</f>
        <v>0.53024877093984013</v>
      </c>
      <c r="J511" s="23">
        <v>1.1000000000000001E-3</v>
      </c>
      <c r="Q511" s="7">
        <f t="shared" si="29"/>
        <v>9.5609093979166042E-5</v>
      </c>
      <c r="R511" s="7">
        <f t="shared" si="28"/>
        <v>1.0420664238588032E-3</v>
      </c>
    </row>
    <row r="512" spans="1:18" x14ac:dyDescent="0.25">
      <c r="A512" s="22">
        <v>45314</v>
      </c>
      <c r="B512" s="12">
        <v>234.87</v>
      </c>
      <c r="C512" s="13">
        <v>-1.7100000000000001E-2</v>
      </c>
      <c r="D512" s="7">
        <v>450</v>
      </c>
      <c r="E512" s="7">
        <v>1.1000000000000001E-3</v>
      </c>
      <c r="F512" s="7">
        <v>309</v>
      </c>
      <c r="G512" s="8">
        <f t="shared" si="30"/>
        <v>0.96957102739261281</v>
      </c>
      <c r="H512" s="9">
        <f t="shared" si="31"/>
        <v>1.059173448712284E-3</v>
      </c>
      <c r="I512" s="10">
        <f>SUM($H$3:H512)</f>
        <v>0.53130794438855244</v>
      </c>
      <c r="J512" s="23">
        <v>1.1000000000000001E-3</v>
      </c>
      <c r="Q512" s="7">
        <f t="shared" si="29"/>
        <v>9.5618655844750515E-5</v>
      </c>
      <c r="R512" s="7">
        <f t="shared" si="28"/>
        <v>1.0421706409228955E-3</v>
      </c>
    </row>
    <row r="513" spans="1:18" x14ac:dyDescent="0.25">
      <c r="A513" s="22">
        <v>45315</v>
      </c>
      <c r="B513" s="12">
        <v>237.29</v>
      </c>
      <c r="C513" s="13">
        <v>1.03E-2</v>
      </c>
      <c r="D513" s="7">
        <v>449</v>
      </c>
      <c r="E513" s="7">
        <v>1.1000000000000001E-3</v>
      </c>
      <c r="F513" s="7">
        <v>232</v>
      </c>
      <c r="G513" s="8">
        <f t="shared" si="30"/>
        <v>0.97706591734778792</v>
      </c>
      <c r="H513" s="9">
        <f t="shared" si="31"/>
        <v>1.0673609751721967E-3</v>
      </c>
      <c r="I513" s="10">
        <f>SUM($H$3:H513)</f>
        <v>0.53237530536372468</v>
      </c>
      <c r="J513" s="23">
        <v>1.1000000000000001E-3</v>
      </c>
      <c r="Q513" s="7">
        <f t="shared" si="29"/>
        <v>9.5628218666617189E-5</v>
      </c>
      <c r="R513" s="7">
        <f t="shared" si="28"/>
        <v>1.0422748684097366E-3</v>
      </c>
    </row>
    <row r="514" spans="1:18" x14ac:dyDescent="0.25">
      <c r="A514" s="22">
        <v>45316</v>
      </c>
      <c r="B514" s="12">
        <v>236.15</v>
      </c>
      <c r="C514" s="13">
        <v>-4.7999999999999996E-3</v>
      </c>
      <c r="D514" s="7">
        <v>448</v>
      </c>
      <c r="E514" s="7">
        <v>1.1999999999999999E-3</v>
      </c>
      <c r="F514" s="7">
        <v>545</v>
      </c>
      <c r="G514" s="8">
        <f t="shared" si="30"/>
        <v>0.94695592822737418</v>
      </c>
      <c r="H514" s="9">
        <f t="shared" si="31"/>
        <v>1.0344683864743664E-3</v>
      </c>
      <c r="I514" s="10">
        <f>SUM($H$3:H514)</f>
        <v>0.53340977375019905</v>
      </c>
      <c r="J514" s="23">
        <v>1.1999999999999999E-3</v>
      </c>
      <c r="Q514" s="7">
        <f t="shared" si="29"/>
        <v>9.5637782444861675E-5</v>
      </c>
      <c r="R514" s="7">
        <f t="shared" ref="R514:R577" si="32">Q514/$U$2</f>
        <v>1.0423791063203687E-3</v>
      </c>
    </row>
    <row r="515" spans="1:18" x14ac:dyDescent="0.25">
      <c r="A515" s="22">
        <v>45320</v>
      </c>
      <c r="B515" s="12">
        <v>240.05</v>
      </c>
      <c r="C515" s="13">
        <v>1.6500000000000001E-2</v>
      </c>
      <c r="D515" s="7">
        <v>447</v>
      </c>
      <c r="E515" s="7">
        <v>1.1999999999999999E-3</v>
      </c>
      <c r="F515" s="7">
        <v>208</v>
      </c>
      <c r="G515" s="8">
        <f t="shared" si="30"/>
        <v>0.97941380928926114</v>
      </c>
      <c r="H515" s="9">
        <f t="shared" si="31"/>
        <v>1.0699258463725478E-3</v>
      </c>
      <c r="I515" s="10">
        <f>SUM($H$3:H515)</f>
        <v>0.5344796995965716</v>
      </c>
      <c r="J515" s="23">
        <v>1.1999999999999999E-3</v>
      </c>
      <c r="Q515" s="7">
        <f t="shared" ref="Q515:Q578" si="33">(1-$N$3) * $N$3^(D516-1)</f>
        <v>9.5647347179579614E-5</v>
      </c>
      <c r="R515" s="7">
        <f t="shared" si="32"/>
        <v>1.0424833546558341E-3</v>
      </c>
    </row>
    <row r="516" spans="1:18" x14ac:dyDescent="0.25">
      <c r="A516" s="22">
        <v>45321</v>
      </c>
      <c r="B516" s="12">
        <v>238.13</v>
      </c>
      <c r="C516" s="13">
        <v>-8.0000000000000002E-3</v>
      </c>
      <c r="D516" s="7">
        <v>446</v>
      </c>
      <c r="E516" s="7">
        <v>1.1999999999999999E-3</v>
      </c>
      <c r="F516" s="7">
        <v>95</v>
      </c>
      <c r="G516" s="8">
        <f t="shared" ref="G516:G579" si="34">$N$3^F516</f>
        <v>0.99054451190277837</v>
      </c>
      <c r="H516" s="9">
        <f t="shared" ref="H516:H579" si="35">G516/$N$4</f>
        <v>1.0820851872982496E-3</v>
      </c>
      <c r="I516" s="10">
        <f>SUM($H$3:H516)</f>
        <v>0.53556178478386984</v>
      </c>
      <c r="J516" s="23">
        <v>1.1999999999999999E-3</v>
      </c>
      <c r="Q516" s="7">
        <f t="shared" si="33"/>
        <v>9.5656912870866701E-5</v>
      </c>
      <c r="R516" s="7">
        <f t="shared" si="32"/>
        <v>1.0425876134171758E-3</v>
      </c>
    </row>
    <row r="517" spans="1:18" x14ac:dyDescent="0.25">
      <c r="A517" s="22">
        <v>45322</v>
      </c>
      <c r="B517" s="12">
        <v>240.26</v>
      </c>
      <c r="C517" s="13">
        <v>8.8999999999999999E-3</v>
      </c>
      <c r="D517" s="7">
        <v>445</v>
      </c>
      <c r="E517" s="7">
        <v>1.1999999999999999E-3</v>
      </c>
      <c r="F517" s="7">
        <v>28</v>
      </c>
      <c r="G517" s="8">
        <f t="shared" si="34"/>
        <v>0.9972037767260471</v>
      </c>
      <c r="H517" s="9">
        <f t="shared" si="35"/>
        <v>1.0893598647478409E-3</v>
      </c>
      <c r="I517" s="10">
        <f>SUM($H$3:H517)</f>
        <v>0.53665114464861774</v>
      </c>
      <c r="J517" s="23">
        <v>1.1999999999999999E-3</v>
      </c>
      <c r="Q517" s="7">
        <f t="shared" si="33"/>
        <v>9.5666479518818575E-5</v>
      </c>
      <c r="R517" s="7">
        <f t="shared" si="32"/>
        <v>1.0426918826054361E-3</v>
      </c>
    </row>
    <row r="518" spans="1:18" x14ac:dyDescent="0.25">
      <c r="A518" s="22">
        <v>45323</v>
      </c>
      <c r="B518" s="12">
        <v>240.03</v>
      </c>
      <c r="C518" s="13">
        <v>-1E-3</v>
      </c>
      <c r="D518" s="7">
        <v>444</v>
      </c>
      <c r="E518" s="7">
        <v>1.2999999999999999E-3</v>
      </c>
      <c r="F518" s="7">
        <v>810</v>
      </c>
      <c r="G518" s="8">
        <f t="shared" si="34"/>
        <v>0.92218995631873002</v>
      </c>
      <c r="H518" s="9">
        <f t="shared" si="35"/>
        <v>1.0074136796647661E-3</v>
      </c>
      <c r="I518" s="10">
        <f>SUM($H$3:H518)</f>
        <v>0.53765855832828247</v>
      </c>
      <c r="J518" s="23">
        <v>1.2999999999999999E-3</v>
      </c>
      <c r="Q518" s="7">
        <f t="shared" si="33"/>
        <v>9.5676047123530931E-5</v>
      </c>
      <c r="R518" s="7">
        <f t="shared" si="32"/>
        <v>1.0427961622216583E-3</v>
      </c>
    </row>
    <row r="519" spans="1:18" x14ac:dyDescent="0.25">
      <c r="A519" s="22">
        <v>45324</v>
      </c>
      <c r="B519" s="12">
        <v>241.3</v>
      </c>
      <c r="C519" s="13">
        <v>5.3E-3</v>
      </c>
      <c r="D519" s="7">
        <v>443</v>
      </c>
      <c r="E519" s="7">
        <v>1.2999999999999999E-3</v>
      </c>
      <c r="F519" s="7">
        <v>771</v>
      </c>
      <c r="G519" s="8">
        <f t="shared" si="34"/>
        <v>0.92579370007090733</v>
      </c>
      <c r="H519" s="9">
        <f t="shared" si="35"/>
        <v>1.0113504615924746E-3</v>
      </c>
      <c r="I519" s="10">
        <f>SUM($H$3:H519)</f>
        <v>0.53866990878987497</v>
      </c>
      <c r="J519" s="23">
        <v>1.2999999999999999E-3</v>
      </c>
      <c r="Q519" s="7">
        <f t="shared" si="33"/>
        <v>9.5685615685099437E-5</v>
      </c>
      <c r="R519" s="7">
        <f t="shared" si="32"/>
        <v>1.042900452266885E-3</v>
      </c>
    </row>
    <row r="520" spans="1:18" x14ac:dyDescent="0.25">
      <c r="A520" s="22">
        <v>45327</v>
      </c>
      <c r="B520" s="12">
        <v>240.24</v>
      </c>
      <c r="C520" s="13">
        <v>-4.4000000000000003E-3</v>
      </c>
      <c r="D520" s="7">
        <v>442</v>
      </c>
      <c r="E520" s="7">
        <v>1.2999999999999999E-3</v>
      </c>
      <c r="F520" s="7">
        <v>693</v>
      </c>
      <c r="G520" s="8">
        <f t="shared" si="34"/>
        <v>0.93304349085284921</v>
      </c>
      <c r="H520" s="9">
        <f t="shared" si="35"/>
        <v>1.0192702381617083E-3</v>
      </c>
      <c r="I520" s="10">
        <f>SUM($H$3:H520)</f>
        <v>0.5396891790280367</v>
      </c>
      <c r="J520" s="23">
        <v>1.2999999999999999E-3</v>
      </c>
      <c r="Q520" s="7">
        <f t="shared" si="33"/>
        <v>9.5695185203619786E-5</v>
      </c>
      <c r="R520" s="7">
        <f t="shared" si="32"/>
        <v>1.0430047527421591E-3</v>
      </c>
    </row>
    <row r="521" spans="1:18" x14ac:dyDescent="0.25">
      <c r="A521" s="22">
        <v>45328</v>
      </c>
      <c r="B521" s="12">
        <v>242.01</v>
      </c>
      <c r="C521" s="13">
        <v>7.4000000000000003E-3</v>
      </c>
      <c r="D521" s="7">
        <v>441</v>
      </c>
      <c r="E521" s="7">
        <v>1.2999999999999999E-3</v>
      </c>
      <c r="F521" s="7">
        <v>431</v>
      </c>
      <c r="G521" s="8">
        <f t="shared" si="34"/>
        <v>0.95781353948941372</v>
      </c>
      <c r="H521" s="9">
        <f t="shared" si="35"/>
        <v>1.0463293984479998E-3</v>
      </c>
      <c r="I521" s="10">
        <f>SUM($H$3:H521)</f>
        <v>0.54073550842648466</v>
      </c>
      <c r="J521" s="23">
        <v>1.2999999999999999E-3</v>
      </c>
      <c r="Q521" s="7">
        <f t="shared" si="33"/>
        <v>9.5704755679187713E-5</v>
      </c>
      <c r="R521" s="7">
        <f t="shared" si="32"/>
        <v>1.0431090636485241E-3</v>
      </c>
    </row>
    <row r="522" spans="1:18" x14ac:dyDescent="0.25">
      <c r="A522" s="22">
        <v>45329</v>
      </c>
      <c r="B522" s="12">
        <v>242.35</v>
      </c>
      <c r="C522" s="13">
        <v>1.4E-3</v>
      </c>
      <c r="D522" s="7">
        <v>440</v>
      </c>
      <c r="E522" s="7">
        <v>1.2999999999999999E-3</v>
      </c>
      <c r="F522" s="7">
        <v>354</v>
      </c>
      <c r="G522" s="8">
        <f t="shared" si="34"/>
        <v>0.96521754277873972</v>
      </c>
      <c r="H522" s="9">
        <f t="shared" si="35"/>
        <v>1.0544176389963192E-3</v>
      </c>
      <c r="I522" s="10">
        <f>SUM($H$3:H522)</f>
        <v>0.54178992606548093</v>
      </c>
      <c r="J522" s="23">
        <v>1.2999999999999999E-3</v>
      </c>
      <c r="Q522" s="7">
        <f t="shared" si="33"/>
        <v>9.57143271118989E-5</v>
      </c>
      <c r="R522" s="7">
        <f t="shared" si="32"/>
        <v>1.0432133849870228E-3</v>
      </c>
    </row>
    <row r="523" spans="1:18" x14ac:dyDescent="0.25">
      <c r="A523" s="22">
        <v>45330</v>
      </c>
      <c r="B523" s="12">
        <v>240.28</v>
      </c>
      <c r="C523" s="13">
        <v>-8.5000000000000006E-3</v>
      </c>
      <c r="D523" s="7">
        <v>439</v>
      </c>
      <c r="E523" s="7">
        <v>1.2999999999999999E-3</v>
      </c>
      <c r="F523" s="7">
        <v>351</v>
      </c>
      <c r="G523" s="8">
        <f t="shared" si="34"/>
        <v>0.96550716596427943</v>
      </c>
      <c r="H523" s="9">
        <f t="shared" si="35"/>
        <v>1.0547340275636221E-3</v>
      </c>
      <c r="I523" s="10">
        <f>SUM($H$3:H523)</f>
        <v>0.54284466009304455</v>
      </c>
      <c r="J523" s="23">
        <v>1.2999999999999999E-3</v>
      </c>
      <c r="Q523" s="7">
        <f t="shared" si="33"/>
        <v>9.5723899501849095E-5</v>
      </c>
      <c r="R523" s="7">
        <f t="shared" si="32"/>
        <v>1.0433177167586986E-3</v>
      </c>
    </row>
    <row r="524" spans="1:18" x14ac:dyDescent="0.25">
      <c r="A524" s="22">
        <v>45331</v>
      </c>
      <c r="B524" s="12">
        <v>240.78</v>
      </c>
      <c r="C524" s="13">
        <v>2.0999999999999999E-3</v>
      </c>
      <c r="D524" s="7">
        <v>438</v>
      </c>
      <c r="E524" s="7">
        <v>1.2999999999999999E-3</v>
      </c>
      <c r="F524" s="7">
        <v>308</v>
      </c>
      <c r="G524" s="8">
        <f t="shared" si="34"/>
        <v>0.96966799419203187</v>
      </c>
      <c r="H524" s="9">
        <f t="shared" si="35"/>
        <v>1.0592793766499489E-3</v>
      </c>
      <c r="I524" s="10">
        <f>SUM($H$3:H524)</f>
        <v>0.54390393946969451</v>
      </c>
      <c r="J524" s="23">
        <v>1.2999999999999999E-3</v>
      </c>
      <c r="Q524" s="7">
        <f t="shared" si="33"/>
        <v>9.573347284913398E-5</v>
      </c>
      <c r="R524" s="7">
        <f t="shared" si="32"/>
        <v>1.0434220589645949E-3</v>
      </c>
    </row>
    <row r="525" spans="1:18" x14ac:dyDescent="0.25">
      <c r="A525" s="22">
        <v>45334</v>
      </c>
      <c r="B525" s="12">
        <v>239.32</v>
      </c>
      <c r="C525" s="13">
        <v>-6.1000000000000004E-3</v>
      </c>
      <c r="D525" s="7">
        <v>437</v>
      </c>
      <c r="E525" s="7">
        <v>1.2999999999999999E-3</v>
      </c>
      <c r="F525" s="7">
        <v>301</v>
      </c>
      <c r="G525" s="8">
        <f t="shared" si="34"/>
        <v>0.97034703337647699</v>
      </c>
      <c r="H525" s="9">
        <f t="shared" si="35"/>
        <v>1.0600211689008308E-3</v>
      </c>
      <c r="I525" s="10">
        <f>SUM($H$3:H525)</f>
        <v>0.54496396063859531</v>
      </c>
      <c r="J525" s="23">
        <v>1.2999999999999999E-3</v>
      </c>
      <c r="Q525" s="7">
        <f t="shared" si="33"/>
        <v>9.5743047153849369E-5</v>
      </c>
      <c r="R525" s="7">
        <f t="shared" si="32"/>
        <v>1.0435264116057555E-3</v>
      </c>
    </row>
    <row r="526" spans="1:18" x14ac:dyDescent="0.25">
      <c r="A526" s="22">
        <v>45335</v>
      </c>
      <c r="B526" s="12">
        <v>240.59</v>
      </c>
      <c r="C526" s="13">
        <v>5.3E-3</v>
      </c>
      <c r="D526" s="7">
        <v>436</v>
      </c>
      <c r="E526" s="7">
        <v>1.2999999999999999E-3</v>
      </c>
      <c r="F526" s="7">
        <v>169</v>
      </c>
      <c r="G526" s="8">
        <f t="shared" si="34"/>
        <v>0.98324117302472391</v>
      </c>
      <c r="H526" s="9">
        <f t="shared" si="35"/>
        <v>1.0741069140123968E-3</v>
      </c>
      <c r="I526" s="10">
        <f>SUM($H$3:H526)</f>
        <v>0.54603806755260775</v>
      </c>
      <c r="J526" s="23">
        <v>1.2999999999999999E-3</v>
      </c>
      <c r="Q526" s="7">
        <f t="shared" si="33"/>
        <v>9.5752622416090985E-5</v>
      </c>
      <c r="R526" s="7">
        <f t="shared" si="32"/>
        <v>1.0436307746832239E-3</v>
      </c>
    </row>
    <row r="527" spans="1:18" x14ac:dyDescent="0.25">
      <c r="A527" s="22">
        <v>45336</v>
      </c>
      <c r="B527" s="12">
        <v>241.55</v>
      </c>
      <c r="C527" s="13">
        <v>4.0000000000000001E-3</v>
      </c>
      <c r="D527" s="7">
        <v>435</v>
      </c>
      <c r="E527" s="7">
        <v>1.2999999999999999E-3</v>
      </c>
      <c r="F527" s="7">
        <v>144</v>
      </c>
      <c r="G527" s="8">
        <f t="shared" si="34"/>
        <v>0.98570247436909231</v>
      </c>
      <c r="H527" s="9">
        <f t="shared" si="35"/>
        <v>1.0767956752888608E-3</v>
      </c>
      <c r="I527" s="10">
        <f>SUM($H$3:H527)</f>
        <v>0.5471148632278966</v>
      </c>
      <c r="J527" s="23">
        <v>1.2999999999999999E-3</v>
      </c>
      <c r="Q527" s="7">
        <f t="shared" si="33"/>
        <v>9.5762198635954577E-5</v>
      </c>
      <c r="R527" s="7">
        <f t="shared" si="32"/>
        <v>1.0437351481980435E-3</v>
      </c>
    </row>
    <row r="528" spans="1:18" x14ac:dyDescent="0.25">
      <c r="A528" s="22">
        <v>45337</v>
      </c>
      <c r="B528" s="12">
        <v>242.72</v>
      </c>
      <c r="C528" s="13">
        <v>4.7999999999999996E-3</v>
      </c>
      <c r="D528" s="7">
        <v>434</v>
      </c>
      <c r="E528" s="7">
        <v>1.4E-3</v>
      </c>
      <c r="F528" s="7">
        <v>740</v>
      </c>
      <c r="G528" s="8">
        <f t="shared" si="34"/>
        <v>0.92866825753330562</v>
      </c>
      <c r="H528" s="9">
        <f t="shared" si="35"/>
        <v>1.0144906698443216E-3</v>
      </c>
      <c r="I528" s="10">
        <f>SUM($H$3:H528)</f>
        <v>0.54812935389774087</v>
      </c>
      <c r="J528" s="23">
        <v>1.4E-3</v>
      </c>
      <c r="Q528" s="7">
        <f t="shared" si="33"/>
        <v>9.5771775813535933E-5</v>
      </c>
      <c r="R528" s="7">
        <f t="shared" si="32"/>
        <v>1.0438395321512588E-3</v>
      </c>
    </row>
    <row r="529" spans="1:18" x14ac:dyDescent="0.25">
      <c r="A529" s="22">
        <v>45338</v>
      </c>
      <c r="B529" s="12">
        <v>243.99</v>
      </c>
      <c r="C529" s="13">
        <v>5.1999999999999998E-3</v>
      </c>
      <c r="D529" s="7">
        <v>433</v>
      </c>
      <c r="E529" s="7">
        <v>1.4E-3</v>
      </c>
      <c r="F529" s="7">
        <v>680</v>
      </c>
      <c r="G529" s="8">
        <f t="shared" si="34"/>
        <v>0.93425729688523884</v>
      </c>
      <c r="H529" s="9">
        <f t="shared" si="35"/>
        <v>1.0205962174711883E-3</v>
      </c>
      <c r="I529" s="10">
        <f>SUM($H$3:H529)</f>
        <v>0.54914995011521206</v>
      </c>
      <c r="J529" s="23">
        <v>1.4E-3</v>
      </c>
      <c r="Q529" s="7">
        <f t="shared" si="33"/>
        <v>9.578135394893083E-5</v>
      </c>
      <c r="R529" s="7">
        <f t="shared" si="32"/>
        <v>1.0439439265439133E-3</v>
      </c>
    </row>
    <row r="530" spans="1:18" x14ac:dyDescent="0.25">
      <c r="A530" s="22">
        <v>45341</v>
      </c>
      <c r="B530" s="12">
        <v>245.04</v>
      </c>
      <c r="C530" s="13">
        <v>4.3E-3</v>
      </c>
      <c r="D530" s="7">
        <v>432</v>
      </c>
      <c r="E530" s="7">
        <v>1.4E-3</v>
      </c>
      <c r="F530" s="7">
        <v>618</v>
      </c>
      <c r="G530" s="8">
        <f t="shared" si="34"/>
        <v>0.94006797715916646</v>
      </c>
      <c r="H530" s="9">
        <f t="shared" si="35"/>
        <v>1.0269438888549458E-3</v>
      </c>
      <c r="I530" s="10">
        <f>SUM($H$3:H530)</f>
        <v>0.550176894004067</v>
      </c>
      <c r="J530" s="23">
        <v>1.4E-3</v>
      </c>
      <c r="Q530" s="7">
        <f t="shared" si="33"/>
        <v>9.5790933042235043E-5</v>
      </c>
      <c r="R530" s="7">
        <f t="shared" si="32"/>
        <v>1.0440483313770507E-3</v>
      </c>
    </row>
    <row r="531" spans="1:18" x14ac:dyDescent="0.25">
      <c r="A531" s="22">
        <v>45342</v>
      </c>
      <c r="B531" s="12">
        <v>245.37</v>
      </c>
      <c r="C531" s="13">
        <v>1.2999999999999999E-3</v>
      </c>
      <c r="D531" s="7">
        <v>431</v>
      </c>
      <c r="E531" s="7">
        <v>1.4E-3</v>
      </c>
      <c r="F531" s="7">
        <v>550</v>
      </c>
      <c r="G531" s="8">
        <f t="shared" si="34"/>
        <v>0.94648254494938455</v>
      </c>
      <c r="H531" s="9">
        <f t="shared" si="35"/>
        <v>1.0339512557176241E-3</v>
      </c>
      <c r="I531" s="10">
        <f>SUM($H$3:H531)</f>
        <v>0.55121084525978459</v>
      </c>
      <c r="J531" s="23">
        <v>1.4E-3</v>
      </c>
      <c r="Q531" s="7">
        <f t="shared" si="33"/>
        <v>9.5800513093544388E-5</v>
      </c>
      <c r="R531" s="7">
        <f t="shared" si="32"/>
        <v>1.0441527466517159E-3</v>
      </c>
    </row>
    <row r="532" spans="1:18" x14ac:dyDescent="0.25">
      <c r="A532" s="22">
        <v>45343</v>
      </c>
      <c r="B532" s="12">
        <v>243.87</v>
      </c>
      <c r="C532" s="13">
        <v>-6.1000000000000004E-3</v>
      </c>
      <c r="D532" s="7">
        <v>430</v>
      </c>
      <c r="E532" s="7">
        <v>1.4E-3</v>
      </c>
      <c r="F532" s="7">
        <v>440</v>
      </c>
      <c r="G532" s="8">
        <f t="shared" si="34"/>
        <v>0.95695185203630329</v>
      </c>
      <c r="H532" s="9">
        <f t="shared" si="35"/>
        <v>1.0453880785801016E-3</v>
      </c>
      <c r="I532" s="10">
        <f>SUM($H$3:H532)</f>
        <v>0.55225623333836471</v>
      </c>
      <c r="J532" s="23">
        <v>1.4E-3</v>
      </c>
      <c r="Q532" s="7">
        <f t="shared" si="33"/>
        <v>9.5810094102954683E-5</v>
      </c>
      <c r="R532" s="7">
        <f t="shared" si="32"/>
        <v>1.0442571723689527E-3</v>
      </c>
    </row>
    <row r="533" spans="1:18" x14ac:dyDescent="0.25">
      <c r="A533" s="22">
        <v>45344</v>
      </c>
      <c r="B533" s="12">
        <v>245.79</v>
      </c>
      <c r="C533" s="13">
        <v>7.9000000000000008E-3</v>
      </c>
      <c r="D533" s="7">
        <v>429</v>
      </c>
      <c r="E533" s="7">
        <v>1.4E-3</v>
      </c>
      <c r="F533" s="7">
        <v>282</v>
      </c>
      <c r="G533" s="8">
        <f t="shared" si="34"/>
        <v>0.97219253769052694</v>
      </c>
      <c r="H533" s="9">
        <f t="shared" si="35"/>
        <v>1.0620372245725668E-3</v>
      </c>
      <c r="I533" s="10">
        <f>SUM($H$3:H533)</f>
        <v>0.55331827056293725</v>
      </c>
      <c r="J533" s="23">
        <v>1.4E-3</v>
      </c>
      <c r="Q533" s="7">
        <f t="shared" si="33"/>
        <v>9.5819676070561742E-5</v>
      </c>
      <c r="R533" s="7">
        <f t="shared" si="32"/>
        <v>1.0443616085298057E-3</v>
      </c>
    </row>
    <row r="534" spans="1:18" x14ac:dyDescent="0.25">
      <c r="A534" s="22">
        <v>45345</v>
      </c>
      <c r="B534" s="12">
        <v>245.69</v>
      </c>
      <c r="C534" s="13">
        <v>-4.0000000000000002E-4</v>
      </c>
      <c r="D534" s="7">
        <v>428</v>
      </c>
      <c r="E534" s="7">
        <v>1.4E-3</v>
      </c>
      <c r="F534" s="7">
        <v>50</v>
      </c>
      <c r="G534" s="8">
        <f t="shared" si="34"/>
        <v>0.99501223042301012</v>
      </c>
      <c r="H534" s="9">
        <f t="shared" si="35"/>
        <v>1.0869657877898662E-3</v>
      </c>
      <c r="I534" s="10">
        <f>SUM($H$3:H534)</f>
        <v>0.55440523635072714</v>
      </c>
      <c r="J534" s="23">
        <v>1.4E-3</v>
      </c>
      <c r="Q534" s="7">
        <f t="shared" si="33"/>
        <v>9.5829258996461397E-5</v>
      </c>
      <c r="R534" s="7">
        <f t="shared" si="32"/>
        <v>1.0444660551353195E-3</v>
      </c>
    </row>
    <row r="535" spans="1:18" x14ac:dyDescent="0.25">
      <c r="A535" s="22">
        <v>45348</v>
      </c>
      <c r="B535" s="12">
        <v>244.87</v>
      </c>
      <c r="C535" s="13">
        <v>-3.3E-3</v>
      </c>
      <c r="D535" s="7">
        <v>427</v>
      </c>
      <c r="E535" s="7">
        <v>1.4E-3</v>
      </c>
      <c r="F535" s="7">
        <v>48</v>
      </c>
      <c r="G535" s="8">
        <f t="shared" si="34"/>
        <v>0.99521126272344207</v>
      </c>
      <c r="H535" s="9">
        <f t="shared" si="35"/>
        <v>1.0871832135607462E-3</v>
      </c>
      <c r="I535" s="10">
        <f>SUM($H$3:H535)</f>
        <v>0.55549241956428785</v>
      </c>
      <c r="J535" s="23">
        <v>1.4E-3</v>
      </c>
      <c r="Q535" s="7">
        <f t="shared" si="33"/>
        <v>9.5838842880749463E-5</v>
      </c>
      <c r="R535" s="7">
        <f t="shared" si="32"/>
        <v>1.0445705121865378E-3</v>
      </c>
    </row>
    <row r="536" spans="1:18" x14ac:dyDescent="0.25">
      <c r="A536" s="22">
        <v>45349</v>
      </c>
      <c r="B536" s="12">
        <v>245.5</v>
      </c>
      <c r="C536" s="13">
        <v>2.5999999999999999E-3</v>
      </c>
      <c r="D536" s="7">
        <v>426</v>
      </c>
      <c r="E536" s="7">
        <v>1.5E-3</v>
      </c>
      <c r="F536" s="7">
        <v>627</v>
      </c>
      <c r="G536" s="8">
        <f t="shared" si="34"/>
        <v>0.93922225432524131</v>
      </c>
      <c r="H536" s="9">
        <f t="shared" si="35"/>
        <v>1.0260200089685261E-3</v>
      </c>
      <c r="I536" s="10">
        <f>SUM($H$3:H536)</f>
        <v>0.55651843957325642</v>
      </c>
      <c r="J536" s="23">
        <v>1.5E-3</v>
      </c>
      <c r="Q536" s="7">
        <f t="shared" si="33"/>
        <v>9.5848427723521797E-5</v>
      </c>
      <c r="R536" s="7">
        <f t="shared" si="32"/>
        <v>1.0446749796845063E-3</v>
      </c>
    </row>
    <row r="537" spans="1:18" x14ac:dyDescent="0.25">
      <c r="A537" s="22">
        <v>45350</v>
      </c>
      <c r="B537" s="12">
        <v>243.07</v>
      </c>
      <c r="C537" s="13">
        <v>-9.9000000000000008E-3</v>
      </c>
      <c r="D537" s="7">
        <v>425</v>
      </c>
      <c r="E537" s="7">
        <v>1.5E-3</v>
      </c>
      <c r="F537" s="7">
        <v>324</v>
      </c>
      <c r="G537" s="8">
        <f t="shared" si="34"/>
        <v>0.96811768846008039</v>
      </c>
      <c r="H537" s="9">
        <f t="shared" si="35"/>
        <v>1.0575858001895576E-3</v>
      </c>
      <c r="I537" s="10">
        <f>SUM($H$3:H537)</f>
        <v>0.55757602537344597</v>
      </c>
      <c r="J537" s="23">
        <v>1.5E-3</v>
      </c>
      <c r="Q537" s="7">
        <f t="shared" si="33"/>
        <v>9.5858013524874284E-5</v>
      </c>
      <c r="R537" s="7">
        <f t="shared" si="32"/>
        <v>1.0447794576302692E-3</v>
      </c>
    </row>
    <row r="538" spans="1:18" x14ac:dyDescent="0.25">
      <c r="A538" s="22">
        <v>45351</v>
      </c>
      <c r="B538" s="12">
        <v>243.25</v>
      </c>
      <c r="C538" s="13">
        <v>6.9999999999999999E-4</v>
      </c>
      <c r="D538" s="7">
        <v>424</v>
      </c>
      <c r="E538" s="7">
        <v>1.5E-3</v>
      </c>
      <c r="F538" s="7">
        <v>2</v>
      </c>
      <c r="G538" s="8">
        <f t="shared" si="34"/>
        <v>0.99980001000000007</v>
      </c>
      <c r="H538" s="9">
        <f t="shared" si="35"/>
        <v>1.0921960276206416E-3</v>
      </c>
      <c r="I538" s="10">
        <f>SUM($H$3:H538)</f>
        <v>0.55866822140106664</v>
      </c>
      <c r="J538" s="23">
        <v>1.5E-3</v>
      </c>
      <c r="Q538" s="7">
        <f t="shared" si="33"/>
        <v>9.5867600284902781E-5</v>
      </c>
      <c r="R538" s="7">
        <f t="shared" si="32"/>
        <v>1.0448839460248719E-3</v>
      </c>
    </row>
    <row r="539" spans="1:18" x14ac:dyDescent="0.25">
      <c r="A539" s="22">
        <v>45352</v>
      </c>
      <c r="B539" s="12">
        <v>246.85</v>
      </c>
      <c r="C539" s="13">
        <v>1.4800000000000001E-2</v>
      </c>
      <c r="D539" s="7">
        <v>423</v>
      </c>
      <c r="E539" s="7">
        <v>1.6000000000000001E-3</v>
      </c>
      <c r="F539" s="7">
        <v>502</v>
      </c>
      <c r="G539" s="8">
        <f t="shared" si="34"/>
        <v>0.95103681037460397</v>
      </c>
      <c r="H539" s="9">
        <f t="shared" si="35"/>
        <v>1.0389264013031445E-3</v>
      </c>
      <c r="I539" s="10">
        <f>SUM($H$3:H539)</f>
        <v>0.55970714780236974</v>
      </c>
      <c r="J539" s="23">
        <v>1.6000000000000001E-3</v>
      </c>
      <c r="Q539" s="7">
        <f t="shared" si="33"/>
        <v>9.5877188003703145E-5</v>
      </c>
      <c r="R539" s="7">
        <f t="shared" si="32"/>
        <v>1.0449884448693587E-3</v>
      </c>
    </row>
    <row r="540" spans="1:18" x14ac:dyDescent="0.25">
      <c r="A540" s="22">
        <v>45353</v>
      </c>
      <c r="B540" s="12">
        <v>247.31</v>
      </c>
      <c r="C540" s="13">
        <v>1.9E-3</v>
      </c>
      <c r="D540" s="7">
        <v>422</v>
      </c>
      <c r="E540" s="7">
        <v>1.6000000000000001E-3</v>
      </c>
      <c r="F540" s="7">
        <v>237</v>
      </c>
      <c r="G540" s="8">
        <f t="shared" si="34"/>
        <v>0.97657748208593576</v>
      </c>
      <c r="H540" s="9">
        <f t="shared" si="35"/>
        <v>1.0668274014100352E-3</v>
      </c>
      <c r="I540" s="10">
        <f>SUM($H$3:H540)</f>
        <v>0.56077397520377981</v>
      </c>
      <c r="J540" s="23">
        <v>1.6000000000000001E-3</v>
      </c>
      <c r="Q540" s="7">
        <f t="shared" si="33"/>
        <v>9.5886776681371286E-5</v>
      </c>
      <c r="R540" s="7">
        <f t="shared" si="32"/>
        <v>1.0450929541647753E-3</v>
      </c>
    </row>
    <row r="541" spans="1:18" x14ac:dyDescent="0.25">
      <c r="A541" s="22">
        <v>45355</v>
      </c>
      <c r="B541" s="12">
        <v>247.83</v>
      </c>
      <c r="C541" s="13">
        <v>2.0999999999999999E-3</v>
      </c>
      <c r="D541" s="7">
        <v>421</v>
      </c>
      <c r="E541" s="7">
        <v>1.6999999999999999E-3</v>
      </c>
      <c r="F541" s="7">
        <v>954</v>
      </c>
      <c r="G541" s="8">
        <f t="shared" si="34"/>
        <v>0.90900492178169734</v>
      </c>
      <c r="H541" s="9">
        <f t="shared" si="35"/>
        <v>9.9301015675883194E-4</v>
      </c>
      <c r="I541" s="10">
        <f>SUM($H$3:H541)</f>
        <v>0.5617669853605386</v>
      </c>
      <c r="J541" s="23">
        <v>1.6999999999999999E-3</v>
      </c>
      <c r="Q541" s="7">
        <f t="shared" si="33"/>
        <v>9.589636631800309E-5</v>
      </c>
      <c r="R541" s="7">
        <f t="shared" si="32"/>
        <v>1.0451974739121663E-3</v>
      </c>
    </row>
    <row r="542" spans="1:18" x14ac:dyDescent="0.25">
      <c r="A542" s="22">
        <v>45356</v>
      </c>
      <c r="B542" s="12">
        <v>247.34</v>
      </c>
      <c r="C542" s="13">
        <v>-2E-3</v>
      </c>
      <c r="D542" s="7">
        <v>420</v>
      </c>
      <c r="E542" s="7">
        <v>1.6999999999999999E-3</v>
      </c>
      <c r="F542" s="7">
        <v>711</v>
      </c>
      <c r="G542" s="8">
        <f t="shared" si="34"/>
        <v>0.93136543936477734</v>
      </c>
      <c r="H542" s="9">
        <f t="shared" si="35"/>
        <v>1.0174371103850693E-3</v>
      </c>
      <c r="I542" s="10">
        <f>SUM($H$3:H542)</f>
        <v>0.56278442247092364</v>
      </c>
      <c r="J542" s="23">
        <v>1.6999999999999999E-3</v>
      </c>
      <c r="Q542" s="7">
        <f t="shared" si="33"/>
        <v>9.5905956913694439E-5</v>
      </c>
      <c r="R542" s="7">
        <f t="shared" si="32"/>
        <v>1.0453020041125774E-3</v>
      </c>
    </row>
    <row r="543" spans="1:18" x14ac:dyDescent="0.25">
      <c r="A543" s="22">
        <v>45357</v>
      </c>
      <c r="B543" s="12">
        <v>248.62</v>
      </c>
      <c r="C543" s="13">
        <v>5.1999999999999998E-3</v>
      </c>
      <c r="D543" s="7">
        <v>419</v>
      </c>
      <c r="E543" s="7">
        <v>1.6999999999999999E-3</v>
      </c>
      <c r="F543" s="7">
        <v>667</v>
      </c>
      <c r="G543" s="8">
        <f t="shared" si="34"/>
        <v>0.93547268197058664</v>
      </c>
      <c r="H543" s="9">
        <f t="shared" si="35"/>
        <v>1.0219239217610155E-3</v>
      </c>
      <c r="I543" s="10">
        <f>SUM($H$3:H543)</f>
        <v>0.56380634639268468</v>
      </c>
      <c r="J543" s="23">
        <v>1.6999999999999999E-3</v>
      </c>
      <c r="Q543" s="7">
        <f t="shared" si="33"/>
        <v>9.5915548468541301E-5</v>
      </c>
      <c r="R543" s="7">
        <f t="shared" si="32"/>
        <v>1.0454065447670542E-3</v>
      </c>
    </row>
    <row r="544" spans="1:18" x14ac:dyDescent="0.25">
      <c r="A544" s="22">
        <v>45358</v>
      </c>
      <c r="B544" s="12">
        <v>248.67</v>
      </c>
      <c r="C544" s="13">
        <v>2.0000000000000001E-4</v>
      </c>
      <c r="D544" s="7">
        <v>418</v>
      </c>
      <c r="E544" s="7">
        <v>1.6999999999999999E-3</v>
      </c>
      <c r="F544" s="7">
        <v>333</v>
      </c>
      <c r="G544" s="8">
        <f t="shared" si="34"/>
        <v>0.96724673098152469</v>
      </c>
      <c r="H544" s="9">
        <f t="shared" si="35"/>
        <v>1.0566343536114514E-3</v>
      </c>
      <c r="I544" s="10">
        <f>SUM($H$3:H544)</f>
        <v>0.56486298074629615</v>
      </c>
      <c r="J544" s="23">
        <v>1.6999999999999999E-3</v>
      </c>
      <c r="Q544" s="7">
        <f t="shared" si="33"/>
        <v>9.5925140982639558E-5</v>
      </c>
      <c r="R544" s="7">
        <f t="shared" si="32"/>
        <v>1.0455110958766417E-3</v>
      </c>
    </row>
    <row r="545" spans="1:18" x14ac:dyDescent="0.25">
      <c r="A545" s="22">
        <v>45362</v>
      </c>
      <c r="B545" s="12">
        <v>247.45</v>
      </c>
      <c r="C545" s="13">
        <v>-4.8999999999999998E-3</v>
      </c>
      <c r="D545" s="7">
        <v>417</v>
      </c>
      <c r="E545" s="7">
        <v>1.6999999999999999E-3</v>
      </c>
      <c r="F545" s="7">
        <v>292</v>
      </c>
      <c r="G545" s="8">
        <f t="shared" si="34"/>
        <v>0.97122078252283595</v>
      </c>
      <c r="H545" s="9">
        <f t="shared" si="35"/>
        <v>1.0609756651373233E-3</v>
      </c>
      <c r="I545" s="10">
        <f>SUM($H$3:H545)</f>
        <v>0.56592395641143345</v>
      </c>
      <c r="J545" s="23">
        <v>1.6999999999999999E-3</v>
      </c>
      <c r="Q545" s="7">
        <f t="shared" si="33"/>
        <v>9.5934734456085176E-5</v>
      </c>
      <c r="R545" s="7">
        <f t="shared" si="32"/>
        <v>1.0456156574423863E-3</v>
      </c>
    </row>
    <row r="546" spans="1:18" x14ac:dyDescent="0.25">
      <c r="A546" s="22">
        <v>45363</v>
      </c>
      <c r="B546" s="12">
        <v>247.42</v>
      </c>
      <c r="C546" s="13">
        <v>-1E-4</v>
      </c>
      <c r="D546" s="7">
        <v>416</v>
      </c>
      <c r="E546" s="7">
        <v>1.6999999999999999E-3</v>
      </c>
      <c r="F546" s="7">
        <v>109</v>
      </c>
      <c r="G546" s="8">
        <f t="shared" si="34"/>
        <v>0.98915865062116159</v>
      </c>
      <c r="H546" s="9">
        <f t="shared" si="35"/>
        <v>1.0805712523397821E-3</v>
      </c>
      <c r="I546" s="10">
        <f>SUM($H$3:H546)</f>
        <v>0.56700452766377318</v>
      </c>
      <c r="J546" s="23">
        <v>1.6999999999999999E-3</v>
      </c>
      <c r="Q546" s="7">
        <f t="shared" si="33"/>
        <v>9.5944328888974081E-5</v>
      </c>
      <c r="R546" s="7">
        <f t="shared" si="32"/>
        <v>1.0457202294653328E-3</v>
      </c>
    </row>
    <row r="547" spans="1:18" x14ac:dyDescent="0.25">
      <c r="A547" s="22">
        <v>45364</v>
      </c>
      <c r="B547" s="12">
        <v>243.71</v>
      </c>
      <c r="C547" s="13">
        <v>-1.4999999999999999E-2</v>
      </c>
      <c r="D547" s="7">
        <v>415</v>
      </c>
      <c r="E547" s="7">
        <v>1.8E-3</v>
      </c>
      <c r="F547" s="7">
        <v>951</v>
      </c>
      <c r="G547" s="8">
        <f t="shared" si="34"/>
        <v>0.90927767780761837</v>
      </c>
      <c r="H547" s="9">
        <f t="shared" si="35"/>
        <v>9.9330811939640057E-4</v>
      </c>
      <c r="I547" s="10">
        <f>SUM($H$3:H547)</f>
        <v>0.56799783578316954</v>
      </c>
      <c r="J547" s="23">
        <v>1.8E-3</v>
      </c>
      <c r="Q547" s="7">
        <f t="shared" si="33"/>
        <v>9.5953924281402209E-5</v>
      </c>
      <c r="R547" s="7">
        <f t="shared" si="32"/>
        <v>1.0458248119465273E-3</v>
      </c>
    </row>
    <row r="548" spans="1:18" x14ac:dyDescent="0.25">
      <c r="A548" s="22">
        <v>45365</v>
      </c>
      <c r="B548" s="12">
        <v>245.39</v>
      </c>
      <c r="C548" s="13">
        <v>6.8999999999999999E-3</v>
      </c>
      <c r="D548" s="7">
        <v>414</v>
      </c>
      <c r="E548" s="7">
        <v>1.8E-3</v>
      </c>
      <c r="F548" s="7">
        <v>913</v>
      </c>
      <c r="G548" s="8">
        <f t="shared" si="34"/>
        <v>0.91273967972375847</v>
      </c>
      <c r="H548" s="9">
        <f t="shared" si="35"/>
        <v>9.9709006048722239E-4</v>
      </c>
      <c r="I548" s="10">
        <f>SUM($H$3:H548)</f>
        <v>0.56899492584365674</v>
      </c>
      <c r="J548" s="23">
        <v>1.8E-3</v>
      </c>
      <c r="Q548" s="7">
        <f t="shared" si="33"/>
        <v>9.5963520633465528E-5</v>
      </c>
      <c r="R548" s="7">
        <f t="shared" si="32"/>
        <v>1.0459294048870158E-3</v>
      </c>
    </row>
    <row r="549" spans="1:18" x14ac:dyDescent="0.25">
      <c r="A549" s="22">
        <v>45366</v>
      </c>
      <c r="B549" s="12">
        <v>243.8</v>
      </c>
      <c r="C549" s="13">
        <v>-6.4999999999999997E-3</v>
      </c>
      <c r="D549" s="7">
        <v>413</v>
      </c>
      <c r="E549" s="7">
        <v>1.8E-3</v>
      </c>
      <c r="F549" s="7">
        <v>685</v>
      </c>
      <c r="G549" s="8">
        <f t="shared" si="34"/>
        <v>0.93379026165318391</v>
      </c>
      <c r="H549" s="9">
        <f t="shared" si="35"/>
        <v>1.0200860214118691E-3</v>
      </c>
      <c r="I549" s="10">
        <f>SUM($H$3:H549)</f>
        <v>0.57001501186506864</v>
      </c>
      <c r="J549" s="23">
        <v>1.8E-3</v>
      </c>
      <c r="Q549" s="7">
        <f t="shared" si="33"/>
        <v>9.5973117945260069E-5</v>
      </c>
      <c r="R549" s="7">
        <f t="shared" si="32"/>
        <v>1.0460340082878447E-3</v>
      </c>
    </row>
    <row r="550" spans="1:18" x14ac:dyDescent="0.25">
      <c r="A550" s="22">
        <v>45369</v>
      </c>
      <c r="B550" s="12">
        <v>243.98</v>
      </c>
      <c r="C550" s="13">
        <v>6.9999999999999999E-4</v>
      </c>
      <c r="D550" s="7">
        <v>412</v>
      </c>
      <c r="E550" s="7">
        <v>1.8E-3</v>
      </c>
      <c r="F550" s="7">
        <v>626</v>
      </c>
      <c r="G550" s="8">
        <f t="shared" si="34"/>
        <v>0.93931618594383581</v>
      </c>
      <c r="H550" s="9">
        <f t="shared" si="35"/>
        <v>1.0261226212306494E-3</v>
      </c>
      <c r="I550" s="10">
        <f>SUM($H$3:H550)</f>
        <v>0.57104113448629934</v>
      </c>
      <c r="J550" s="23">
        <v>1.8E-3</v>
      </c>
      <c r="Q550" s="7">
        <f t="shared" si="33"/>
        <v>9.5982716216881758E-5</v>
      </c>
      <c r="R550" s="7">
        <f t="shared" si="32"/>
        <v>1.0461386221500596E-3</v>
      </c>
    </row>
    <row r="551" spans="1:18" x14ac:dyDescent="0.25">
      <c r="A551" s="22">
        <v>45370</v>
      </c>
      <c r="B551" s="12">
        <v>241.6</v>
      </c>
      <c r="C551" s="13">
        <v>-9.7999999999999997E-3</v>
      </c>
      <c r="D551" s="7">
        <v>411</v>
      </c>
      <c r="E551" s="7">
        <v>1.8E-3</v>
      </c>
      <c r="F551" s="7">
        <v>597</v>
      </c>
      <c r="G551" s="8">
        <f t="shared" si="34"/>
        <v>0.94204429313408733</v>
      </c>
      <c r="H551" s="9">
        <f t="shared" si="35"/>
        <v>1.0291028450817334E-3</v>
      </c>
      <c r="I551" s="10">
        <f>SUM($H$3:H551)</f>
        <v>0.57207023733138107</v>
      </c>
      <c r="J551" s="23">
        <v>1.8E-3</v>
      </c>
      <c r="Q551" s="7">
        <f t="shared" si="33"/>
        <v>9.5992315448426588E-5</v>
      </c>
      <c r="R551" s="7">
        <f t="shared" si="32"/>
        <v>1.046243246474707E-3</v>
      </c>
    </row>
    <row r="552" spans="1:18" x14ac:dyDescent="0.25">
      <c r="A552" s="22">
        <v>45371</v>
      </c>
      <c r="B552" s="12">
        <v>241.58</v>
      </c>
      <c r="C552" s="13">
        <v>-1E-4</v>
      </c>
      <c r="D552" s="7">
        <v>410</v>
      </c>
      <c r="E552" s="7">
        <v>1.8E-3</v>
      </c>
      <c r="F552" s="7">
        <v>549</v>
      </c>
      <c r="G552" s="8">
        <f t="shared" si="34"/>
        <v>0.9465772026696514</v>
      </c>
      <c r="H552" s="9">
        <f t="shared" si="35"/>
        <v>1.0340546611837423E-3</v>
      </c>
      <c r="I552" s="10">
        <f>SUM($H$3:H552)</f>
        <v>0.57310429199256485</v>
      </c>
      <c r="J552" s="23">
        <v>1.8E-3</v>
      </c>
      <c r="Q552" s="7">
        <f t="shared" si="33"/>
        <v>9.6001915639990577E-5</v>
      </c>
      <c r="R552" s="7">
        <f t="shared" si="32"/>
        <v>1.0463478812628331E-3</v>
      </c>
    </row>
    <row r="553" spans="1:18" x14ac:dyDescent="0.25">
      <c r="A553" s="22">
        <v>45372</v>
      </c>
      <c r="B553" s="12">
        <v>243.99</v>
      </c>
      <c r="C553" s="13">
        <v>0.01</v>
      </c>
      <c r="D553" s="7">
        <v>409</v>
      </c>
      <c r="E553" s="7">
        <v>1.8E-3</v>
      </c>
      <c r="F553" s="7">
        <v>544</v>
      </c>
      <c r="G553" s="8">
        <f t="shared" si="34"/>
        <v>0.94705063329070327</v>
      </c>
      <c r="H553" s="9">
        <f t="shared" si="35"/>
        <v>1.0345718436587323E-3</v>
      </c>
      <c r="I553" s="10">
        <f>SUM($H$3:H553)</f>
        <v>0.57413886383622359</v>
      </c>
      <c r="J553" s="23">
        <v>1.8E-3</v>
      </c>
      <c r="Q553" s="7">
        <f t="shared" si="33"/>
        <v>9.6011516791669747E-5</v>
      </c>
      <c r="R553" s="7">
        <f t="shared" si="32"/>
        <v>1.0464525265154849E-3</v>
      </c>
    </row>
    <row r="554" spans="1:18" x14ac:dyDescent="0.25">
      <c r="A554" s="22">
        <v>45373</v>
      </c>
      <c r="B554" s="12">
        <v>244.74</v>
      </c>
      <c r="C554" s="13">
        <v>3.0999999999999999E-3</v>
      </c>
      <c r="D554" s="7">
        <v>408</v>
      </c>
      <c r="E554" s="7">
        <v>1.8E-3</v>
      </c>
      <c r="F554" s="7">
        <v>462</v>
      </c>
      <c r="G554" s="8">
        <f t="shared" si="34"/>
        <v>0.95484876704759614</v>
      </c>
      <c r="H554" s="9">
        <f t="shared" si="35"/>
        <v>1.0430906380445545E-3</v>
      </c>
      <c r="I554" s="10">
        <f>SUM($H$3:H554)</f>
        <v>0.57518195447426812</v>
      </c>
      <c r="J554" s="23">
        <v>1.8E-3</v>
      </c>
      <c r="Q554" s="7">
        <f t="shared" si="33"/>
        <v>9.6021118903560115E-5</v>
      </c>
      <c r="R554" s="7">
        <f t="shared" si="32"/>
        <v>1.0465571822337082E-3</v>
      </c>
    </row>
    <row r="555" spans="1:18" x14ac:dyDescent="0.25">
      <c r="A555" s="22">
        <v>45377</v>
      </c>
      <c r="B555" s="12">
        <v>243.79</v>
      </c>
      <c r="C555" s="13">
        <v>-3.8999999999999998E-3</v>
      </c>
      <c r="D555" s="7">
        <v>407</v>
      </c>
      <c r="E555" s="7">
        <v>1.8E-3</v>
      </c>
      <c r="F555" s="7">
        <v>17</v>
      </c>
      <c r="G555" s="8">
        <f t="shared" si="34"/>
        <v>0.99830135932023834</v>
      </c>
      <c r="H555" s="9">
        <f t="shared" si="35"/>
        <v>1.0905588798882399E-3</v>
      </c>
      <c r="I555" s="10">
        <f>SUM($H$3:H555)</f>
        <v>0.57627251335415641</v>
      </c>
      <c r="J555" s="23">
        <v>1.8E-3</v>
      </c>
      <c r="Q555" s="7">
        <f t="shared" si="33"/>
        <v>9.6030721975757689E-5</v>
      </c>
      <c r="R555" s="7">
        <f t="shared" si="32"/>
        <v>1.0466618484185502E-3</v>
      </c>
    </row>
    <row r="556" spans="1:18" x14ac:dyDescent="0.25">
      <c r="A556" s="22">
        <v>45378</v>
      </c>
      <c r="B556" s="12">
        <v>244.96</v>
      </c>
      <c r="C556" s="13">
        <v>4.7999999999999996E-3</v>
      </c>
      <c r="D556" s="7">
        <v>406</v>
      </c>
      <c r="E556" s="7">
        <v>1.9E-3</v>
      </c>
      <c r="F556" s="7">
        <v>752</v>
      </c>
      <c r="G556" s="8">
        <f t="shared" si="34"/>
        <v>0.92755446834105493</v>
      </c>
      <c r="H556" s="9">
        <f t="shared" si="35"/>
        <v>1.013273950381213E-3</v>
      </c>
      <c r="I556" s="10">
        <f>SUM($H$3:H556)</f>
        <v>0.57728578730453761</v>
      </c>
      <c r="J556" s="23">
        <v>1.9E-3</v>
      </c>
      <c r="Q556" s="7">
        <f t="shared" si="33"/>
        <v>9.6040326008358515E-5</v>
      </c>
      <c r="R556" s="7">
        <f t="shared" si="32"/>
        <v>1.0467665250710571E-3</v>
      </c>
    </row>
    <row r="557" spans="1:18" x14ac:dyDescent="0.25">
      <c r="A557" s="22">
        <v>45379</v>
      </c>
      <c r="B557" s="12">
        <v>246.96</v>
      </c>
      <c r="C557" s="13">
        <v>8.2000000000000007E-3</v>
      </c>
      <c r="D557" s="7">
        <v>405</v>
      </c>
      <c r="E557" s="7">
        <v>1.9E-3</v>
      </c>
      <c r="F557" s="7">
        <v>736</v>
      </c>
      <c r="G557" s="8">
        <f t="shared" si="34"/>
        <v>0.92903981772172117</v>
      </c>
      <c r="H557" s="9">
        <f t="shared" si="35"/>
        <v>1.0148965675816194E-3</v>
      </c>
      <c r="I557" s="10">
        <f>SUM($H$3:H557)</f>
        <v>0.57830068387211919</v>
      </c>
      <c r="J557" s="23">
        <v>1.9E-3</v>
      </c>
      <c r="Q557" s="7">
        <f t="shared" si="33"/>
        <v>9.6049931001458653E-5</v>
      </c>
      <c r="R557" s="7">
        <f t="shared" si="32"/>
        <v>1.0468712121922763E-3</v>
      </c>
    </row>
    <row r="558" spans="1:18" x14ac:dyDescent="0.25">
      <c r="A558" s="22">
        <v>45383</v>
      </c>
      <c r="B558" s="12">
        <v>248.19</v>
      </c>
      <c r="C558" s="13">
        <v>5.0000000000000001E-3</v>
      </c>
      <c r="D558" s="7">
        <v>404</v>
      </c>
      <c r="E558" s="7">
        <v>1.9E-3</v>
      </c>
      <c r="F558" s="7">
        <v>602</v>
      </c>
      <c r="G558" s="8">
        <f t="shared" si="34"/>
        <v>0.94157336518252976</v>
      </c>
      <c r="H558" s="9">
        <f t="shared" si="35"/>
        <v>1.0285883965591865E-3</v>
      </c>
      <c r="I558" s="10">
        <f>SUM($H$3:H558)</f>
        <v>0.57932927226867836</v>
      </c>
      <c r="J558" s="23">
        <v>1.9E-3</v>
      </c>
      <c r="Q558" s="7">
        <f t="shared" si="33"/>
        <v>9.6059536955154164E-5</v>
      </c>
      <c r="R558" s="7">
        <f t="shared" si="32"/>
        <v>1.0469759097832545E-3</v>
      </c>
    </row>
    <row r="559" spans="1:18" x14ac:dyDescent="0.25">
      <c r="A559" s="22">
        <v>45384</v>
      </c>
      <c r="B559" s="12">
        <v>248.65</v>
      </c>
      <c r="C559" s="13">
        <v>1.9E-3</v>
      </c>
      <c r="D559" s="7">
        <v>403</v>
      </c>
      <c r="E559" s="7">
        <v>1.9E-3</v>
      </c>
      <c r="F559" s="7">
        <v>480</v>
      </c>
      <c r="G559" s="8">
        <f t="shared" si="34"/>
        <v>0.95313149940665998</v>
      </c>
      <c r="H559" s="9">
        <f t="shared" si="35"/>
        <v>1.0412146699739081E-3</v>
      </c>
      <c r="I559" s="10">
        <f>SUM($H$3:H559)</f>
        <v>0.58037048693865223</v>
      </c>
      <c r="J559" s="23">
        <v>1.9E-3</v>
      </c>
      <c r="Q559" s="7">
        <f t="shared" si="33"/>
        <v>9.6069143869541122E-5</v>
      </c>
      <c r="R559" s="7">
        <f t="shared" si="32"/>
        <v>1.0470806178450392E-3</v>
      </c>
    </row>
    <row r="560" spans="1:18" x14ac:dyDescent="0.25">
      <c r="A560" s="22">
        <v>45385</v>
      </c>
      <c r="B560" s="12">
        <v>248.59</v>
      </c>
      <c r="C560" s="13">
        <v>-2.0000000000000001E-4</v>
      </c>
      <c r="D560" s="7">
        <v>402</v>
      </c>
      <c r="E560" s="7">
        <v>1.9E-3</v>
      </c>
      <c r="F560" s="7">
        <v>422</v>
      </c>
      <c r="G560" s="8">
        <f t="shared" si="34"/>
        <v>0.95867600284913346</v>
      </c>
      <c r="H560" s="9">
        <f t="shared" si="35"/>
        <v>1.0472715659275284E-3</v>
      </c>
      <c r="I560" s="10">
        <f>SUM($H$3:H560)</f>
        <v>0.58141775850457977</v>
      </c>
      <c r="J560" s="23">
        <v>1.9E-3</v>
      </c>
      <c r="Q560" s="7">
        <f t="shared" si="33"/>
        <v>9.6078751744715601E-5</v>
      </c>
      <c r="R560" s="7">
        <f t="shared" si="32"/>
        <v>1.047185336378677E-3</v>
      </c>
    </row>
    <row r="561" spans="1:18" x14ac:dyDescent="0.25">
      <c r="A561" s="22">
        <v>45386</v>
      </c>
      <c r="B561" s="12">
        <v>249.23</v>
      </c>
      <c r="C561" s="13">
        <v>2.5999999999999999E-3</v>
      </c>
      <c r="D561" s="7">
        <v>401</v>
      </c>
      <c r="E561" s="7">
        <v>1.9E-3</v>
      </c>
      <c r="F561" s="7">
        <v>403</v>
      </c>
      <c r="G561" s="8">
        <f t="shared" si="34"/>
        <v>0.96049931001469235</v>
      </c>
      <c r="H561" s="9">
        <f t="shared" si="35"/>
        <v>1.0492633731124029E-3</v>
      </c>
      <c r="I561" s="10">
        <f>SUM($H$3:H561)</f>
        <v>0.58246702187769217</v>
      </c>
      <c r="J561" s="23">
        <v>1.9E-3</v>
      </c>
      <c r="Q561" s="7">
        <f t="shared" si="33"/>
        <v>9.608836058077366E-5</v>
      </c>
      <c r="R561" s="7">
        <f t="shared" si="32"/>
        <v>1.0472900653852155E-3</v>
      </c>
    </row>
    <row r="562" spans="1:18" x14ac:dyDescent="0.25">
      <c r="A562" s="22">
        <v>45387</v>
      </c>
      <c r="B562" s="12">
        <v>249.05</v>
      </c>
      <c r="C562" s="13">
        <v>-6.9999999999999999E-4</v>
      </c>
      <c r="D562" s="7">
        <v>400</v>
      </c>
      <c r="E562" s="7">
        <v>1.9E-3</v>
      </c>
      <c r="F562" s="7">
        <v>59</v>
      </c>
      <c r="G562" s="8">
        <f t="shared" si="34"/>
        <v>0.99411707753646406</v>
      </c>
      <c r="H562" s="9">
        <f t="shared" si="35"/>
        <v>1.0859879097972478E-3</v>
      </c>
      <c r="I562" s="10">
        <f>SUM($H$3:H562)</f>
        <v>0.58355300978748936</v>
      </c>
      <c r="J562" s="23">
        <v>1.9E-3</v>
      </c>
      <c r="Q562" s="7">
        <f t="shared" si="33"/>
        <v>9.6097970377811442E-5</v>
      </c>
      <c r="R562" s="7">
        <f t="shared" si="32"/>
        <v>1.047394804865702E-3</v>
      </c>
    </row>
    <row r="563" spans="1:18" x14ac:dyDescent="0.25">
      <c r="A563" s="22">
        <v>45390</v>
      </c>
      <c r="B563" s="12">
        <v>250.75</v>
      </c>
      <c r="C563" s="13">
        <v>6.7999999999999996E-3</v>
      </c>
      <c r="D563" s="7">
        <v>399</v>
      </c>
      <c r="E563" s="7">
        <v>2E-3</v>
      </c>
      <c r="F563" s="7">
        <v>345</v>
      </c>
      <c r="G563" s="8">
        <f t="shared" si="34"/>
        <v>0.96608667307444318</v>
      </c>
      <c r="H563" s="9">
        <f t="shared" si="35"/>
        <v>1.0553670895333842E-3</v>
      </c>
      <c r="I563" s="10">
        <f>SUM($H$3:H563)</f>
        <v>0.58460837687702272</v>
      </c>
      <c r="J563" s="23">
        <v>2E-3</v>
      </c>
      <c r="Q563" s="7">
        <f t="shared" si="33"/>
        <v>9.6107581135925033E-5</v>
      </c>
      <c r="R563" s="7">
        <f t="shared" si="32"/>
        <v>1.0474995548211841E-3</v>
      </c>
    </row>
    <row r="564" spans="1:18" x14ac:dyDescent="0.25">
      <c r="A564" s="22">
        <v>45391</v>
      </c>
      <c r="B564" s="12">
        <v>250.74</v>
      </c>
      <c r="C564" s="13">
        <v>0</v>
      </c>
      <c r="D564" s="7">
        <v>398</v>
      </c>
      <c r="E564" s="7">
        <v>2E-3</v>
      </c>
      <c r="F564" s="7">
        <v>288</v>
      </c>
      <c r="G564" s="8">
        <f t="shared" si="34"/>
        <v>0.97160936797735098</v>
      </c>
      <c r="H564" s="9">
        <f t="shared" si="35"/>
        <v>1.0614001615221677E-3</v>
      </c>
      <c r="I564" s="10">
        <f>SUM($H$3:H564)</f>
        <v>0.58566977703854484</v>
      </c>
      <c r="J564" s="23">
        <v>2E-3</v>
      </c>
      <c r="Q564" s="7">
        <f t="shared" si="33"/>
        <v>9.6117192855210549E-5</v>
      </c>
      <c r="R564" s="7">
        <f t="shared" si="32"/>
        <v>1.0476043152527093E-3</v>
      </c>
    </row>
    <row r="565" spans="1:18" x14ac:dyDescent="0.25">
      <c r="A565" s="22">
        <v>45392</v>
      </c>
      <c r="B565" s="12">
        <v>251.57</v>
      </c>
      <c r="C565" s="13">
        <v>3.3E-3</v>
      </c>
      <c r="D565" s="7">
        <v>397</v>
      </c>
      <c r="E565" s="7">
        <v>2E-3</v>
      </c>
      <c r="F565" s="7">
        <v>100</v>
      </c>
      <c r="G565" s="8">
        <f t="shared" si="34"/>
        <v>0.99004933869137335</v>
      </c>
      <c r="H565" s="9">
        <f t="shared" si="35"/>
        <v>1.081544252902299E-3</v>
      </c>
      <c r="I565" s="10">
        <f>SUM($H$3:H565)</f>
        <v>0.58675132129144714</v>
      </c>
      <c r="J565" s="23">
        <v>2E-3</v>
      </c>
      <c r="Q565" s="7">
        <f t="shared" si="33"/>
        <v>9.6126805535764131E-5</v>
      </c>
      <c r="R565" s="7">
        <f t="shared" si="32"/>
        <v>1.0477090861613254E-3</v>
      </c>
    </row>
    <row r="566" spans="1:18" x14ac:dyDescent="0.25">
      <c r="A566" s="22">
        <v>45394</v>
      </c>
      <c r="B566" s="12">
        <v>249.56</v>
      </c>
      <c r="C566" s="13">
        <v>-8.0000000000000002E-3</v>
      </c>
      <c r="D566" s="7">
        <v>396</v>
      </c>
      <c r="E566" s="7">
        <v>2E-3</v>
      </c>
      <c r="F566" s="7">
        <v>60</v>
      </c>
      <c r="G566" s="8">
        <f t="shared" si="34"/>
        <v>0.99401766582871032</v>
      </c>
      <c r="H566" s="9">
        <f t="shared" si="35"/>
        <v>1.0858793110062679E-3</v>
      </c>
      <c r="I566" s="10">
        <f>SUM($H$3:H566)</f>
        <v>0.58783720060245337</v>
      </c>
      <c r="J566" s="23">
        <v>2E-3</v>
      </c>
      <c r="Q566" s="7">
        <f t="shared" si="33"/>
        <v>9.6136419177681893E-5</v>
      </c>
      <c r="R566" s="7">
        <f t="shared" si="32"/>
        <v>1.0478138675480801E-3</v>
      </c>
    </row>
    <row r="567" spans="1:18" x14ac:dyDescent="0.25">
      <c r="A567" s="22">
        <v>45397</v>
      </c>
      <c r="B567" s="12">
        <v>246.87</v>
      </c>
      <c r="C567" s="13">
        <v>-1.0800000000000001E-2</v>
      </c>
      <c r="D567" s="7">
        <v>395</v>
      </c>
      <c r="E567" s="7">
        <v>2E-3</v>
      </c>
      <c r="F567" s="7">
        <v>47</v>
      </c>
      <c r="G567" s="8">
        <f t="shared" si="34"/>
        <v>0.99531079380282239</v>
      </c>
      <c r="H567" s="9">
        <f t="shared" si="35"/>
        <v>1.0872919427550216E-3</v>
      </c>
      <c r="I567" s="10">
        <f>SUM($H$3:H567)</f>
        <v>0.5889244925452084</v>
      </c>
      <c r="J567" s="23">
        <v>2E-3</v>
      </c>
      <c r="Q567" s="7">
        <f t="shared" si="33"/>
        <v>9.6146033781059991E-5</v>
      </c>
      <c r="R567" s="7">
        <f t="shared" si="32"/>
        <v>1.0479186594140215E-3</v>
      </c>
    </row>
    <row r="568" spans="1:18" x14ac:dyDescent="0.25">
      <c r="A568" s="22">
        <v>45398</v>
      </c>
      <c r="B568" s="12">
        <v>245.52</v>
      </c>
      <c r="C568" s="13">
        <v>-5.4999999999999997E-3</v>
      </c>
      <c r="D568" s="7">
        <v>394</v>
      </c>
      <c r="E568" s="7">
        <v>2.0999999999999999E-3</v>
      </c>
      <c r="F568" s="7">
        <v>604</v>
      </c>
      <c r="G568" s="8">
        <f t="shared" si="34"/>
        <v>0.94138505992522681</v>
      </c>
      <c r="H568" s="9">
        <f t="shared" si="35"/>
        <v>1.0283826891657585E-3</v>
      </c>
      <c r="I568" s="10">
        <f>SUM($H$3:H568)</f>
        <v>0.58995287523437412</v>
      </c>
      <c r="J568" s="23">
        <v>2.0999999999999999E-3</v>
      </c>
      <c r="Q568" s="7">
        <f t="shared" si="33"/>
        <v>9.6155649345994594E-5</v>
      </c>
      <c r="R568" s="7">
        <f t="shared" si="32"/>
        <v>1.0480234617601975E-3</v>
      </c>
    </row>
    <row r="569" spans="1:18" x14ac:dyDescent="0.25">
      <c r="A569" s="22">
        <v>45400</v>
      </c>
      <c r="B569" s="12">
        <v>243.94</v>
      </c>
      <c r="C569" s="13">
        <v>-6.4000000000000003E-3</v>
      </c>
      <c r="D569" s="7">
        <v>393</v>
      </c>
      <c r="E569" s="7">
        <v>2.0999999999999999E-3</v>
      </c>
      <c r="F569" s="7">
        <v>582</v>
      </c>
      <c r="G569" s="8">
        <f t="shared" si="34"/>
        <v>0.94345849066781839</v>
      </c>
      <c r="H569" s="9">
        <f t="shared" si="35"/>
        <v>1.0306477349728746E-3</v>
      </c>
      <c r="I569" s="10">
        <f>SUM($H$3:H569)</f>
        <v>0.59098352296934697</v>
      </c>
      <c r="J569" s="23">
        <v>2.0999999999999999E-3</v>
      </c>
      <c r="Q569" s="7">
        <f t="shared" si="33"/>
        <v>9.6165265872581856E-5</v>
      </c>
      <c r="R569" s="7">
        <f t="shared" si="32"/>
        <v>1.0481282745876564E-3</v>
      </c>
    </row>
    <row r="570" spans="1:18" x14ac:dyDescent="0.25">
      <c r="A570" s="22">
        <v>45401</v>
      </c>
      <c r="B570" s="12">
        <v>245.53</v>
      </c>
      <c r="C570" s="13">
        <v>6.4999999999999997E-3</v>
      </c>
      <c r="D570" s="7">
        <v>392</v>
      </c>
      <c r="E570" s="7">
        <v>2.0999999999999999E-3</v>
      </c>
      <c r="F570" s="7">
        <v>487</v>
      </c>
      <c r="G570" s="8">
        <f t="shared" si="34"/>
        <v>0.95246450748133427</v>
      </c>
      <c r="H570" s="9">
        <f t="shared" si="35"/>
        <v>1.0404860383235685E-3</v>
      </c>
      <c r="I570" s="10">
        <f>SUM($H$3:H570)</f>
        <v>0.59202400900767049</v>
      </c>
      <c r="J570" s="23">
        <v>2.0999999999999999E-3</v>
      </c>
      <c r="Q570" s="7">
        <f t="shared" si="33"/>
        <v>9.6174883360917947E-5</v>
      </c>
      <c r="R570" s="7">
        <f t="shared" si="32"/>
        <v>1.0482330978974462E-3</v>
      </c>
    </row>
    <row r="571" spans="1:18" x14ac:dyDescent="0.25">
      <c r="A571" s="22">
        <v>45404</v>
      </c>
      <c r="B571" s="12">
        <v>247.31</v>
      </c>
      <c r="C571" s="13">
        <v>7.1999999999999998E-3</v>
      </c>
      <c r="D571" s="7">
        <v>391</v>
      </c>
      <c r="E571" s="7">
        <v>2.0999999999999999E-3</v>
      </c>
      <c r="F571" s="7">
        <v>438</v>
      </c>
      <c r="G571" s="8">
        <f t="shared" si="34"/>
        <v>0.95714327111909447</v>
      </c>
      <c r="H571" s="9">
        <f t="shared" si="35"/>
        <v>1.0455971875616421E-3</v>
      </c>
      <c r="I571" s="10">
        <f>SUM($H$3:H571)</f>
        <v>0.59306960619523208</v>
      </c>
      <c r="J571" s="23">
        <v>2.0999999999999999E-3</v>
      </c>
      <c r="Q571" s="7">
        <f t="shared" si="33"/>
        <v>9.6184501811099048E-5</v>
      </c>
      <c r="R571" s="7">
        <f t="shared" si="32"/>
        <v>1.0483379316906152E-3</v>
      </c>
    </row>
    <row r="572" spans="1:18" x14ac:dyDescent="0.25">
      <c r="A572" s="22">
        <v>45405</v>
      </c>
      <c r="B572" s="12">
        <v>247.82</v>
      </c>
      <c r="C572" s="13">
        <v>2.0999999999999999E-3</v>
      </c>
      <c r="D572" s="7">
        <v>390</v>
      </c>
      <c r="E572" s="7">
        <v>2.0999999999999999E-3</v>
      </c>
      <c r="F572" s="7">
        <v>421</v>
      </c>
      <c r="G572" s="8">
        <f t="shared" si="34"/>
        <v>0.95877188003713709</v>
      </c>
      <c r="H572" s="9">
        <f t="shared" si="35"/>
        <v>1.0473763035578839E-3</v>
      </c>
      <c r="I572" s="10">
        <f>SUM($H$3:H572)</f>
        <v>0.59411698249878997</v>
      </c>
      <c r="J572" s="23">
        <v>2.0999999999999999E-3</v>
      </c>
      <c r="Q572" s="7">
        <f t="shared" si="33"/>
        <v>9.6194121223221356E-5</v>
      </c>
      <c r="R572" s="7">
        <f t="shared" si="32"/>
        <v>1.0484427759682117E-3</v>
      </c>
    </row>
    <row r="573" spans="1:18" x14ac:dyDescent="0.25">
      <c r="A573" s="22">
        <v>45406</v>
      </c>
      <c r="B573" s="12">
        <v>247.94</v>
      </c>
      <c r="C573" s="13">
        <v>5.0000000000000001E-4</v>
      </c>
      <c r="D573" s="7">
        <v>389</v>
      </c>
      <c r="E573" s="7">
        <v>2.0999999999999999E-3</v>
      </c>
      <c r="F573" s="7">
        <v>390</v>
      </c>
      <c r="G573" s="8">
        <f t="shared" si="34"/>
        <v>0.96174883360928543</v>
      </c>
      <c r="H573" s="9">
        <f t="shared" si="35"/>
        <v>1.0506283708047242E-3</v>
      </c>
      <c r="I573" s="10">
        <f>SUM($H$3:H573)</f>
        <v>0.59516761086959469</v>
      </c>
      <c r="J573" s="23">
        <v>2.0999999999999999E-3</v>
      </c>
      <c r="Q573" s="7">
        <f t="shared" si="33"/>
        <v>9.6203741597381107E-5</v>
      </c>
      <c r="R573" s="7">
        <f t="shared" si="32"/>
        <v>1.0485476307312851E-3</v>
      </c>
    </row>
    <row r="574" spans="1:18" x14ac:dyDescent="0.25">
      <c r="A574" s="22">
        <v>45407</v>
      </c>
      <c r="B574" s="12">
        <v>249.27</v>
      </c>
      <c r="C574" s="13">
        <v>5.4000000000000003E-3</v>
      </c>
      <c r="D574" s="7">
        <v>388</v>
      </c>
      <c r="E574" s="7">
        <v>2.0999999999999999E-3</v>
      </c>
      <c r="F574" s="7">
        <v>322</v>
      </c>
      <c r="G574" s="8">
        <f t="shared" si="34"/>
        <v>0.96831134104517602</v>
      </c>
      <c r="H574" s="9">
        <f t="shared" si="35"/>
        <v>1.0577973490814004E-3</v>
      </c>
      <c r="I574" s="10">
        <f>SUM($H$3:H574)</f>
        <v>0.59622540821867609</v>
      </c>
      <c r="J574" s="23">
        <v>2.0999999999999999E-3</v>
      </c>
      <c r="Q574" s="7">
        <f t="shared" si="33"/>
        <v>9.6213362933674469E-5</v>
      </c>
      <c r="R574" s="7">
        <f t="shared" si="32"/>
        <v>1.0486524959808831E-3</v>
      </c>
    </row>
    <row r="575" spans="1:18" x14ac:dyDescent="0.25">
      <c r="A575" s="22">
        <v>45408</v>
      </c>
      <c r="B575" s="12">
        <v>248.44</v>
      </c>
      <c r="C575" s="13">
        <v>-3.3E-3</v>
      </c>
      <c r="D575" s="7">
        <v>387</v>
      </c>
      <c r="E575" s="7">
        <v>2.0999999999999999E-3</v>
      </c>
      <c r="F575" s="7">
        <v>274</v>
      </c>
      <c r="G575" s="8">
        <f t="shared" si="34"/>
        <v>0.97297064182668791</v>
      </c>
      <c r="H575" s="9">
        <f t="shared" si="35"/>
        <v>1.0628872368131049E-3</v>
      </c>
      <c r="I575" s="10">
        <f>SUM($H$3:H575)</f>
        <v>0.59728829545548923</v>
      </c>
      <c r="J575" s="23">
        <v>2.0999999999999999E-3</v>
      </c>
      <c r="Q575" s="7">
        <f t="shared" si="33"/>
        <v>9.622298523219768E-5</v>
      </c>
      <c r="R575" s="7">
        <f t="shared" si="32"/>
        <v>1.0487573717180548E-3</v>
      </c>
    </row>
    <row r="576" spans="1:18" x14ac:dyDescent="0.25">
      <c r="A576" s="22">
        <v>45411</v>
      </c>
      <c r="B576" s="12">
        <v>250.59</v>
      </c>
      <c r="C576" s="13">
        <v>8.6999999999999994E-3</v>
      </c>
      <c r="D576" s="7">
        <v>386</v>
      </c>
      <c r="E576" s="7">
        <v>2.2000000000000001E-3</v>
      </c>
      <c r="F576" s="7">
        <v>657</v>
      </c>
      <c r="G576" s="8">
        <f t="shared" si="34"/>
        <v>0.93640866936840295</v>
      </c>
      <c r="H576" s="9">
        <f t="shared" si="35"/>
        <v>1.0229464079658296E-3</v>
      </c>
      <c r="I576" s="10">
        <f>SUM($H$3:H576)</f>
        <v>0.59831124186345508</v>
      </c>
      <c r="J576" s="23">
        <v>2.2000000000000001E-3</v>
      </c>
      <c r="Q576" s="7">
        <f t="shared" si="33"/>
        <v>9.6232608493046989E-5</v>
      </c>
      <c r="R576" s="7">
        <f t="shared" si="32"/>
        <v>1.0488622579438492E-3</v>
      </c>
    </row>
    <row r="577" spans="1:18" x14ac:dyDescent="0.25">
      <c r="A577" s="22">
        <v>45412</v>
      </c>
      <c r="B577" s="12">
        <v>250.06</v>
      </c>
      <c r="C577" s="13">
        <v>-2.0999999999999999E-3</v>
      </c>
      <c r="D577" s="7">
        <v>385</v>
      </c>
      <c r="E577" s="7">
        <v>2.2000000000000001E-3</v>
      </c>
      <c r="F577" s="7">
        <v>609</v>
      </c>
      <c r="G577" s="8">
        <f t="shared" si="34"/>
        <v>0.94091446152435698</v>
      </c>
      <c r="H577" s="9">
        <f t="shared" si="35"/>
        <v>1.0278686006491616E-3</v>
      </c>
      <c r="I577" s="10">
        <f>SUM($H$3:H577)</f>
        <v>0.59933911046410426</v>
      </c>
      <c r="J577" s="23">
        <v>2.2000000000000001E-3</v>
      </c>
      <c r="Q577" s="7">
        <f t="shared" si="33"/>
        <v>9.6242232716318619E-5</v>
      </c>
      <c r="R577" s="7">
        <f t="shared" si="32"/>
        <v>1.0489671546593151E-3</v>
      </c>
    </row>
    <row r="578" spans="1:18" x14ac:dyDescent="0.25">
      <c r="A578" s="22">
        <v>45414</v>
      </c>
      <c r="B578" s="12">
        <v>250.84</v>
      </c>
      <c r="C578" s="13">
        <v>3.0999999999999999E-3</v>
      </c>
      <c r="D578" s="7">
        <v>384</v>
      </c>
      <c r="E578" s="7">
        <v>2.2000000000000001E-3</v>
      </c>
      <c r="F578" s="7">
        <v>373</v>
      </c>
      <c r="G578" s="8">
        <f t="shared" si="34"/>
        <v>0.96338527903453697</v>
      </c>
      <c r="H578" s="9">
        <f t="shared" si="35"/>
        <v>1.0524160475150672E-3</v>
      </c>
      <c r="I578" s="10">
        <f>SUM($H$3:H578)</f>
        <v>0.60039152651161931</v>
      </c>
      <c r="J578" s="23">
        <v>2.2000000000000001E-3</v>
      </c>
      <c r="Q578" s="7">
        <f t="shared" si="33"/>
        <v>9.6251857902108847E-5</v>
      </c>
      <c r="R578" s="7">
        <f t="shared" ref="R578:R641" si="36">Q578/$U$2</f>
        <v>1.0490720618655017E-3</v>
      </c>
    </row>
    <row r="579" spans="1:18" x14ac:dyDescent="0.25">
      <c r="A579" s="22">
        <v>45415</v>
      </c>
      <c r="B579" s="12">
        <v>248.75</v>
      </c>
      <c r="C579" s="13">
        <v>-8.3000000000000001E-3</v>
      </c>
      <c r="D579" s="7">
        <v>383</v>
      </c>
      <c r="E579" s="7">
        <v>2.2000000000000001E-3</v>
      </c>
      <c r="F579" s="7">
        <v>325</v>
      </c>
      <c r="G579" s="8">
        <f t="shared" si="34"/>
        <v>0.96802087669123449</v>
      </c>
      <c r="H579" s="9">
        <f t="shared" si="35"/>
        <v>1.0574800416095387E-3</v>
      </c>
      <c r="I579" s="10">
        <f>SUM($H$3:H579)</f>
        <v>0.60144900655322886</v>
      </c>
      <c r="J579" s="23">
        <v>2.2000000000000001E-3</v>
      </c>
      <c r="Q579" s="7">
        <f t="shared" ref="Q579:Q642" si="37">(1-$N$3) * $N$3^(D580-1)</f>
        <v>9.626148405051387E-5</v>
      </c>
      <c r="R579" s="7">
        <f t="shared" si="36"/>
        <v>1.0491769795634579E-3</v>
      </c>
    </row>
    <row r="580" spans="1:18" x14ac:dyDescent="0.25">
      <c r="A580" s="22">
        <v>45418</v>
      </c>
      <c r="B580" s="12">
        <v>248.37</v>
      </c>
      <c r="C580" s="13">
        <v>-1.5E-3</v>
      </c>
      <c r="D580" s="7">
        <v>382</v>
      </c>
      <c r="E580" s="7">
        <v>2.2000000000000001E-3</v>
      </c>
      <c r="F580" s="7">
        <v>290</v>
      </c>
      <c r="G580" s="8">
        <f t="shared" ref="G580:G643" si="38">$N$3^F580</f>
        <v>0.97141505581984933</v>
      </c>
      <c r="H580" s="9">
        <f t="shared" ref="H580:H643" si="39">G580/$N$4</f>
        <v>1.0611878921038651E-3</v>
      </c>
      <c r="I580" s="10">
        <f>SUM($H$3:H580)</f>
        <v>0.60251019444533271</v>
      </c>
      <c r="J580" s="23">
        <v>2.2000000000000001E-3</v>
      </c>
      <c r="Q580" s="7">
        <f t="shared" si="37"/>
        <v>9.6271111161630018E-5</v>
      </c>
      <c r="R580" s="7">
        <f t="shared" si="36"/>
        <v>1.0492819077542331E-3</v>
      </c>
    </row>
    <row r="581" spans="1:18" x14ac:dyDescent="0.25">
      <c r="A581" s="22">
        <v>45419</v>
      </c>
      <c r="B581" s="12">
        <v>247.11</v>
      </c>
      <c r="C581" s="13">
        <v>-5.1000000000000004E-3</v>
      </c>
      <c r="D581" s="7">
        <v>381</v>
      </c>
      <c r="E581" s="7">
        <v>2.3E-3</v>
      </c>
      <c r="F581" s="7">
        <v>801</v>
      </c>
      <c r="G581" s="8">
        <f t="shared" si="38"/>
        <v>0.92302034241710407</v>
      </c>
      <c r="H581" s="9">
        <f t="shared" si="39"/>
        <v>1.0083208054788933E-3</v>
      </c>
      <c r="I581" s="10">
        <f>SUM($H$3:H581)</f>
        <v>0.60351851525081157</v>
      </c>
      <c r="J581" s="23">
        <v>2.3E-3</v>
      </c>
      <c r="Q581" s="7">
        <f t="shared" si="37"/>
        <v>9.6280739235553582E-5</v>
      </c>
      <c r="R581" s="7">
        <f t="shared" si="36"/>
        <v>1.0493868464388771E-3</v>
      </c>
    </row>
    <row r="582" spans="1:18" x14ac:dyDescent="0.25">
      <c r="A582" s="22">
        <v>45420</v>
      </c>
      <c r="B582" s="12">
        <v>247.24</v>
      </c>
      <c r="C582" s="13">
        <v>5.0000000000000001E-4</v>
      </c>
      <c r="D582" s="7">
        <v>380</v>
      </c>
      <c r="E582" s="7">
        <v>2.3E-3</v>
      </c>
      <c r="F582" s="7">
        <v>616</v>
      </c>
      <c r="G582" s="8">
        <f t="shared" si="38"/>
        <v>0.94025601896039834</v>
      </c>
      <c r="H582" s="9">
        <f t="shared" si="39"/>
        <v>1.0271493084451416E-3</v>
      </c>
      <c r="I582" s="10">
        <f>SUM($H$3:H582)</f>
        <v>0.60454566455925673</v>
      </c>
      <c r="J582" s="23">
        <v>2.3E-3</v>
      </c>
      <c r="Q582" s="7">
        <f t="shared" si="37"/>
        <v>9.6290368272380813E-5</v>
      </c>
      <c r="R582" s="7">
        <f t="shared" si="36"/>
        <v>1.0494917956184388E-3</v>
      </c>
    </row>
    <row r="583" spans="1:18" x14ac:dyDescent="0.25">
      <c r="A583" s="22">
        <v>45421</v>
      </c>
      <c r="B583" s="12">
        <v>243.49</v>
      </c>
      <c r="C583" s="13">
        <v>-1.52E-2</v>
      </c>
      <c r="D583" s="7">
        <v>379</v>
      </c>
      <c r="E583" s="7">
        <v>2.3E-3</v>
      </c>
      <c r="F583" s="7">
        <v>579</v>
      </c>
      <c r="G583" s="8">
        <f t="shared" si="38"/>
        <v>0.94374158483196413</v>
      </c>
      <c r="H583" s="9">
        <f t="shared" si="39"/>
        <v>1.0309569911425385E-3</v>
      </c>
      <c r="I583" s="10">
        <f>SUM($H$3:H583)</f>
        <v>0.60557662155039926</v>
      </c>
      <c r="J583" s="23">
        <v>2.3E-3</v>
      </c>
      <c r="Q583" s="7">
        <f t="shared" si="37"/>
        <v>9.6299998272208042E-5</v>
      </c>
      <c r="R583" s="7">
        <f t="shared" si="36"/>
        <v>1.0495967552939683E-3</v>
      </c>
    </row>
    <row r="584" spans="1:18" x14ac:dyDescent="0.25">
      <c r="A584" s="22">
        <v>45422</v>
      </c>
      <c r="B584" s="12">
        <v>244.97</v>
      </c>
      <c r="C584" s="13">
        <v>6.1000000000000004E-3</v>
      </c>
      <c r="D584" s="7">
        <v>378</v>
      </c>
      <c r="E584" s="7">
        <v>2.3E-3</v>
      </c>
      <c r="F584" s="7">
        <v>556</v>
      </c>
      <c r="G584" s="8">
        <f t="shared" si="38"/>
        <v>0.94591479737586837</v>
      </c>
      <c r="H584" s="9">
        <f t="shared" si="39"/>
        <v>1.0333310400362043E-3</v>
      </c>
      <c r="I584" s="10">
        <f>SUM($H$3:H584)</f>
        <v>0.60660995259043549</v>
      </c>
      <c r="J584" s="23">
        <v>2.3E-3</v>
      </c>
      <c r="Q584" s="7">
        <f t="shared" si="37"/>
        <v>9.6309629235131545E-5</v>
      </c>
      <c r="R584" s="7">
        <f t="shared" si="36"/>
        <v>1.0497017254665149E-3</v>
      </c>
    </row>
    <row r="585" spans="1:18" x14ac:dyDescent="0.25">
      <c r="A585" s="22">
        <v>45425</v>
      </c>
      <c r="B585" s="12">
        <v>245.16</v>
      </c>
      <c r="C585" s="13">
        <v>8.0000000000000004E-4</v>
      </c>
      <c r="D585" s="7">
        <v>377</v>
      </c>
      <c r="E585" s="7">
        <v>2.3E-3</v>
      </c>
      <c r="F585" s="7">
        <v>481</v>
      </c>
      <c r="G585" s="8">
        <f t="shared" si="38"/>
        <v>0.95303618625671938</v>
      </c>
      <c r="H585" s="9">
        <f t="shared" si="39"/>
        <v>1.0411105485069107E-3</v>
      </c>
      <c r="I585" s="10">
        <f>SUM($H$3:H585)</f>
        <v>0.60765106313894235</v>
      </c>
      <c r="J585" s="23">
        <v>2.3E-3</v>
      </c>
      <c r="Q585" s="7">
        <f t="shared" si="37"/>
        <v>9.6319261161247668E-5</v>
      </c>
      <c r="R585" s="7">
        <f t="shared" si="36"/>
        <v>1.0498067061371285E-3</v>
      </c>
    </row>
    <row r="586" spans="1:18" x14ac:dyDescent="0.25">
      <c r="A586" s="22">
        <v>45426</v>
      </c>
      <c r="B586" s="12">
        <v>246.61</v>
      </c>
      <c r="C586" s="13">
        <v>5.8999999999999999E-3</v>
      </c>
      <c r="D586" s="7">
        <v>376</v>
      </c>
      <c r="E586" s="7">
        <v>2.3E-3</v>
      </c>
      <c r="F586" s="7">
        <v>356</v>
      </c>
      <c r="G586" s="8">
        <f t="shared" si="38"/>
        <v>0.96502450892235936</v>
      </c>
      <c r="H586" s="9">
        <f t="shared" si="39"/>
        <v>1.0542067660126962E-3</v>
      </c>
      <c r="I586" s="10">
        <f>SUM($H$3:H586)</f>
        <v>0.60870526990495499</v>
      </c>
      <c r="J586" s="23">
        <v>2.3E-3</v>
      </c>
      <c r="Q586" s="7">
        <f t="shared" si="37"/>
        <v>9.6328894050652742E-5</v>
      </c>
      <c r="R586" s="7">
        <f t="shared" si="36"/>
        <v>1.0499116973068593E-3</v>
      </c>
    </row>
    <row r="587" spans="1:18" x14ac:dyDescent="0.25">
      <c r="A587" s="22">
        <v>45427</v>
      </c>
      <c r="B587" s="12">
        <v>246.42</v>
      </c>
      <c r="C587" s="13">
        <v>-8.0000000000000004E-4</v>
      </c>
      <c r="D587" s="7">
        <v>375</v>
      </c>
      <c r="E587" s="7">
        <v>2.3E-3</v>
      </c>
      <c r="F587" s="7">
        <v>323</v>
      </c>
      <c r="G587" s="8">
        <f t="shared" si="38"/>
        <v>0.96821450991107161</v>
      </c>
      <c r="H587" s="9">
        <f t="shared" si="39"/>
        <v>1.0576915693464924E-3</v>
      </c>
      <c r="I587" s="10">
        <f>SUM($H$3:H587)</f>
        <v>0.60976296147430153</v>
      </c>
      <c r="J587" s="23">
        <v>2.3E-3</v>
      </c>
      <c r="Q587" s="7">
        <f t="shared" si="37"/>
        <v>9.6338527903443085E-5</v>
      </c>
      <c r="R587" s="7">
        <f t="shared" si="36"/>
        <v>1.0500166989767571E-3</v>
      </c>
    </row>
    <row r="588" spans="1:18" x14ac:dyDescent="0.25">
      <c r="A588" s="22">
        <v>45428</v>
      </c>
      <c r="B588" s="12">
        <v>248.18</v>
      </c>
      <c r="C588" s="13">
        <v>7.1000000000000004E-3</v>
      </c>
      <c r="D588" s="7">
        <v>374</v>
      </c>
      <c r="E588" s="7">
        <v>2.3E-3</v>
      </c>
      <c r="F588" s="7">
        <v>311</v>
      </c>
      <c r="G588" s="8">
        <f t="shared" si="38"/>
        <v>0.9693771228828445</v>
      </c>
      <c r="H588" s="9">
        <f t="shared" si="39"/>
        <v>1.0589616246142759E-3</v>
      </c>
      <c r="I588" s="10">
        <f>SUM($H$3:H588)</f>
        <v>0.61082192309891581</v>
      </c>
      <c r="J588" s="23">
        <v>2.3E-3</v>
      </c>
      <c r="Q588" s="7">
        <f t="shared" si="37"/>
        <v>9.6348162719715042E-5</v>
      </c>
      <c r="R588" s="7">
        <f t="shared" si="36"/>
        <v>1.0501217111478717E-3</v>
      </c>
    </row>
    <row r="589" spans="1:18" x14ac:dyDescent="0.25">
      <c r="A589" s="22">
        <v>45429</v>
      </c>
      <c r="B589" s="12">
        <v>248.73</v>
      </c>
      <c r="C589" s="13">
        <v>2.2000000000000001E-3</v>
      </c>
      <c r="D589" s="7">
        <v>373</v>
      </c>
      <c r="E589" s="7">
        <v>2.3E-3</v>
      </c>
      <c r="F589" s="7">
        <v>247</v>
      </c>
      <c r="G589" s="8">
        <f t="shared" si="38"/>
        <v>0.97560134394654818</v>
      </c>
      <c r="H589" s="9">
        <f t="shared" si="39"/>
        <v>1.0657610539529592E-3</v>
      </c>
      <c r="I589" s="10">
        <f>SUM($H$3:H589)</f>
        <v>0.61188768415286876</v>
      </c>
      <c r="J589" s="23">
        <v>2.3E-3</v>
      </c>
      <c r="Q589" s="7">
        <f t="shared" si="37"/>
        <v>9.6357798499564998E-5</v>
      </c>
      <c r="R589" s="7">
        <f t="shared" si="36"/>
        <v>1.0502267338212538E-3</v>
      </c>
    </row>
    <row r="590" spans="1:18" x14ac:dyDescent="0.25">
      <c r="A590" s="22">
        <v>45433</v>
      </c>
      <c r="B590" s="12">
        <v>249.74</v>
      </c>
      <c r="C590" s="13">
        <v>4.1000000000000003E-3</v>
      </c>
      <c r="D590" s="7">
        <v>372</v>
      </c>
      <c r="E590" s="7">
        <v>2.3E-3</v>
      </c>
      <c r="F590" s="7">
        <v>30</v>
      </c>
      <c r="G590" s="8">
        <f t="shared" si="38"/>
        <v>0.9970043459427399</v>
      </c>
      <c r="H590" s="9">
        <f t="shared" si="39"/>
        <v>1.0891420036684902E-3</v>
      </c>
      <c r="I590" s="10">
        <f>SUM($H$3:H590)</f>
        <v>0.61297682615653726</v>
      </c>
      <c r="J590" s="23">
        <v>2.3E-3</v>
      </c>
      <c r="Q590" s="7">
        <f t="shared" si="37"/>
        <v>9.6367435243089312E-5</v>
      </c>
      <c r="R590" s="7">
        <f t="shared" si="36"/>
        <v>1.0503317669979537E-3</v>
      </c>
    </row>
    <row r="591" spans="1:18" x14ac:dyDescent="0.25">
      <c r="A591" s="22">
        <v>45434</v>
      </c>
      <c r="B591" s="12">
        <v>250.36</v>
      </c>
      <c r="C591" s="13">
        <v>2.5000000000000001E-3</v>
      </c>
      <c r="D591" s="7">
        <v>371</v>
      </c>
      <c r="E591" s="7">
        <v>2.3999999999999998E-3</v>
      </c>
      <c r="F591" s="7">
        <v>124</v>
      </c>
      <c r="G591" s="8">
        <f t="shared" si="38"/>
        <v>0.98767595081188109</v>
      </c>
      <c r="H591" s="9">
        <f t="shared" si="39"/>
        <v>1.0789515295695753E-3</v>
      </c>
      <c r="I591" s="10">
        <f>SUM($H$3:H591)</f>
        <v>0.61405577768610686</v>
      </c>
      <c r="J591" s="23">
        <v>2.3999999999999998E-3</v>
      </c>
      <c r="Q591" s="7">
        <f t="shared" si="37"/>
        <v>9.6377072950384342E-5</v>
      </c>
      <c r="R591" s="7">
        <f t="shared" si="36"/>
        <v>1.0504368106790214E-3</v>
      </c>
    </row>
    <row r="592" spans="1:18" x14ac:dyDescent="0.25">
      <c r="A592" s="22">
        <v>45435</v>
      </c>
      <c r="B592" s="12">
        <v>254.29</v>
      </c>
      <c r="C592" s="13">
        <v>1.5699999999999999E-2</v>
      </c>
      <c r="D592" s="7">
        <v>370</v>
      </c>
      <c r="E592" s="7">
        <v>2.3999999999999998E-3</v>
      </c>
      <c r="F592" s="7">
        <v>45</v>
      </c>
      <c r="G592" s="8">
        <f t="shared" si="38"/>
        <v>0.99550988582488842</v>
      </c>
      <c r="H592" s="9">
        <f t="shared" si="39"/>
        <v>1.0875094337666805E-3</v>
      </c>
      <c r="I592" s="10">
        <f>SUM($H$3:H592)</f>
        <v>0.61514328711987354</v>
      </c>
      <c r="J592" s="23">
        <v>2.3999999999999998E-3</v>
      </c>
      <c r="Q592" s="7">
        <f t="shared" si="37"/>
        <v>9.6386711621546488E-5</v>
      </c>
      <c r="R592" s="7">
        <f t="shared" si="36"/>
        <v>1.0505418648655079E-3</v>
      </c>
    </row>
    <row r="593" spans="1:18" x14ac:dyDescent="0.25">
      <c r="A593" s="22">
        <v>45436</v>
      </c>
      <c r="B593" s="12">
        <v>254.98</v>
      </c>
      <c r="C593" s="13">
        <v>2.7000000000000001E-3</v>
      </c>
      <c r="D593" s="7">
        <v>369</v>
      </c>
      <c r="E593" s="7">
        <v>2.5000000000000001E-3</v>
      </c>
      <c r="F593" s="7">
        <v>935</v>
      </c>
      <c r="G593" s="8">
        <f t="shared" si="38"/>
        <v>0.91073375945207524</v>
      </c>
      <c r="H593" s="9">
        <f t="shared" si="39"/>
        <v>9.9489876409740137E-4</v>
      </c>
      <c r="I593" s="10">
        <f>SUM($H$3:H593)</f>
        <v>0.61613818588397096</v>
      </c>
      <c r="J593" s="23">
        <v>2.5000000000000001E-3</v>
      </c>
      <c r="Q593" s="7">
        <f t="shared" si="37"/>
        <v>9.6396351256672162E-5</v>
      </c>
      <c r="R593" s="7">
        <f t="shared" si="36"/>
        <v>1.0506469295584638E-3</v>
      </c>
    </row>
    <row r="594" spans="1:18" x14ac:dyDescent="0.25">
      <c r="A594" s="22">
        <v>45439</v>
      </c>
      <c r="B594" s="12">
        <v>254.72</v>
      </c>
      <c r="C594" s="13">
        <v>-1E-3</v>
      </c>
      <c r="D594" s="7">
        <v>368</v>
      </c>
      <c r="E594" s="7">
        <v>2.5000000000000001E-3</v>
      </c>
      <c r="F594" s="7">
        <v>636</v>
      </c>
      <c r="G594" s="8">
        <f t="shared" si="38"/>
        <v>0.93837729233747758</v>
      </c>
      <c r="H594" s="9">
        <f t="shared" si="39"/>
        <v>1.0250969602414851E-3</v>
      </c>
      <c r="I594" s="10">
        <f>SUM($H$3:H594)</f>
        <v>0.6171632828442124</v>
      </c>
      <c r="J594" s="23">
        <v>2.5000000000000001E-3</v>
      </c>
      <c r="Q594" s="7">
        <f t="shared" si="37"/>
        <v>9.640599185585775E-5</v>
      </c>
      <c r="R594" s="7">
        <f t="shared" si="36"/>
        <v>1.0507520047589398E-3</v>
      </c>
    </row>
    <row r="595" spans="1:18" x14ac:dyDescent="0.25">
      <c r="A595" s="22">
        <v>45440</v>
      </c>
      <c r="B595" s="12">
        <v>254.2</v>
      </c>
      <c r="C595" s="13">
        <v>-2E-3</v>
      </c>
      <c r="D595" s="7">
        <v>367</v>
      </c>
      <c r="E595" s="7">
        <v>2.5000000000000001E-3</v>
      </c>
      <c r="F595" s="7">
        <v>371</v>
      </c>
      <c r="G595" s="8">
        <f t="shared" si="38"/>
        <v>0.96357798499575609</v>
      </c>
      <c r="H595" s="9">
        <f t="shared" si="39"/>
        <v>1.0526265623012616E-3</v>
      </c>
      <c r="I595" s="10">
        <f>SUM($H$3:H595)</f>
        <v>0.61821590940651361</v>
      </c>
      <c r="J595" s="23">
        <v>2.5000000000000001E-3</v>
      </c>
      <c r="Q595" s="7">
        <f t="shared" si="37"/>
        <v>9.6415633419199664E-5</v>
      </c>
      <c r="R595" s="7">
        <f t="shared" si="36"/>
        <v>1.0508570904679865E-3</v>
      </c>
    </row>
    <row r="596" spans="1:18" x14ac:dyDescent="0.25">
      <c r="A596" s="22">
        <v>45441</v>
      </c>
      <c r="B596" s="12">
        <v>252.37</v>
      </c>
      <c r="C596" s="13">
        <v>-7.1999999999999998E-3</v>
      </c>
      <c r="D596" s="7">
        <v>366</v>
      </c>
      <c r="E596" s="7">
        <v>2.5000000000000001E-3</v>
      </c>
      <c r="F596" s="7">
        <v>202</v>
      </c>
      <c r="G596" s="8">
        <f t="shared" si="38"/>
        <v>0.980001663306594</v>
      </c>
      <c r="H596" s="9">
        <f t="shared" si="39"/>
        <v>1.0705680266247281E-3</v>
      </c>
      <c r="I596" s="10">
        <f>SUM($H$3:H596)</f>
        <v>0.61928647743313836</v>
      </c>
      <c r="J596" s="23">
        <v>2.5000000000000001E-3</v>
      </c>
      <c r="Q596" s="7">
        <f t="shared" si="37"/>
        <v>9.6425275946794331E-5</v>
      </c>
      <c r="R596" s="7">
        <f t="shared" si="36"/>
        <v>1.050962186686655E-3</v>
      </c>
    </row>
    <row r="597" spans="1:18" x14ac:dyDescent="0.25">
      <c r="A597" s="22">
        <v>45442</v>
      </c>
      <c r="B597" s="12">
        <v>250.35</v>
      </c>
      <c r="C597" s="13">
        <v>-8.0000000000000002E-3</v>
      </c>
      <c r="D597" s="7">
        <v>365</v>
      </c>
      <c r="E597" s="7">
        <v>2.5000000000000001E-3</v>
      </c>
      <c r="F597" s="7">
        <v>114</v>
      </c>
      <c r="G597" s="8">
        <f t="shared" si="38"/>
        <v>0.98866417020182518</v>
      </c>
      <c r="H597" s="9">
        <f t="shared" si="39"/>
        <v>1.0800310747599326E-3</v>
      </c>
      <c r="I597" s="10">
        <f>SUM($H$3:H597)</f>
        <v>0.62036650850789832</v>
      </c>
      <c r="J597" s="23">
        <v>2.5000000000000001E-3</v>
      </c>
      <c r="Q597" s="7">
        <f t="shared" si="37"/>
        <v>9.6434919438738217E-5</v>
      </c>
      <c r="R597" s="7">
        <f t="shared" si="36"/>
        <v>1.0510672934159967E-3</v>
      </c>
    </row>
    <row r="598" spans="1:18" x14ac:dyDescent="0.25">
      <c r="A598" s="22">
        <v>45443</v>
      </c>
      <c r="B598" s="12">
        <v>251.15</v>
      </c>
      <c r="C598" s="13">
        <v>3.2000000000000002E-3</v>
      </c>
      <c r="D598" s="7">
        <v>364</v>
      </c>
      <c r="E598" s="7">
        <v>2.5000000000000001E-3</v>
      </c>
      <c r="F598" s="7">
        <v>92</v>
      </c>
      <c r="G598" s="8">
        <f t="shared" si="38"/>
        <v>0.99084173469892667</v>
      </c>
      <c r="H598" s="9">
        <f t="shared" si="39"/>
        <v>1.0824098777903726E-3</v>
      </c>
      <c r="I598" s="10">
        <f>SUM($H$3:H598)</f>
        <v>0.62144891838568872</v>
      </c>
      <c r="J598" s="23">
        <v>2.5000000000000001E-3</v>
      </c>
      <c r="Q598" s="7">
        <f t="shared" si="37"/>
        <v>9.6444563895127709E-5</v>
      </c>
      <c r="R598" s="7">
        <f t="shared" si="36"/>
        <v>1.0511724106570621E-3</v>
      </c>
    </row>
    <row r="599" spans="1:18" x14ac:dyDescent="0.25">
      <c r="A599" s="22">
        <v>45446</v>
      </c>
      <c r="B599" s="12">
        <v>258.14</v>
      </c>
      <c r="C599" s="13">
        <v>2.7799999999999998E-2</v>
      </c>
      <c r="D599" s="7">
        <v>363</v>
      </c>
      <c r="E599" s="7">
        <v>2.5000000000000001E-3</v>
      </c>
      <c r="F599" s="7">
        <v>40</v>
      </c>
      <c r="G599" s="8">
        <f t="shared" si="38"/>
        <v>0.99600779012913343</v>
      </c>
      <c r="H599" s="9">
        <f t="shared" si="39"/>
        <v>1.0880533516480493E-3</v>
      </c>
      <c r="I599" s="10">
        <f>SUM($H$3:H599)</f>
        <v>0.6225369717373368</v>
      </c>
      <c r="J599" s="23">
        <v>2.5000000000000001E-3</v>
      </c>
      <c r="Q599" s="7">
        <f t="shared" si="37"/>
        <v>9.6454209316059313E-5</v>
      </c>
      <c r="R599" s="7">
        <f t="shared" si="36"/>
        <v>1.0512775384109033E-3</v>
      </c>
    </row>
    <row r="600" spans="1:18" x14ac:dyDescent="0.25">
      <c r="A600" s="22">
        <v>45447</v>
      </c>
      <c r="B600" s="12">
        <v>250.48</v>
      </c>
      <c r="C600" s="13">
        <v>-2.9700000000000001E-2</v>
      </c>
      <c r="D600" s="7">
        <v>362</v>
      </c>
      <c r="E600" s="7">
        <v>2.5999999999999999E-3</v>
      </c>
      <c r="F600" s="7">
        <v>956</v>
      </c>
      <c r="G600" s="8">
        <f t="shared" si="38"/>
        <v>0.90882312988739022</v>
      </c>
      <c r="H600" s="9">
        <f t="shared" si="39"/>
        <v>9.9281156465758189E-4</v>
      </c>
      <c r="I600" s="10">
        <f>SUM($H$3:H600)</f>
        <v>0.62352978330199438</v>
      </c>
      <c r="J600" s="23">
        <v>2.5999999999999999E-3</v>
      </c>
      <c r="Q600" s="7">
        <f t="shared" si="37"/>
        <v>9.6463855701629483E-5</v>
      </c>
      <c r="R600" s="7">
        <f t="shared" si="36"/>
        <v>1.0513826766785713E-3</v>
      </c>
    </row>
    <row r="601" spans="1:18" x14ac:dyDescent="0.25">
      <c r="A601" s="22">
        <v>45448</v>
      </c>
      <c r="B601" s="12">
        <v>251.3</v>
      </c>
      <c r="C601" s="13">
        <v>3.3E-3</v>
      </c>
      <c r="D601" s="7">
        <v>361</v>
      </c>
      <c r="E601" s="7">
        <v>2.5999999999999999E-3</v>
      </c>
      <c r="F601" s="7">
        <v>846</v>
      </c>
      <c r="G601" s="8">
        <f t="shared" si="38"/>
        <v>0.91887587569370066</v>
      </c>
      <c r="H601" s="9">
        <f t="shared" si="39"/>
        <v>1.0037933299371525E-3</v>
      </c>
      <c r="I601" s="10">
        <f>SUM($H$3:H601)</f>
        <v>0.62453357663193154</v>
      </c>
      <c r="J601" s="23">
        <v>2.5999999999999999E-3</v>
      </c>
      <c r="Q601" s="7">
        <f t="shared" si="37"/>
        <v>9.6473503051934672E-5</v>
      </c>
      <c r="R601" s="7">
        <f t="shared" si="36"/>
        <v>1.0514878254611172E-3</v>
      </c>
    </row>
    <row r="602" spans="1:18" x14ac:dyDescent="0.25">
      <c r="A602" s="22">
        <v>45449</v>
      </c>
      <c r="B602" s="12">
        <v>252.98</v>
      </c>
      <c r="C602" s="13">
        <v>6.7000000000000002E-3</v>
      </c>
      <c r="D602" s="7">
        <v>360</v>
      </c>
      <c r="E602" s="7">
        <v>2.5999999999999999E-3</v>
      </c>
      <c r="F602" s="7">
        <v>814</v>
      </c>
      <c r="G602" s="8">
        <f t="shared" si="38"/>
        <v>0.92182113566391144</v>
      </c>
      <c r="H602" s="9">
        <f t="shared" si="39"/>
        <v>1.0070107746336916E-3</v>
      </c>
      <c r="I602" s="10">
        <f>SUM($H$3:H602)</f>
        <v>0.62554058740656526</v>
      </c>
      <c r="J602" s="23">
        <v>2.5999999999999999E-3</v>
      </c>
      <c r="Q602" s="7">
        <f t="shared" si="37"/>
        <v>9.6483151367071388E-5</v>
      </c>
      <c r="R602" s="7">
        <f t="shared" si="36"/>
        <v>1.0515929847595934E-3</v>
      </c>
    </row>
    <row r="603" spans="1:18" x14ac:dyDescent="0.25">
      <c r="A603" s="22">
        <v>45450</v>
      </c>
      <c r="B603" s="12">
        <v>258.42</v>
      </c>
      <c r="C603" s="13">
        <v>2.1499999999999998E-2</v>
      </c>
      <c r="D603" s="7">
        <v>359</v>
      </c>
      <c r="E603" s="7">
        <v>2.5999999999999999E-3</v>
      </c>
      <c r="F603" s="7">
        <v>757</v>
      </c>
      <c r="G603" s="8">
        <f t="shared" si="38"/>
        <v>0.92709078385305643</v>
      </c>
      <c r="H603" s="9">
        <f t="shared" si="39"/>
        <v>1.0127674147232856E-3</v>
      </c>
      <c r="I603" s="10">
        <f>SUM($H$3:H603)</f>
        <v>0.6265533548212886</v>
      </c>
      <c r="J603" s="23">
        <v>2.5999999999999999E-3</v>
      </c>
      <c r="Q603" s="7">
        <f t="shared" si="37"/>
        <v>9.6492800647136098E-5</v>
      </c>
      <c r="R603" s="7">
        <f t="shared" si="36"/>
        <v>1.0516981545750509E-3</v>
      </c>
    </row>
    <row r="604" spans="1:18" x14ac:dyDescent="0.25">
      <c r="A604" s="22">
        <v>45453</v>
      </c>
      <c r="B604" s="12">
        <v>257.94</v>
      </c>
      <c r="C604" s="13">
        <v>-1.9E-3</v>
      </c>
      <c r="D604" s="7">
        <v>358</v>
      </c>
      <c r="E604" s="7">
        <v>2.5999999999999999E-3</v>
      </c>
      <c r="F604" s="7">
        <v>426</v>
      </c>
      <c r="G604" s="8">
        <f t="shared" si="38"/>
        <v>0.95829258996471944</v>
      </c>
      <c r="H604" s="9">
        <f t="shared" si="39"/>
        <v>1.0468527201332623E-3</v>
      </c>
      <c r="I604" s="10">
        <f>SUM($H$3:H604)</f>
        <v>0.62760020754142187</v>
      </c>
      <c r="J604" s="23">
        <v>2.5999999999999999E-3</v>
      </c>
      <c r="Q604" s="7">
        <f t="shared" si="37"/>
        <v>9.6502450892225309E-5</v>
      </c>
      <c r="R604" s="7">
        <f t="shared" si="36"/>
        <v>1.0518033349085415E-3</v>
      </c>
    </row>
    <row r="605" spans="1:18" x14ac:dyDescent="0.25">
      <c r="A605" s="22">
        <v>45454</v>
      </c>
      <c r="B605" s="12">
        <v>258.8</v>
      </c>
      <c r="C605" s="13">
        <v>3.3E-3</v>
      </c>
      <c r="D605" s="7">
        <v>357</v>
      </c>
      <c r="E605" s="7">
        <v>2.5999999999999999E-3</v>
      </c>
      <c r="F605" s="7">
        <v>401</v>
      </c>
      <c r="G605" s="8">
        <f t="shared" si="38"/>
        <v>0.96069143869551699</v>
      </c>
      <c r="H605" s="9">
        <f t="shared" si="39"/>
        <v>1.049473257269124E-3</v>
      </c>
      <c r="I605" s="10">
        <f>SUM($H$3:H605)</f>
        <v>0.62864968079869099</v>
      </c>
      <c r="J605" s="23">
        <v>2.5999999999999999E-3</v>
      </c>
      <c r="Q605" s="7">
        <f t="shared" si="37"/>
        <v>9.6512102102435556E-5</v>
      </c>
      <c r="R605" s="7">
        <f t="shared" si="36"/>
        <v>1.0519085257611176E-3</v>
      </c>
    </row>
    <row r="606" spans="1:18" x14ac:dyDescent="0.25">
      <c r="A606" s="22">
        <v>45455</v>
      </c>
      <c r="B606" s="12">
        <v>259.39</v>
      </c>
      <c r="C606" s="13">
        <v>2.3E-3</v>
      </c>
      <c r="D606" s="7">
        <v>356</v>
      </c>
      <c r="E606" s="7">
        <v>2.5999999999999999E-3</v>
      </c>
      <c r="F606" s="7">
        <v>214</v>
      </c>
      <c r="G606" s="8">
        <f t="shared" si="38"/>
        <v>0.97882630789617242</v>
      </c>
      <c r="H606" s="9">
        <f t="shared" si="39"/>
        <v>1.0692840513322045E-3</v>
      </c>
      <c r="I606" s="10">
        <f>SUM($H$3:H606)</f>
        <v>0.62971896485002321</v>
      </c>
      <c r="J606" s="23">
        <v>2.5999999999999999E-3</v>
      </c>
      <c r="Q606" s="7">
        <f t="shared" si="37"/>
        <v>9.6521754277863347E-5</v>
      </c>
      <c r="R606" s="7">
        <f t="shared" si="36"/>
        <v>1.0520137271338311E-3</v>
      </c>
    </row>
    <row r="607" spans="1:18" x14ac:dyDescent="0.25">
      <c r="A607" s="22">
        <v>45456</v>
      </c>
      <c r="B607" s="12">
        <v>260.3</v>
      </c>
      <c r="C607" s="13">
        <v>3.5000000000000001E-3</v>
      </c>
      <c r="D607" s="7">
        <v>355</v>
      </c>
      <c r="E607" s="7">
        <v>2.7000000000000001E-3</v>
      </c>
      <c r="F607" s="7">
        <v>903</v>
      </c>
      <c r="G607" s="8">
        <f t="shared" si="38"/>
        <v>0.91365292161117395</v>
      </c>
      <c r="H607" s="9">
        <f t="shared" si="39"/>
        <v>9.9808769916667392E-4</v>
      </c>
      <c r="I607" s="10">
        <f>SUM($H$3:H607)</f>
        <v>0.63071705254918986</v>
      </c>
      <c r="J607" s="23">
        <v>2.7000000000000001E-3</v>
      </c>
      <c r="Q607" s="7">
        <f t="shared" si="37"/>
        <v>9.6531407418605188E-5</v>
      </c>
      <c r="R607" s="7">
        <f t="shared" si="36"/>
        <v>1.0521189390277337E-3</v>
      </c>
    </row>
    <row r="608" spans="1:18" x14ac:dyDescent="0.25">
      <c r="A608" s="22">
        <v>45457</v>
      </c>
      <c r="B608" s="12">
        <v>260.64999999999998</v>
      </c>
      <c r="C608" s="13">
        <v>1.2999999999999999E-3</v>
      </c>
      <c r="D608" s="7">
        <v>354</v>
      </c>
      <c r="E608" s="7">
        <v>2.7000000000000001E-3</v>
      </c>
      <c r="F608" s="7">
        <v>808</v>
      </c>
      <c r="G608" s="8">
        <f t="shared" si="38"/>
        <v>0.92237442197938169</v>
      </c>
      <c r="H608" s="9">
        <f t="shared" si="39"/>
        <v>1.0076151926271396E-3</v>
      </c>
      <c r="I608" s="10">
        <f>SUM($H$3:H608)</f>
        <v>0.63172466774181701</v>
      </c>
      <c r="J608" s="23">
        <v>2.7000000000000001E-3</v>
      </c>
      <c r="Q608" s="7">
        <f t="shared" si="37"/>
        <v>9.6541061524757656E-5</v>
      </c>
      <c r="R608" s="7">
        <f t="shared" si="36"/>
        <v>1.0522241614438781E-3</v>
      </c>
    </row>
    <row r="609" spans="1:18" x14ac:dyDescent="0.25">
      <c r="A609" s="22">
        <v>45461</v>
      </c>
      <c r="B609" s="12">
        <v>261.56</v>
      </c>
      <c r="C609" s="13">
        <v>3.5000000000000001E-3</v>
      </c>
      <c r="D609" s="7">
        <v>353</v>
      </c>
      <c r="E609" s="7">
        <v>2.7000000000000001E-3</v>
      </c>
      <c r="F609" s="7">
        <v>654</v>
      </c>
      <c r="G609" s="8">
        <f t="shared" si="38"/>
        <v>0.93668964816309908</v>
      </c>
      <c r="H609" s="9">
        <f t="shared" si="39"/>
        <v>1.0232533532752348E-3</v>
      </c>
      <c r="I609" s="10">
        <f>SUM($H$3:H609)</f>
        <v>0.63274792109509226</v>
      </c>
      <c r="J609" s="23">
        <v>2.7000000000000001E-3</v>
      </c>
      <c r="Q609" s="7">
        <f t="shared" si="37"/>
        <v>9.6550716596417312E-5</v>
      </c>
      <c r="R609" s="7">
        <f t="shared" si="36"/>
        <v>1.0523293943833164E-3</v>
      </c>
    </row>
    <row r="610" spans="1:18" x14ac:dyDescent="0.25">
      <c r="A610" s="22">
        <v>45462</v>
      </c>
      <c r="B610" s="12">
        <v>261.38</v>
      </c>
      <c r="C610" s="13">
        <v>-6.9999999999999999E-4</v>
      </c>
      <c r="D610" s="7">
        <v>352</v>
      </c>
      <c r="E610" s="7">
        <v>2.7000000000000001E-3</v>
      </c>
      <c r="F610" s="7">
        <v>369</v>
      </c>
      <c r="G610" s="8">
        <f t="shared" si="38"/>
        <v>0.9637707295039496</v>
      </c>
      <c r="H610" s="9">
        <f t="shared" si="39"/>
        <v>1.0528371191967298E-3</v>
      </c>
      <c r="I610" s="10">
        <f>SUM($H$3:H610)</f>
        <v>0.63380075821428894</v>
      </c>
      <c r="J610" s="23">
        <v>2.7000000000000001E-3</v>
      </c>
      <c r="Q610" s="7">
        <f t="shared" si="37"/>
        <v>9.6560372633680677E-5</v>
      </c>
      <c r="R610" s="7">
        <f t="shared" si="36"/>
        <v>1.0524346378471012E-3</v>
      </c>
    </row>
    <row r="611" spans="1:18" x14ac:dyDescent="0.25">
      <c r="A611" s="22">
        <v>45463</v>
      </c>
      <c r="B611" s="12">
        <v>261.72000000000003</v>
      </c>
      <c r="C611" s="13">
        <v>1.2999999999999999E-3</v>
      </c>
      <c r="D611" s="7">
        <v>351</v>
      </c>
      <c r="E611" s="7">
        <v>2.7000000000000001E-3</v>
      </c>
      <c r="F611" s="7">
        <v>343</v>
      </c>
      <c r="G611" s="8">
        <f t="shared" si="38"/>
        <v>0.96627991939552305</v>
      </c>
      <c r="H611" s="9">
        <f t="shared" si="39"/>
        <v>1.0555781946165253E-3</v>
      </c>
      <c r="I611" s="10">
        <f>SUM($H$3:H611)</f>
        <v>0.63485633640890549</v>
      </c>
      <c r="J611" s="23">
        <v>2.7000000000000001E-3</v>
      </c>
      <c r="Q611" s="7">
        <f t="shared" si="37"/>
        <v>9.6570029636644327E-5</v>
      </c>
      <c r="R611" s="7">
        <f t="shared" si="36"/>
        <v>1.0525398918362846E-3</v>
      </c>
    </row>
    <row r="612" spans="1:18" x14ac:dyDescent="0.25">
      <c r="A612" s="22">
        <v>45464</v>
      </c>
      <c r="B612" s="12">
        <v>260.87</v>
      </c>
      <c r="C612" s="13">
        <v>-3.2000000000000002E-3</v>
      </c>
      <c r="D612" s="7">
        <v>350</v>
      </c>
      <c r="E612" s="7">
        <v>2.7000000000000001E-3</v>
      </c>
      <c r="F612" s="7">
        <v>284</v>
      </c>
      <c r="G612" s="8">
        <f t="shared" si="38"/>
        <v>0.97199810890491412</v>
      </c>
      <c r="H612" s="9">
        <f t="shared" si="39"/>
        <v>1.0618248277480243E-3</v>
      </c>
      <c r="I612" s="10">
        <f>SUM($H$3:H612)</f>
        <v>0.63591816123665346</v>
      </c>
      <c r="J612" s="23">
        <v>2.7000000000000001E-3</v>
      </c>
      <c r="Q612" s="7">
        <f t="shared" si="37"/>
        <v>9.6579687605404863E-5</v>
      </c>
      <c r="R612" s="7">
        <f t="shared" si="36"/>
        <v>1.0526451563519197E-3</v>
      </c>
    </row>
    <row r="613" spans="1:18" x14ac:dyDescent="0.25">
      <c r="A613" s="22">
        <v>45467</v>
      </c>
      <c r="B613" s="12">
        <v>261.66000000000003</v>
      </c>
      <c r="C613" s="13">
        <v>3.0000000000000001E-3</v>
      </c>
      <c r="D613" s="7">
        <v>349</v>
      </c>
      <c r="E613" s="7">
        <v>2.7000000000000001E-3</v>
      </c>
      <c r="F613" s="7">
        <v>221</v>
      </c>
      <c r="G613" s="8">
        <f t="shared" si="38"/>
        <v>0.97814133499991429</v>
      </c>
      <c r="H613" s="9">
        <f t="shared" si="39"/>
        <v>1.0685357770085016E-3</v>
      </c>
      <c r="I613" s="10">
        <f>SUM($H$3:H613)</f>
        <v>0.63698669701366195</v>
      </c>
      <c r="J613" s="23">
        <v>2.7000000000000001E-3</v>
      </c>
      <c r="Q613" s="7">
        <f t="shared" si="37"/>
        <v>9.6589346540058876E-5</v>
      </c>
      <c r="R613" s="7">
        <f t="shared" si="36"/>
        <v>1.0527504313950593E-3</v>
      </c>
    </row>
    <row r="614" spans="1:18" x14ac:dyDescent="0.25">
      <c r="A614" s="22">
        <v>45468</v>
      </c>
      <c r="B614" s="12">
        <v>263.58999999999997</v>
      </c>
      <c r="C614" s="13">
        <v>7.4000000000000003E-3</v>
      </c>
      <c r="D614" s="7">
        <v>348</v>
      </c>
      <c r="E614" s="7">
        <v>2.8E-3</v>
      </c>
      <c r="F614" s="7">
        <v>825</v>
      </c>
      <c r="G614" s="8">
        <f t="shared" si="38"/>
        <v>0.92080763926423581</v>
      </c>
      <c r="H614" s="9">
        <f t="shared" si="39"/>
        <v>1.0059036164713972E-3</v>
      </c>
      <c r="I614" s="10">
        <f>SUM($H$3:H614)</f>
        <v>0.6379926006301333</v>
      </c>
      <c r="J614" s="23">
        <v>2.8E-3</v>
      </c>
      <c r="Q614" s="7">
        <f t="shared" si="37"/>
        <v>9.6599006440702953E-5</v>
      </c>
      <c r="R614" s="7">
        <f t="shared" si="36"/>
        <v>1.052855716966756E-3</v>
      </c>
    </row>
    <row r="615" spans="1:18" x14ac:dyDescent="0.25">
      <c r="A615" s="22">
        <v>45469</v>
      </c>
      <c r="B615" s="12">
        <v>265.01</v>
      </c>
      <c r="C615" s="13">
        <v>5.4000000000000003E-3</v>
      </c>
      <c r="D615" s="7">
        <v>347</v>
      </c>
      <c r="E615" s="7">
        <v>2.8E-3</v>
      </c>
      <c r="F615" s="7">
        <v>725</v>
      </c>
      <c r="G615" s="8">
        <f t="shared" si="38"/>
        <v>0.93006237495329303</v>
      </c>
      <c r="H615" s="9">
        <f t="shared" si="39"/>
        <v>1.0160136239280558E-3</v>
      </c>
      <c r="I615" s="10">
        <f>SUM($H$3:H615)</f>
        <v>0.6390086142540613</v>
      </c>
      <c r="J615" s="23">
        <v>2.8E-3</v>
      </c>
      <c r="Q615" s="7">
        <f t="shared" si="37"/>
        <v>9.6608667307433683E-5</v>
      </c>
      <c r="R615" s="7">
        <f t="shared" si="36"/>
        <v>1.0529610130680627E-3</v>
      </c>
    </row>
    <row r="616" spans="1:18" x14ac:dyDescent="0.25">
      <c r="A616" s="22">
        <v>45470</v>
      </c>
      <c r="B616" s="12">
        <v>266.95</v>
      </c>
      <c r="C616" s="13">
        <v>7.3000000000000001E-3</v>
      </c>
      <c r="D616" s="7">
        <v>346</v>
      </c>
      <c r="E616" s="7">
        <v>2.8999999999999998E-3</v>
      </c>
      <c r="F616" s="7">
        <v>466</v>
      </c>
      <c r="G616" s="8">
        <f t="shared" si="38"/>
        <v>0.95446688482788389</v>
      </c>
      <c r="H616" s="9">
        <f t="shared" si="39"/>
        <v>1.0426734643706028E-3</v>
      </c>
      <c r="I616" s="10">
        <f>SUM($H$3:H616)</f>
        <v>0.64005128771843189</v>
      </c>
      <c r="J616" s="23">
        <v>2.8999999999999998E-3</v>
      </c>
      <c r="Q616" s="7">
        <f t="shared" si="37"/>
        <v>9.661832914034771E-5</v>
      </c>
      <c r="R616" s="7">
        <f t="shared" si="36"/>
        <v>1.0530663197000326E-3</v>
      </c>
    </row>
    <row r="617" spans="1:18" x14ac:dyDescent="0.25">
      <c r="A617" s="22">
        <v>45471</v>
      </c>
      <c r="B617" s="12">
        <v>267.48</v>
      </c>
      <c r="C617" s="13">
        <v>2E-3</v>
      </c>
      <c r="D617" s="7">
        <v>345</v>
      </c>
      <c r="E617" s="7">
        <v>2.8999999999999998E-3</v>
      </c>
      <c r="F617" s="7">
        <v>90</v>
      </c>
      <c r="G617" s="8">
        <f t="shared" si="38"/>
        <v>0.9910399327750824</v>
      </c>
      <c r="H617" s="9">
        <f t="shared" si="39"/>
        <v>1.0826263922425572E-3</v>
      </c>
      <c r="I617" s="10">
        <f>SUM($H$3:H617)</f>
        <v>0.64113391411067444</v>
      </c>
      <c r="J617" s="23">
        <v>2.8999999999999998E-3</v>
      </c>
      <c r="Q617" s="7">
        <f t="shared" si="37"/>
        <v>9.6627991939541663E-5</v>
      </c>
      <c r="R617" s="7">
        <f t="shared" si="36"/>
        <v>1.053171636863719E-3</v>
      </c>
    </row>
    <row r="618" spans="1:18" x14ac:dyDescent="0.25">
      <c r="A618" s="22">
        <v>45474</v>
      </c>
      <c r="B618" s="12">
        <v>268.3</v>
      </c>
      <c r="C618" s="13">
        <v>3.0999999999999999E-3</v>
      </c>
      <c r="D618" s="7">
        <v>344</v>
      </c>
      <c r="E618" s="7">
        <v>2.8999999999999998E-3</v>
      </c>
      <c r="F618" s="7">
        <v>81</v>
      </c>
      <c r="G618" s="8">
        <f t="shared" si="38"/>
        <v>0.9919323148461201</v>
      </c>
      <c r="H618" s="9">
        <f t="shared" si="39"/>
        <v>1.0836012433561386E-3</v>
      </c>
      <c r="I618" s="10">
        <f>SUM($H$3:H618)</f>
        <v>0.6422175153540306</v>
      </c>
      <c r="J618" s="23">
        <v>2.8999999999999998E-3</v>
      </c>
      <c r="Q618" s="7">
        <f t="shared" si="37"/>
        <v>9.6637655705112186E-5</v>
      </c>
      <c r="R618" s="7">
        <f t="shared" si="36"/>
        <v>1.0532769645601751E-3</v>
      </c>
    </row>
    <row r="619" spans="1:18" x14ac:dyDescent="0.25">
      <c r="A619" s="22">
        <v>45475</v>
      </c>
      <c r="B619" s="12">
        <v>269.02999999999997</v>
      </c>
      <c r="C619" s="13">
        <v>2.7000000000000001E-3</v>
      </c>
      <c r="D619" s="7">
        <v>343</v>
      </c>
      <c r="E619" s="7">
        <v>3.0000000000000001E-3</v>
      </c>
      <c r="F619" s="7">
        <v>517</v>
      </c>
      <c r="G619" s="8">
        <f t="shared" si="38"/>
        <v>0.94961125331510143</v>
      </c>
      <c r="H619" s="9">
        <f t="shared" si="39"/>
        <v>1.0373691021013419E-3</v>
      </c>
      <c r="I619" s="10">
        <f>SUM($H$3:H619)</f>
        <v>0.64325488445613199</v>
      </c>
      <c r="J619" s="23">
        <v>3.0000000000000001E-3</v>
      </c>
      <c r="Q619" s="7">
        <f t="shared" si="37"/>
        <v>9.6647320437155893E-5</v>
      </c>
      <c r="R619" s="7">
        <f t="shared" si="36"/>
        <v>1.053382302790454E-3</v>
      </c>
    </row>
    <row r="620" spans="1:18" x14ac:dyDescent="0.25">
      <c r="A620" s="22">
        <v>45476</v>
      </c>
      <c r="B620" s="12">
        <v>270.23</v>
      </c>
      <c r="C620" s="13">
        <v>4.4999999999999997E-3</v>
      </c>
      <c r="D620" s="7">
        <v>342</v>
      </c>
      <c r="E620" s="7">
        <v>3.0000000000000001E-3</v>
      </c>
      <c r="F620" s="7">
        <v>349</v>
      </c>
      <c r="G620" s="8">
        <f t="shared" si="38"/>
        <v>0.96570029636654964</v>
      </c>
      <c r="H620" s="9">
        <f t="shared" si="39"/>
        <v>1.0549450060153749E-3</v>
      </c>
      <c r="I620" s="10">
        <f>SUM($H$3:H620)</f>
        <v>0.64430982946214732</v>
      </c>
      <c r="J620" s="23">
        <v>3.0000000000000001E-3</v>
      </c>
      <c r="Q620" s="7">
        <f t="shared" si="37"/>
        <v>9.6656986135769469E-5</v>
      </c>
      <c r="R620" s="7">
        <f t="shared" si="36"/>
        <v>1.0534876515556097E-3</v>
      </c>
    </row>
    <row r="621" spans="1:18" x14ac:dyDescent="0.25">
      <c r="A621" s="22">
        <v>45477</v>
      </c>
      <c r="B621" s="12">
        <v>270.52999999999997</v>
      </c>
      <c r="C621" s="13">
        <v>1.1000000000000001E-3</v>
      </c>
      <c r="D621" s="7">
        <v>341</v>
      </c>
      <c r="E621" s="7">
        <v>3.0000000000000001E-3</v>
      </c>
      <c r="F621" s="7">
        <v>268</v>
      </c>
      <c r="G621" s="8">
        <f t="shared" si="38"/>
        <v>0.9735546285901171</v>
      </c>
      <c r="H621" s="9">
        <f t="shared" si="39"/>
        <v>1.0635251924210473E-3</v>
      </c>
      <c r="I621" s="10">
        <f>SUM($H$3:H621)</f>
        <v>0.64537335465456835</v>
      </c>
      <c r="J621" s="23">
        <v>3.0000000000000001E-3</v>
      </c>
      <c r="Q621" s="7">
        <f t="shared" si="37"/>
        <v>9.6666652801049571E-5</v>
      </c>
      <c r="R621" s="7">
        <f t="shared" si="36"/>
        <v>1.0535930108566953E-3</v>
      </c>
    </row>
    <row r="622" spans="1:18" x14ac:dyDescent="0.25">
      <c r="A622" s="22">
        <v>45478</v>
      </c>
      <c r="B622" s="12">
        <v>270.52999999999997</v>
      </c>
      <c r="C622" s="13">
        <v>0</v>
      </c>
      <c r="D622" s="7">
        <v>340</v>
      </c>
      <c r="E622" s="7">
        <v>3.0000000000000001E-3</v>
      </c>
      <c r="F622" s="7">
        <v>111</v>
      </c>
      <c r="G622" s="8">
        <f t="shared" si="38"/>
        <v>0.98896082878262392</v>
      </c>
      <c r="H622" s="9">
        <f t="shared" si="39"/>
        <v>1.0803551488950268E-3</v>
      </c>
      <c r="I622" s="10">
        <f>SUM($H$3:H622)</f>
        <v>0.64645370980346339</v>
      </c>
      <c r="J622" s="23">
        <v>3.0000000000000001E-3</v>
      </c>
      <c r="Q622" s="7">
        <f t="shared" si="37"/>
        <v>9.6676320433092868E-5</v>
      </c>
      <c r="R622" s="7">
        <f t="shared" si="36"/>
        <v>1.0536983806947646E-3</v>
      </c>
    </row>
    <row r="623" spans="1:18" x14ac:dyDescent="0.25">
      <c r="A623" s="22">
        <v>45481</v>
      </c>
      <c r="B623" s="12">
        <v>270.04000000000002</v>
      </c>
      <c r="C623" s="13">
        <v>-1.8E-3</v>
      </c>
      <c r="D623" s="7">
        <v>339</v>
      </c>
      <c r="E623" s="7">
        <v>3.0999999999999999E-3</v>
      </c>
      <c r="F623" s="7">
        <v>790</v>
      </c>
      <c r="G623" s="8">
        <f t="shared" si="38"/>
        <v>0.92403627425126489</v>
      </c>
      <c r="H623" s="9">
        <f t="shared" si="39"/>
        <v>1.009430624145132E-3</v>
      </c>
      <c r="I623" s="10">
        <f>SUM($H$3:H623)</f>
        <v>0.64746314042760855</v>
      </c>
      <c r="J623" s="23">
        <v>3.0999999999999999E-3</v>
      </c>
      <c r="Q623" s="7">
        <f t="shared" si="37"/>
        <v>9.6685989031996072E-5</v>
      </c>
      <c r="R623" s="7">
        <f t="shared" si="36"/>
        <v>1.0538037610708718E-3</v>
      </c>
    </row>
    <row r="624" spans="1:18" x14ac:dyDescent="0.25">
      <c r="A624" s="22">
        <v>45482</v>
      </c>
      <c r="B624" s="12">
        <v>271.38</v>
      </c>
      <c r="C624" s="13">
        <v>5.0000000000000001E-3</v>
      </c>
      <c r="D624" s="7">
        <v>338</v>
      </c>
      <c r="E624" s="7">
        <v>3.0999999999999999E-3</v>
      </c>
      <c r="F624" s="7">
        <v>738</v>
      </c>
      <c r="G624" s="8">
        <f t="shared" si="38"/>
        <v>0.92885401904857512</v>
      </c>
      <c r="H624" s="9">
        <f t="shared" si="39"/>
        <v>1.0146935984170688E-3</v>
      </c>
      <c r="I624" s="10">
        <f>SUM($H$3:H624)</f>
        <v>0.64847783402602566</v>
      </c>
      <c r="J624" s="23">
        <v>3.0999999999999999E-3</v>
      </c>
      <c r="Q624" s="7">
        <f t="shared" si="37"/>
        <v>9.6695658597855853E-5</v>
      </c>
      <c r="R624" s="7">
        <f t="shared" si="36"/>
        <v>1.0539091519860704E-3</v>
      </c>
    </row>
    <row r="625" spans="1:18" x14ac:dyDescent="0.25">
      <c r="A625" s="22">
        <v>45483</v>
      </c>
      <c r="B625" s="12">
        <v>270.92</v>
      </c>
      <c r="C625" s="13">
        <v>-1.6999999999999999E-3</v>
      </c>
      <c r="D625" s="7">
        <v>337</v>
      </c>
      <c r="E625" s="7">
        <v>3.0999999999999999E-3</v>
      </c>
      <c r="F625" s="7">
        <v>598</v>
      </c>
      <c r="G625" s="8">
        <f t="shared" si="38"/>
        <v>0.94195008870477392</v>
      </c>
      <c r="H625" s="9">
        <f t="shared" si="39"/>
        <v>1.0289999347972251E-3</v>
      </c>
      <c r="I625" s="10">
        <f>SUM($H$3:H625)</f>
        <v>0.64950683396082287</v>
      </c>
      <c r="J625" s="23">
        <v>3.0999999999999999E-3</v>
      </c>
      <c r="Q625" s="7">
        <f t="shared" si="37"/>
        <v>9.6705329130768934E-5</v>
      </c>
      <c r="R625" s="7">
        <f t="shared" si="36"/>
        <v>1.0540145534414145E-3</v>
      </c>
    </row>
    <row r="626" spans="1:18" x14ac:dyDescent="0.25">
      <c r="A626" s="22">
        <v>45484</v>
      </c>
      <c r="B626" s="12">
        <v>270.75</v>
      </c>
      <c r="C626" s="13">
        <v>-5.9999999999999995E-4</v>
      </c>
      <c r="D626" s="7">
        <v>336</v>
      </c>
      <c r="E626" s="7">
        <v>3.0999999999999999E-3</v>
      </c>
      <c r="F626" s="7">
        <v>408</v>
      </c>
      <c r="G626" s="8">
        <f t="shared" si="38"/>
        <v>0.96001915640001156</v>
      </c>
      <c r="H626" s="9">
        <f t="shared" si="39"/>
        <v>1.0487388463416918E-3</v>
      </c>
      <c r="I626" s="10">
        <f>SUM($H$3:H626)</f>
        <v>0.65055557280716458</v>
      </c>
      <c r="J626" s="23">
        <v>3.0999999999999999E-3</v>
      </c>
      <c r="Q626" s="7">
        <f t="shared" si="37"/>
        <v>9.6715000630832014E-5</v>
      </c>
      <c r="R626" s="7">
        <f t="shared" si="36"/>
        <v>1.0541199654379584E-3</v>
      </c>
    </row>
    <row r="627" spans="1:18" x14ac:dyDescent="0.25">
      <c r="A627" s="22">
        <v>45485</v>
      </c>
      <c r="B627" s="12">
        <v>271.94</v>
      </c>
      <c r="C627" s="13">
        <v>4.4000000000000003E-3</v>
      </c>
      <c r="D627" s="7">
        <v>335</v>
      </c>
      <c r="E627" s="7">
        <v>3.0999999999999999E-3</v>
      </c>
      <c r="F627" s="7">
        <v>384</v>
      </c>
      <c r="G627" s="8">
        <f t="shared" si="38"/>
        <v>0.96232608493057581</v>
      </c>
      <c r="H627" s="9">
        <f t="shared" si="39"/>
        <v>1.051258968518013E-3</v>
      </c>
      <c r="I627" s="10">
        <f>SUM($H$3:H627)</f>
        <v>0.65160683177568257</v>
      </c>
      <c r="J627" s="23">
        <v>3.0999999999999999E-3</v>
      </c>
      <c r="Q627" s="7">
        <f t="shared" si="37"/>
        <v>9.6724673098141817E-5</v>
      </c>
      <c r="R627" s="7">
        <f t="shared" si="36"/>
        <v>1.0542253879767558E-3</v>
      </c>
    </row>
    <row r="628" spans="1:18" x14ac:dyDescent="0.25">
      <c r="A628" s="22">
        <v>45488</v>
      </c>
      <c r="B628" s="12">
        <v>273.08999999999997</v>
      </c>
      <c r="C628" s="13">
        <v>4.1999999999999997E-3</v>
      </c>
      <c r="D628" s="7">
        <v>334</v>
      </c>
      <c r="E628" s="7">
        <v>3.0999999999999999E-3</v>
      </c>
      <c r="F628" s="7">
        <v>344</v>
      </c>
      <c r="G628" s="8">
        <f t="shared" si="38"/>
        <v>0.9661832914035835</v>
      </c>
      <c r="H628" s="9">
        <f t="shared" si="39"/>
        <v>1.0554726367970637E-3</v>
      </c>
      <c r="I628" s="10">
        <f>SUM($H$3:H628)</f>
        <v>0.65266230441247963</v>
      </c>
      <c r="J628" s="23">
        <v>3.0999999999999999E-3</v>
      </c>
      <c r="Q628" s="7">
        <f t="shared" si="37"/>
        <v>9.6734346532795093E-5</v>
      </c>
      <c r="R628" s="7">
        <f t="shared" si="36"/>
        <v>1.0543308210588618E-3</v>
      </c>
    </row>
    <row r="629" spans="1:18" x14ac:dyDescent="0.25">
      <c r="A629" s="22">
        <v>45489</v>
      </c>
      <c r="B629" s="12">
        <v>273.55</v>
      </c>
      <c r="C629" s="13">
        <v>1.6999999999999999E-3</v>
      </c>
      <c r="D629" s="7">
        <v>333</v>
      </c>
      <c r="E629" s="7">
        <v>3.0999999999999999E-3</v>
      </c>
      <c r="F629" s="7">
        <v>118</v>
      </c>
      <c r="G629" s="8">
        <f t="shared" si="38"/>
        <v>0.98826876384964013</v>
      </c>
      <c r="H629" s="9">
        <f t="shared" si="39"/>
        <v>1.0795991271275731E-3</v>
      </c>
      <c r="I629" s="10">
        <f>SUM($H$3:H629)</f>
        <v>0.65374190353960726</v>
      </c>
      <c r="J629" s="23">
        <v>3.0999999999999999E-3</v>
      </c>
      <c r="Q629" s="7">
        <f t="shared" si="37"/>
        <v>9.6744020934888596E-5</v>
      </c>
      <c r="R629" s="7">
        <f t="shared" si="36"/>
        <v>1.0544362646853305E-3</v>
      </c>
    </row>
    <row r="630" spans="1:18" x14ac:dyDescent="0.25">
      <c r="A630" s="22">
        <v>45491</v>
      </c>
      <c r="B630" s="12">
        <v>275.51</v>
      </c>
      <c r="C630" s="13">
        <v>7.1999999999999998E-3</v>
      </c>
      <c r="D630" s="7">
        <v>332</v>
      </c>
      <c r="E630" s="7">
        <v>3.2000000000000002E-3</v>
      </c>
      <c r="F630" s="7">
        <v>762</v>
      </c>
      <c r="G630" s="8">
        <f t="shared" si="38"/>
        <v>0.92662733116093776</v>
      </c>
      <c r="H630" s="9">
        <f t="shared" si="39"/>
        <v>1.0122611322825382E-3</v>
      </c>
      <c r="I630" s="10">
        <f>SUM($H$3:H630)</f>
        <v>0.65475416467188985</v>
      </c>
      <c r="J630" s="23">
        <v>3.2000000000000002E-3</v>
      </c>
      <c r="Q630" s="7">
        <f t="shared" si="37"/>
        <v>9.6753696304519035E-5</v>
      </c>
      <c r="R630" s="7">
        <f t="shared" si="36"/>
        <v>1.0545417188572159E-3</v>
      </c>
    </row>
    <row r="631" spans="1:18" x14ac:dyDescent="0.25">
      <c r="A631" s="22">
        <v>45492</v>
      </c>
      <c r="B631" s="12">
        <v>273.29000000000002</v>
      </c>
      <c r="C631" s="13">
        <v>-8.0999999999999996E-3</v>
      </c>
      <c r="D631" s="7">
        <v>331</v>
      </c>
      <c r="E631" s="7">
        <v>3.2000000000000002E-3</v>
      </c>
      <c r="F631" s="7">
        <v>563</v>
      </c>
      <c r="G631" s="8">
        <f t="shared" si="38"/>
        <v>0.94525285562670924</v>
      </c>
      <c r="H631" s="9">
        <f t="shared" si="39"/>
        <v>1.0326079252715348E-3</v>
      </c>
      <c r="I631" s="10">
        <f>SUM($H$3:H631)</f>
        <v>0.65578677259716134</v>
      </c>
      <c r="J631" s="23">
        <v>3.2000000000000002E-3</v>
      </c>
      <c r="Q631" s="7">
        <f t="shared" si="37"/>
        <v>9.6763372641783202E-5</v>
      </c>
      <c r="R631" s="7">
        <f t="shared" si="36"/>
        <v>1.0546471835755735E-3</v>
      </c>
    </row>
    <row r="632" spans="1:18" x14ac:dyDescent="0.25">
      <c r="A632" s="22">
        <v>45495</v>
      </c>
      <c r="B632" s="12">
        <v>272.45</v>
      </c>
      <c r="C632" s="13">
        <v>-3.0999999999999999E-3</v>
      </c>
      <c r="D632" s="7">
        <v>330</v>
      </c>
      <c r="E632" s="7">
        <v>3.2000000000000002E-3</v>
      </c>
      <c r="F632" s="7">
        <v>364</v>
      </c>
      <c r="G632" s="8">
        <f t="shared" si="38"/>
        <v>0.96425275946804956</v>
      </c>
      <c r="H632" s="9">
        <f t="shared" si="39"/>
        <v>1.0533636957187524E-3</v>
      </c>
      <c r="I632" s="10">
        <f>SUM($H$3:H632)</f>
        <v>0.65684013629288007</v>
      </c>
      <c r="J632" s="23">
        <v>3.2000000000000002E-3</v>
      </c>
      <c r="Q632" s="7">
        <f t="shared" si="37"/>
        <v>9.6773049946777891E-5</v>
      </c>
      <c r="R632" s="7">
        <f t="shared" si="36"/>
        <v>1.0547526588414577E-3</v>
      </c>
    </row>
    <row r="633" spans="1:18" x14ac:dyDescent="0.25">
      <c r="A633" s="22">
        <v>45496</v>
      </c>
      <c r="B633" s="12">
        <v>272.64</v>
      </c>
      <c r="C633" s="13">
        <v>6.9999999999999999E-4</v>
      </c>
      <c r="D633" s="7">
        <v>329</v>
      </c>
      <c r="E633" s="7">
        <v>3.2000000000000002E-3</v>
      </c>
      <c r="F633" s="7">
        <v>197</v>
      </c>
      <c r="G633" s="8">
        <f t="shared" si="38"/>
        <v>0.98049181117280371</v>
      </c>
      <c r="H633" s="9">
        <f t="shared" si="39"/>
        <v>1.0711034712607218E-3</v>
      </c>
      <c r="I633" s="10">
        <f>SUM($H$3:H633)</f>
        <v>0.65791123976414079</v>
      </c>
      <c r="J633" s="23">
        <v>3.2000000000000002E-3</v>
      </c>
      <c r="Q633" s="7">
        <f t="shared" si="37"/>
        <v>9.6782728219599838E-5</v>
      </c>
      <c r="R633" s="7">
        <f t="shared" si="36"/>
        <v>1.0548581446559232E-3</v>
      </c>
    </row>
    <row r="634" spans="1:18" x14ac:dyDescent="0.25">
      <c r="A634" s="22">
        <v>45497</v>
      </c>
      <c r="B634" s="12">
        <v>271.89</v>
      </c>
      <c r="C634" s="13">
        <v>-2.8E-3</v>
      </c>
      <c r="D634" s="7">
        <v>328</v>
      </c>
      <c r="E634" s="7">
        <v>3.2000000000000002E-3</v>
      </c>
      <c r="F634" s="7">
        <v>158</v>
      </c>
      <c r="G634" s="8">
        <f t="shared" si="38"/>
        <v>0.98432338753553061</v>
      </c>
      <c r="H634" s="9">
        <f t="shared" si="39"/>
        <v>1.0752891408356757E-3</v>
      </c>
      <c r="I634" s="10">
        <f>SUM($H$3:H634)</f>
        <v>0.65898652890497644</v>
      </c>
      <c r="J634" s="23">
        <v>3.2000000000000002E-3</v>
      </c>
      <c r="Q634" s="7">
        <f t="shared" si="37"/>
        <v>9.6792407460345891E-5</v>
      </c>
      <c r="R634" s="7">
        <f t="shared" si="36"/>
        <v>1.0549636410200254E-3</v>
      </c>
    </row>
    <row r="635" spans="1:18" x14ac:dyDescent="0.25">
      <c r="A635" s="22">
        <v>45498</v>
      </c>
      <c r="B635" s="12">
        <v>271.92</v>
      </c>
      <c r="C635" s="13">
        <v>1E-4</v>
      </c>
      <c r="D635" s="7">
        <v>327</v>
      </c>
      <c r="E635" s="7">
        <v>3.2000000000000002E-3</v>
      </c>
      <c r="F635" s="7">
        <v>61</v>
      </c>
      <c r="G635" s="8">
        <f t="shared" si="38"/>
        <v>0.99391826406212758</v>
      </c>
      <c r="H635" s="9">
        <f t="shared" si="39"/>
        <v>1.0857707230751675E-3</v>
      </c>
      <c r="I635" s="10">
        <f>SUM($H$3:H635)</f>
        <v>0.66007229962805158</v>
      </c>
      <c r="J635" s="23">
        <v>3.2000000000000002E-3</v>
      </c>
      <c r="Q635" s="7">
        <f t="shared" si="37"/>
        <v>9.6802087669112786E-5</v>
      </c>
      <c r="R635" s="7">
        <f t="shared" si="36"/>
        <v>1.0550691479348185E-3</v>
      </c>
    </row>
    <row r="636" spans="1:18" x14ac:dyDescent="0.25">
      <c r="A636" s="22">
        <v>45499</v>
      </c>
      <c r="B636" s="12">
        <v>276.06</v>
      </c>
      <c r="C636" s="13">
        <v>1.52E-2</v>
      </c>
      <c r="D636" s="7">
        <v>326</v>
      </c>
      <c r="E636" s="7">
        <v>3.3E-3</v>
      </c>
      <c r="F636" s="7">
        <v>397</v>
      </c>
      <c r="G636" s="8">
        <f t="shared" si="38"/>
        <v>0.96107581135935616</v>
      </c>
      <c r="H636" s="9">
        <f t="shared" si="39"/>
        <v>1.0498931515403505E-3</v>
      </c>
      <c r="I636" s="10">
        <f>SUM($H$3:H636)</f>
        <v>0.66112219277959194</v>
      </c>
      <c r="J636" s="23">
        <v>3.3E-3</v>
      </c>
      <c r="Q636" s="7">
        <f t="shared" si="37"/>
        <v>9.6811768845997371E-5</v>
      </c>
      <c r="R636" s="7">
        <f t="shared" si="36"/>
        <v>1.0551746654013587E-3</v>
      </c>
    </row>
    <row r="637" spans="1:18" x14ac:dyDescent="0.25">
      <c r="A637" s="22">
        <v>45502</v>
      </c>
      <c r="B637" s="12">
        <v>276.68</v>
      </c>
      <c r="C637" s="13">
        <v>2.2000000000000001E-3</v>
      </c>
      <c r="D637" s="7">
        <v>325</v>
      </c>
      <c r="E637" s="7">
        <v>3.3E-3</v>
      </c>
      <c r="F637" s="7">
        <v>361</v>
      </c>
      <c r="G637" s="8">
        <f t="shared" si="38"/>
        <v>0.96454209316069939</v>
      </c>
      <c r="H637" s="9">
        <f t="shared" si="39"/>
        <v>1.053679768039825E-3</v>
      </c>
      <c r="I637" s="10">
        <f>SUM($H$3:H637)</f>
        <v>0.66217587254763177</v>
      </c>
      <c r="J637" s="23">
        <v>3.3E-3</v>
      </c>
      <c r="Q637" s="7">
        <f t="shared" si="37"/>
        <v>9.6821450991096492E-5</v>
      </c>
      <c r="R637" s="7">
        <f t="shared" si="36"/>
        <v>1.0552801934207007E-3</v>
      </c>
    </row>
    <row r="638" spans="1:18" x14ac:dyDescent="0.25">
      <c r="A638" s="22">
        <v>45503</v>
      </c>
      <c r="B638" s="12">
        <v>277.10000000000002</v>
      </c>
      <c r="C638" s="13">
        <v>1.5E-3</v>
      </c>
      <c r="D638" s="7">
        <v>324</v>
      </c>
      <c r="E638" s="7">
        <v>3.3E-3</v>
      </c>
      <c r="F638" s="7">
        <v>357</v>
      </c>
      <c r="G638" s="8">
        <f t="shared" si="38"/>
        <v>0.96492800647146726</v>
      </c>
      <c r="H638" s="9">
        <f t="shared" si="39"/>
        <v>1.054101345336095E-3</v>
      </c>
      <c r="I638" s="10">
        <f>SUM($H$3:H638)</f>
        <v>0.66322997389296789</v>
      </c>
      <c r="J638" s="23">
        <v>3.3E-3</v>
      </c>
      <c r="Q638" s="7">
        <f t="shared" si="37"/>
        <v>9.683113410450694E-5</v>
      </c>
      <c r="R638" s="7">
        <f t="shared" si="36"/>
        <v>1.0553857319939002E-3</v>
      </c>
    </row>
    <row r="639" spans="1:18" x14ac:dyDescent="0.25">
      <c r="A639" s="22">
        <v>45504</v>
      </c>
      <c r="B639" s="12">
        <v>277.75</v>
      </c>
      <c r="C639" s="13">
        <v>2.3E-3</v>
      </c>
      <c r="D639" s="7">
        <v>323</v>
      </c>
      <c r="E639" s="7">
        <v>3.3E-3</v>
      </c>
      <c r="F639" s="7">
        <v>209</v>
      </c>
      <c r="G639" s="8">
        <f t="shared" si="38"/>
        <v>0.97931586790833225</v>
      </c>
      <c r="H639" s="9">
        <f t="shared" si="39"/>
        <v>1.0698188537879105E-3</v>
      </c>
      <c r="I639" s="10">
        <f>SUM($H$3:H639)</f>
        <v>0.66429979274675577</v>
      </c>
      <c r="J639" s="23">
        <v>3.3E-3</v>
      </c>
      <c r="Q639" s="7">
        <f t="shared" si="37"/>
        <v>9.6840818186325563E-5</v>
      </c>
      <c r="R639" s="7">
        <f t="shared" si="36"/>
        <v>1.0554912811220122E-3</v>
      </c>
    </row>
    <row r="640" spans="1:18" x14ac:dyDescent="0.25">
      <c r="A640" s="22">
        <v>45505</v>
      </c>
      <c r="B640" s="12">
        <v>278.33</v>
      </c>
      <c r="C640" s="13">
        <v>2.0999999999999999E-3</v>
      </c>
      <c r="D640" s="7">
        <v>322</v>
      </c>
      <c r="E640" s="7">
        <v>3.3E-3</v>
      </c>
      <c r="F640" s="7">
        <v>129</v>
      </c>
      <c r="G640" s="8">
        <f t="shared" si="38"/>
        <v>0.98718221159419417</v>
      </c>
      <c r="H640" s="9">
        <f t="shared" si="39"/>
        <v>1.0784121616891549E-3</v>
      </c>
      <c r="I640" s="10">
        <f>SUM($H$3:H640)</f>
        <v>0.6653782049084449</v>
      </c>
      <c r="J640" s="23">
        <v>3.3E-3</v>
      </c>
      <c r="Q640" s="7">
        <f t="shared" si="37"/>
        <v>9.685050323664922E-5</v>
      </c>
      <c r="R640" s="7">
        <f t="shared" si="36"/>
        <v>1.0555968408060927E-3</v>
      </c>
    </row>
    <row r="641" spans="1:18" x14ac:dyDescent="0.25">
      <c r="A641" s="22">
        <v>45506</v>
      </c>
      <c r="B641" s="12">
        <v>275.69</v>
      </c>
      <c r="C641" s="13">
        <v>-9.4999999999999998E-3</v>
      </c>
      <c r="D641" s="7">
        <v>321</v>
      </c>
      <c r="E641" s="7">
        <v>3.3E-3</v>
      </c>
      <c r="F641" s="7">
        <v>57</v>
      </c>
      <c r="G641" s="8">
        <f t="shared" si="38"/>
        <v>0.99431593077946057</v>
      </c>
      <c r="H641" s="9">
        <f t="shared" si="39"/>
        <v>1.0862051399631889E-3</v>
      </c>
      <c r="I641" s="10">
        <f>SUM($H$3:H641)</f>
        <v>0.66646441004840806</v>
      </c>
      <c r="J641" s="23">
        <v>3.3E-3</v>
      </c>
      <c r="Q641" s="7">
        <f t="shared" si="37"/>
        <v>9.6860189255574798E-5</v>
      </c>
      <c r="R641" s="7">
        <f t="shared" si="36"/>
        <v>1.0557024110471977E-3</v>
      </c>
    </row>
    <row r="642" spans="1:18" x14ac:dyDescent="0.25">
      <c r="A642" s="22">
        <v>45509</v>
      </c>
      <c r="B642" s="12">
        <v>269.48</v>
      </c>
      <c r="C642" s="13">
        <v>-2.2499999999999999E-2</v>
      </c>
      <c r="D642" s="7">
        <v>320</v>
      </c>
      <c r="E642" s="7">
        <v>3.3999999999999998E-3</v>
      </c>
      <c r="F642" s="7">
        <v>950</v>
      </c>
      <c r="G642" s="8">
        <f t="shared" si="38"/>
        <v>0.90936861466908536</v>
      </c>
      <c r="H642" s="9">
        <f t="shared" si="39"/>
        <v>9.9340746014241481E-4</v>
      </c>
      <c r="I642" s="10">
        <f>SUM($H$3:H642)</f>
        <v>0.66745781750855049</v>
      </c>
      <c r="J642" s="23">
        <v>3.3999999999999998E-3</v>
      </c>
      <c r="Q642" s="7">
        <f t="shared" si="37"/>
        <v>9.6869876243199104E-5</v>
      </c>
      <c r="R642" s="7">
        <f t="shared" ref="R642:R705" si="40">Q642/$U$2</f>
        <v>1.0558079918463821E-3</v>
      </c>
    </row>
    <row r="643" spans="1:18" x14ac:dyDescent="0.25">
      <c r="A643" s="22">
        <v>45510</v>
      </c>
      <c r="B643" s="12">
        <v>267.61</v>
      </c>
      <c r="C643" s="13">
        <v>-6.8999999999999999E-3</v>
      </c>
      <c r="D643" s="7">
        <v>319</v>
      </c>
      <c r="E643" s="7">
        <v>3.3999999999999998E-3</v>
      </c>
      <c r="F643" s="7">
        <v>741</v>
      </c>
      <c r="G643" s="8">
        <f t="shared" si="38"/>
        <v>0.92857539070755246</v>
      </c>
      <c r="H643" s="9">
        <f t="shared" si="39"/>
        <v>1.0143892207773373E-3</v>
      </c>
      <c r="I643" s="10">
        <f>SUM($H$3:H643)</f>
        <v>0.66847220672932783</v>
      </c>
      <c r="J643" s="23">
        <v>3.3999999999999998E-3</v>
      </c>
      <c r="Q643" s="7">
        <f t="shared" ref="Q643:Q706" si="41">(1-$N$3) * $N$3^(D644-1)</f>
        <v>9.6879564199619064E-5</v>
      </c>
      <c r="R643" s="7">
        <f t="shared" si="40"/>
        <v>1.0559135832047025E-3</v>
      </c>
    </row>
    <row r="644" spans="1:18" x14ac:dyDescent="0.25">
      <c r="A644" s="22">
        <v>45511</v>
      </c>
      <c r="B644" s="12">
        <v>271.10000000000002</v>
      </c>
      <c r="C644" s="13">
        <v>1.2999999999999999E-2</v>
      </c>
      <c r="D644" s="7">
        <v>318</v>
      </c>
      <c r="E644" s="7">
        <v>3.3999999999999998E-3</v>
      </c>
      <c r="F644" s="7">
        <v>737</v>
      </c>
      <c r="G644" s="8">
        <f t="shared" ref="G644:G707" si="42">$N$3^F644</f>
        <v>0.92894691373994909</v>
      </c>
      <c r="H644" s="9">
        <f t="shared" ref="H644:H707" si="43">G644/$N$4</f>
        <v>1.0147950779248614E-3</v>
      </c>
      <c r="I644" s="10">
        <f>SUM($H$3:H644)</f>
        <v>0.66948700180725274</v>
      </c>
      <c r="J644" s="23">
        <v>3.3999999999999998E-3</v>
      </c>
      <c r="Q644" s="7">
        <f t="shared" si="41"/>
        <v>9.6889253124931538E-5</v>
      </c>
      <c r="R644" s="7">
        <f t="shared" si="40"/>
        <v>1.0560191851232148E-3</v>
      </c>
    </row>
    <row r="645" spans="1:18" x14ac:dyDescent="0.25">
      <c r="A645" s="22">
        <v>45512</v>
      </c>
      <c r="B645" s="12">
        <v>269.33</v>
      </c>
      <c r="C645" s="13">
        <v>-6.4999999999999997E-3</v>
      </c>
      <c r="D645" s="7">
        <v>317</v>
      </c>
      <c r="E645" s="7">
        <v>3.3999999999999998E-3</v>
      </c>
      <c r="F645" s="7">
        <v>164</v>
      </c>
      <c r="G645" s="8">
        <f t="shared" si="42"/>
        <v>0.98373294113183252</v>
      </c>
      <c r="H645" s="9">
        <f t="shared" si="43"/>
        <v>1.0746441286230413E-3</v>
      </c>
      <c r="I645" s="10">
        <f>SUM($H$3:H645)</f>
        <v>0.67056164593587575</v>
      </c>
      <c r="J645" s="23">
        <v>3.3999999999999998E-3</v>
      </c>
      <c r="Q645" s="7">
        <f t="shared" si="41"/>
        <v>9.6898943019233468E-5</v>
      </c>
      <c r="R645" s="7">
        <f t="shared" si="40"/>
        <v>1.0561247976029751E-3</v>
      </c>
    </row>
    <row r="646" spans="1:18" x14ac:dyDescent="0.25">
      <c r="A646" s="22">
        <v>45513</v>
      </c>
      <c r="B646" s="12">
        <v>271.58999999999997</v>
      </c>
      <c r="C646" s="13">
        <v>8.3999999999999995E-3</v>
      </c>
      <c r="D646" s="7">
        <v>316</v>
      </c>
      <c r="E646" s="7">
        <v>3.5000000000000001E-3</v>
      </c>
      <c r="F646" s="7">
        <v>772</v>
      </c>
      <c r="G646" s="8">
        <f t="shared" si="42"/>
        <v>0.92570112070090027</v>
      </c>
      <c r="H646" s="9">
        <f t="shared" si="43"/>
        <v>1.0112493265463153E-3</v>
      </c>
      <c r="I646" s="10">
        <f>SUM($H$3:H646)</f>
        <v>0.67157289526242203</v>
      </c>
      <c r="J646" s="23">
        <v>3.5000000000000001E-3</v>
      </c>
      <c r="Q646" s="7">
        <f t="shared" si="41"/>
        <v>9.6908633882621727E-5</v>
      </c>
      <c r="R646" s="7">
        <f t="shared" si="40"/>
        <v>1.0562304206450396E-3</v>
      </c>
    </row>
    <row r="647" spans="1:18" x14ac:dyDescent="0.25">
      <c r="A647" s="22">
        <v>45516</v>
      </c>
      <c r="B647" s="12">
        <v>271.44</v>
      </c>
      <c r="C647" s="13">
        <v>-5.9999999999999995E-4</v>
      </c>
      <c r="D647" s="7">
        <v>315</v>
      </c>
      <c r="E647" s="7">
        <v>3.5000000000000001E-3</v>
      </c>
      <c r="F647" s="7">
        <v>355</v>
      </c>
      <c r="G647" s="8">
        <f t="shared" si="42"/>
        <v>0.96512102102446184</v>
      </c>
      <c r="H647" s="9">
        <f t="shared" si="43"/>
        <v>1.0543121972324194E-3</v>
      </c>
      <c r="I647" s="10">
        <f>SUM($H$3:H647)</f>
        <v>0.67262720745965443</v>
      </c>
      <c r="J647" s="23">
        <v>3.5000000000000001E-3</v>
      </c>
      <c r="Q647" s="7">
        <f t="shared" si="41"/>
        <v>9.6918325715193243E-5</v>
      </c>
      <c r="R647" s="7">
        <f t="shared" si="40"/>
        <v>1.0563360542504645E-3</v>
      </c>
    </row>
    <row r="648" spans="1:18" x14ac:dyDescent="0.25">
      <c r="A648" s="22">
        <v>45517</v>
      </c>
      <c r="B648" s="12">
        <v>269.52</v>
      </c>
      <c r="C648" s="13">
        <v>-7.1000000000000004E-3</v>
      </c>
      <c r="D648" s="7">
        <v>314</v>
      </c>
      <c r="E648" s="7">
        <v>3.5000000000000001E-3</v>
      </c>
      <c r="F648" s="7">
        <v>353</v>
      </c>
      <c r="G648" s="8">
        <f t="shared" si="42"/>
        <v>0.96531407418615822</v>
      </c>
      <c r="H648" s="9">
        <f t="shared" si="43"/>
        <v>1.0545230913054494E-3</v>
      </c>
      <c r="I648" s="10">
        <f>SUM($H$3:H648)</f>
        <v>0.67368173055095992</v>
      </c>
      <c r="J648" s="23">
        <v>3.5000000000000001E-3</v>
      </c>
      <c r="Q648" s="7">
        <f t="shared" si="41"/>
        <v>9.6928018517044944E-5</v>
      </c>
      <c r="R648" s="7">
        <f t="shared" si="40"/>
        <v>1.0564416984203066E-3</v>
      </c>
    </row>
    <row r="649" spans="1:18" x14ac:dyDescent="0.25">
      <c r="A649" s="22">
        <v>45518</v>
      </c>
      <c r="B649" s="12">
        <v>269.33999999999997</v>
      </c>
      <c r="C649" s="13">
        <v>-6.9999999999999999E-4</v>
      </c>
      <c r="D649" s="7">
        <v>313</v>
      </c>
      <c r="E649" s="7">
        <v>3.5000000000000001E-3</v>
      </c>
      <c r="F649" s="7">
        <v>302</v>
      </c>
      <c r="G649" s="8">
        <f t="shared" si="42"/>
        <v>0.97024999867313944</v>
      </c>
      <c r="H649" s="9">
        <f t="shared" si="43"/>
        <v>1.0599151667839409E-3</v>
      </c>
      <c r="I649" s="10">
        <f>SUM($H$3:H649)</f>
        <v>0.67474164571774387</v>
      </c>
      <c r="J649" s="23">
        <v>3.5000000000000001E-3</v>
      </c>
      <c r="Q649" s="7">
        <f t="shared" si="41"/>
        <v>9.693771228827377E-5</v>
      </c>
      <c r="R649" s="7">
        <f t="shared" si="40"/>
        <v>1.0565473531556221E-3</v>
      </c>
    </row>
    <row r="650" spans="1:18" x14ac:dyDescent="0.25">
      <c r="A650" s="22">
        <v>45520</v>
      </c>
      <c r="B650" s="12">
        <v>273.81</v>
      </c>
      <c r="C650" s="13">
        <v>1.66E-2</v>
      </c>
      <c r="D650" s="7">
        <v>312</v>
      </c>
      <c r="E650" s="7">
        <v>3.5000000000000001E-3</v>
      </c>
      <c r="F650" s="7">
        <v>85</v>
      </c>
      <c r="G650" s="8">
        <f t="shared" si="42"/>
        <v>0.99153560143215314</v>
      </c>
      <c r="H650" s="9">
        <f t="shared" si="43"/>
        <v>1.0831678678705368E-3</v>
      </c>
      <c r="I650" s="10">
        <f>SUM($H$3:H650)</f>
        <v>0.67582481358561441</v>
      </c>
      <c r="J650" s="23">
        <v>3.5000000000000001E-3</v>
      </c>
      <c r="Q650" s="7">
        <f t="shared" si="41"/>
        <v>9.6947407028976664E-5</v>
      </c>
      <c r="R650" s="7">
        <f t="shared" si="40"/>
        <v>1.0566530184574678E-3</v>
      </c>
    </row>
    <row r="651" spans="1:18" x14ac:dyDescent="0.25">
      <c r="A651" s="22">
        <v>45523</v>
      </c>
      <c r="B651" s="12">
        <v>274.43</v>
      </c>
      <c r="C651" s="13">
        <v>2.3E-3</v>
      </c>
      <c r="D651" s="7">
        <v>311</v>
      </c>
      <c r="E651" s="7">
        <v>3.5000000000000001E-3</v>
      </c>
      <c r="F651" s="7">
        <v>44</v>
      </c>
      <c r="G651" s="8">
        <f t="shared" si="42"/>
        <v>0.99560944676956531</v>
      </c>
      <c r="H651" s="9">
        <f t="shared" si="43"/>
        <v>1.0876181955862391E-3</v>
      </c>
      <c r="I651" s="10">
        <f>SUM($H$3:H651)</f>
        <v>0.67691243178120064</v>
      </c>
      <c r="J651" s="23">
        <v>3.5000000000000001E-3</v>
      </c>
      <c r="Q651" s="7">
        <f t="shared" si="41"/>
        <v>9.6957102739250606E-5</v>
      </c>
      <c r="R651" s="7">
        <f t="shared" si="40"/>
        <v>1.0567586943269008E-3</v>
      </c>
    </row>
    <row r="652" spans="1:18" x14ac:dyDescent="0.25">
      <c r="A652" s="22">
        <v>45524</v>
      </c>
      <c r="B652" s="12">
        <v>275.83</v>
      </c>
      <c r="C652" s="13">
        <v>5.1000000000000004E-3</v>
      </c>
      <c r="D652" s="7">
        <v>310</v>
      </c>
      <c r="E652" s="7">
        <v>3.5999999999999999E-3</v>
      </c>
      <c r="F652" s="7">
        <v>589</v>
      </c>
      <c r="G652" s="8">
        <f t="shared" si="42"/>
        <v>0.94279826781761633</v>
      </c>
      <c r="H652" s="9">
        <f t="shared" si="43"/>
        <v>1.0299264979583491E-3</v>
      </c>
      <c r="I652" s="10">
        <f>SUM($H$3:H652)</f>
        <v>0.67794235827915894</v>
      </c>
      <c r="J652" s="23">
        <v>3.5999999999999999E-3</v>
      </c>
      <c r="Q652" s="7">
        <f t="shared" si="41"/>
        <v>9.6966799419192511E-5</v>
      </c>
      <c r="R652" s="7">
        <f t="shared" si="40"/>
        <v>1.0568643807649771E-3</v>
      </c>
    </row>
    <row r="653" spans="1:18" x14ac:dyDescent="0.25">
      <c r="A653" s="22">
        <v>45525</v>
      </c>
      <c r="B653" s="12">
        <v>276.12</v>
      </c>
      <c r="C653" s="13">
        <v>1.1000000000000001E-3</v>
      </c>
      <c r="D653" s="7">
        <v>309</v>
      </c>
      <c r="E653" s="7">
        <v>3.5999999999999999E-3</v>
      </c>
      <c r="F653" s="7">
        <v>203</v>
      </c>
      <c r="G653" s="8">
        <f t="shared" si="42"/>
        <v>0.97990366314026345</v>
      </c>
      <c r="H653" s="9">
        <f t="shared" si="43"/>
        <v>1.0704609698220658E-3</v>
      </c>
      <c r="I653" s="10">
        <f>SUM($H$3:H653)</f>
        <v>0.67901281924898105</v>
      </c>
      <c r="J653" s="23">
        <v>3.5999999999999999E-3</v>
      </c>
      <c r="Q653" s="7">
        <f t="shared" si="41"/>
        <v>9.6976497068899389E-5</v>
      </c>
      <c r="R653" s="7">
        <f t="shared" si="40"/>
        <v>1.0569700777727541E-3</v>
      </c>
    </row>
    <row r="654" spans="1:18" x14ac:dyDescent="0.25">
      <c r="A654" s="22">
        <v>45526</v>
      </c>
      <c r="B654" s="12">
        <v>276.48</v>
      </c>
      <c r="C654" s="13">
        <v>1.2999999999999999E-3</v>
      </c>
      <c r="D654" s="7">
        <v>308</v>
      </c>
      <c r="E654" s="7">
        <v>3.5999999999999999E-3</v>
      </c>
      <c r="F654" s="7">
        <v>6</v>
      </c>
      <c r="G654" s="8">
        <f t="shared" si="42"/>
        <v>0.99940014998000171</v>
      </c>
      <c r="H654" s="9">
        <f t="shared" si="43"/>
        <v>1.0917592147369865E-3</v>
      </c>
      <c r="I654" s="10">
        <f>SUM($H$3:H654)</f>
        <v>0.68010457846371808</v>
      </c>
      <c r="J654" s="23">
        <v>3.5999999999999999E-3</v>
      </c>
      <c r="Q654" s="7">
        <f t="shared" si="41"/>
        <v>9.6986195688468247E-5</v>
      </c>
      <c r="R654" s="7">
        <f t="shared" si="40"/>
        <v>1.0570757853512894E-3</v>
      </c>
    </row>
    <row r="655" spans="1:18" x14ac:dyDescent="0.25">
      <c r="A655" s="22">
        <v>45527</v>
      </c>
      <c r="B655" s="12">
        <v>276.60000000000002</v>
      </c>
      <c r="C655" s="13">
        <v>4.0000000000000002E-4</v>
      </c>
      <c r="D655" s="7">
        <v>307</v>
      </c>
      <c r="E655" s="7">
        <v>3.7000000000000002E-3</v>
      </c>
      <c r="F655" s="7">
        <v>746</v>
      </c>
      <c r="G655" s="8">
        <f t="shared" si="42"/>
        <v>0.92811119586045243</v>
      </c>
      <c r="H655" s="9">
        <f t="shared" si="43"/>
        <v>1.0138821275957272E-3</v>
      </c>
      <c r="I655" s="10">
        <f>SUM($H$3:H655)</f>
        <v>0.68111846059131376</v>
      </c>
      <c r="J655" s="23">
        <v>3.7000000000000002E-3</v>
      </c>
      <c r="Q655" s="7">
        <f t="shared" si="41"/>
        <v>9.6995895277996027E-5</v>
      </c>
      <c r="R655" s="7">
        <f t="shared" si="40"/>
        <v>1.0571815035016394E-3</v>
      </c>
    </row>
    <row r="656" spans="1:18" x14ac:dyDescent="0.25">
      <c r="A656" s="22">
        <v>45530</v>
      </c>
      <c r="B656" s="12">
        <v>278.83999999999997</v>
      </c>
      <c r="C656" s="13">
        <v>8.0999999999999996E-3</v>
      </c>
      <c r="D656" s="7">
        <v>306</v>
      </c>
      <c r="E656" s="7">
        <v>3.7000000000000002E-3</v>
      </c>
      <c r="F656" s="7">
        <v>729</v>
      </c>
      <c r="G656" s="8">
        <f t="shared" si="42"/>
        <v>0.92969040580333406</v>
      </c>
      <c r="H656" s="9">
        <f t="shared" si="43"/>
        <v>1.0156072794352379E-3</v>
      </c>
      <c r="I656" s="10">
        <f>SUM($H$3:H656)</f>
        <v>0.68213406787074904</v>
      </c>
      <c r="J656" s="23">
        <v>3.7000000000000002E-3</v>
      </c>
      <c r="Q656" s="7">
        <f t="shared" si="41"/>
        <v>9.7005595837579793E-5</v>
      </c>
      <c r="R656" s="7">
        <f t="shared" si="40"/>
        <v>1.057287232224862E-3</v>
      </c>
    </row>
    <row r="657" spans="1:18" x14ac:dyDescent="0.25">
      <c r="A657" s="22">
        <v>45531</v>
      </c>
      <c r="B657" s="12">
        <v>278.7</v>
      </c>
      <c r="C657" s="13">
        <v>-5.0000000000000001E-4</v>
      </c>
      <c r="D657" s="7">
        <v>305</v>
      </c>
      <c r="E657" s="7">
        <v>3.7000000000000002E-3</v>
      </c>
      <c r="F657" s="7">
        <v>650</v>
      </c>
      <c r="G657" s="8">
        <f t="shared" si="42"/>
        <v>0.9370644177100661</v>
      </c>
      <c r="H657" s="9">
        <f t="shared" si="43"/>
        <v>1.0236627569623488E-3</v>
      </c>
      <c r="I657" s="10">
        <f>SUM($H$3:H657)</f>
        <v>0.68315773062771135</v>
      </c>
      <c r="J657" s="23">
        <v>3.7000000000000002E-3</v>
      </c>
      <c r="Q657" s="7">
        <f t="shared" si="41"/>
        <v>9.7015297367316526E-5</v>
      </c>
      <c r="R657" s="7">
        <f t="shared" si="40"/>
        <v>1.0573929715220142E-3</v>
      </c>
    </row>
    <row r="658" spans="1:18" x14ac:dyDescent="0.25">
      <c r="A658" s="22">
        <v>45532</v>
      </c>
      <c r="B658" s="12">
        <v>278.94</v>
      </c>
      <c r="C658" s="13">
        <v>8.9999999999999998E-4</v>
      </c>
      <c r="D658" s="7">
        <v>304</v>
      </c>
      <c r="E658" s="7">
        <v>3.7000000000000002E-3</v>
      </c>
      <c r="F658" s="7">
        <v>242</v>
      </c>
      <c r="G658" s="8">
        <f t="shared" si="42"/>
        <v>0.97608929099287589</v>
      </c>
      <c r="H658" s="9">
        <f t="shared" si="43"/>
        <v>1.0662940943814028E-3</v>
      </c>
      <c r="I658" s="10">
        <f>SUM($H$3:H658)</f>
        <v>0.68422402472209276</v>
      </c>
      <c r="J658" s="23">
        <v>3.7000000000000002E-3</v>
      </c>
      <c r="Q658" s="7">
        <f t="shared" si="41"/>
        <v>9.7024999867303263E-5</v>
      </c>
      <c r="R658" s="7">
        <f t="shared" si="40"/>
        <v>1.0574987213941536E-3</v>
      </c>
    </row>
    <row r="659" spans="1:18" x14ac:dyDescent="0.25">
      <c r="A659" s="22">
        <v>45533</v>
      </c>
      <c r="B659" s="12">
        <v>280.10000000000002</v>
      </c>
      <c r="C659" s="13">
        <v>4.1999999999999997E-3</v>
      </c>
      <c r="D659" s="7">
        <v>303</v>
      </c>
      <c r="E659" s="7">
        <v>3.8E-3</v>
      </c>
      <c r="F659" s="7">
        <v>584</v>
      </c>
      <c r="G659" s="8">
        <f t="shared" si="42"/>
        <v>0.94326980840426977</v>
      </c>
      <c r="H659" s="9">
        <f t="shared" si="43"/>
        <v>1.0304416157323575E-3</v>
      </c>
      <c r="I659" s="10">
        <f>SUM($H$3:H659)</f>
        <v>0.68525446633782516</v>
      </c>
      <c r="J659" s="23">
        <v>3.8E-3</v>
      </c>
      <c r="Q659" s="7">
        <f t="shared" si="41"/>
        <v>9.7034703337637012E-5</v>
      </c>
      <c r="R659" s="7">
        <f t="shared" si="40"/>
        <v>1.0576044818423377E-3</v>
      </c>
    </row>
    <row r="660" spans="1:18" x14ac:dyDescent="0.25">
      <c r="A660" s="22">
        <v>45534</v>
      </c>
      <c r="B660" s="12">
        <v>281.08</v>
      </c>
      <c r="C660" s="13">
        <v>3.5000000000000001E-3</v>
      </c>
      <c r="D660" s="7">
        <v>302</v>
      </c>
      <c r="E660" s="7">
        <v>3.8E-3</v>
      </c>
      <c r="F660" s="7">
        <v>483</v>
      </c>
      <c r="G660" s="8">
        <f t="shared" si="42"/>
        <v>0.95284558854982992</v>
      </c>
      <c r="H660" s="9">
        <f t="shared" si="43"/>
        <v>1.0409023368083148E-3</v>
      </c>
      <c r="I660" s="10">
        <f>SUM($H$3:H660)</f>
        <v>0.68629536867463348</v>
      </c>
      <c r="J660" s="23">
        <v>3.8E-3</v>
      </c>
      <c r="Q660" s="7">
        <f t="shared" si="41"/>
        <v>9.704440777841485E-5</v>
      </c>
      <c r="R660" s="7">
        <f t="shared" si="40"/>
        <v>1.0577102528676245E-3</v>
      </c>
    </row>
    <row r="661" spans="1:18" x14ac:dyDescent="0.25">
      <c r="A661" s="22">
        <v>45537</v>
      </c>
      <c r="B661" s="12">
        <v>281.45</v>
      </c>
      <c r="C661" s="13">
        <v>1.2999999999999999E-3</v>
      </c>
      <c r="D661" s="7">
        <v>301</v>
      </c>
      <c r="E661" s="7">
        <v>3.8E-3</v>
      </c>
      <c r="F661" s="7">
        <v>471</v>
      </c>
      <c r="G661" s="8">
        <f t="shared" si="42"/>
        <v>0.95398974682261439</v>
      </c>
      <c r="H661" s="9">
        <f t="shared" si="43"/>
        <v>1.0421522318953378E-3</v>
      </c>
      <c r="I661" s="10">
        <f>SUM($H$3:H661)</f>
        <v>0.68733752090652878</v>
      </c>
      <c r="J661" s="23">
        <v>3.8E-3</v>
      </c>
      <c r="Q661" s="7">
        <f t="shared" si="41"/>
        <v>9.7054113189733813E-5</v>
      </c>
      <c r="R661" s="7">
        <f t="shared" si="40"/>
        <v>1.0578160344710714E-3</v>
      </c>
    </row>
    <row r="662" spans="1:18" x14ac:dyDescent="0.25">
      <c r="A662" s="22">
        <v>45538</v>
      </c>
      <c r="B662" s="12">
        <v>281.72000000000003</v>
      </c>
      <c r="C662" s="13">
        <v>1E-3</v>
      </c>
      <c r="D662" s="7">
        <v>300</v>
      </c>
      <c r="E662" s="7">
        <v>3.8E-3</v>
      </c>
      <c r="F662" s="7">
        <v>41</v>
      </c>
      <c r="G662" s="8">
        <f t="shared" si="42"/>
        <v>0.99590818935012049</v>
      </c>
      <c r="H662" s="9">
        <f t="shared" si="43"/>
        <v>1.0879445463128844E-3</v>
      </c>
      <c r="I662" s="10">
        <f>SUM($H$3:H662)</f>
        <v>0.68842546545284167</v>
      </c>
      <c r="J662" s="23">
        <v>3.8E-3</v>
      </c>
      <c r="Q662" s="7">
        <f t="shared" si="41"/>
        <v>9.7063819571690979E-5</v>
      </c>
      <c r="R662" s="7">
        <f t="shared" si="40"/>
        <v>1.0579218266537369E-3</v>
      </c>
    </row>
    <row r="663" spans="1:18" x14ac:dyDescent="0.25">
      <c r="A663" s="22">
        <v>45539</v>
      </c>
      <c r="B663" s="12">
        <v>281.27999999999997</v>
      </c>
      <c r="C663" s="13">
        <v>-1.6000000000000001E-3</v>
      </c>
      <c r="D663" s="7">
        <v>299</v>
      </c>
      <c r="E663" s="7">
        <v>3.8999999999999998E-3</v>
      </c>
      <c r="F663" s="7">
        <v>716</v>
      </c>
      <c r="G663" s="8">
        <f t="shared" si="42"/>
        <v>0.93089984977232576</v>
      </c>
      <c r="H663" s="9">
        <f t="shared" si="43"/>
        <v>1.0169284935634139E-3</v>
      </c>
      <c r="I663" s="10">
        <f>SUM($H$3:H663)</f>
        <v>0.68944239394640505</v>
      </c>
      <c r="J663" s="23">
        <v>3.8999999999999998E-3</v>
      </c>
      <c r="Q663" s="7">
        <f t="shared" si="41"/>
        <v>9.7073526924383409E-5</v>
      </c>
      <c r="R663" s="7">
        <f t="shared" si="40"/>
        <v>1.0580276294166785E-3</v>
      </c>
    </row>
    <row r="664" spans="1:18" x14ac:dyDescent="0.25">
      <c r="A664" s="22">
        <v>45540</v>
      </c>
      <c r="B664" s="12">
        <v>280.43</v>
      </c>
      <c r="C664" s="13">
        <v>-3.0000000000000001E-3</v>
      </c>
      <c r="D664" s="7">
        <v>298</v>
      </c>
      <c r="E664" s="7">
        <v>3.8999999999999998E-3</v>
      </c>
      <c r="F664" s="7">
        <v>648</v>
      </c>
      <c r="G664" s="8">
        <f t="shared" si="42"/>
        <v>0.93725185870928929</v>
      </c>
      <c r="H664" s="9">
        <f t="shared" si="43"/>
        <v>1.0238675202277189E-3</v>
      </c>
      <c r="I664" s="10">
        <f>SUM($H$3:H664)</f>
        <v>0.69046626146663281</v>
      </c>
      <c r="J664" s="23">
        <v>3.8999999999999998E-3</v>
      </c>
      <c r="Q664" s="7">
        <f t="shared" si="41"/>
        <v>9.7083235247908222E-5</v>
      </c>
      <c r="R664" s="7">
        <f t="shared" si="40"/>
        <v>1.0581334427609548E-3</v>
      </c>
    </row>
    <row r="665" spans="1:18" x14ac:dyDescent="0.25">
      <c r="A665" s="22">
        <v>45541</v>
      </c>
      <c r="B665" s="12">
        <v>277.82</v>
      </c>
      <c r="C665" s="13">
        <v>-9.2999999999999992E-3</v>
      </c>
      <c r="D665" s="7">
        <v>297</v>
      </c>
      <c r="E665" s="7">
        <v>3.8999999999999998E-3</v>
      </c>
      <c r="F665" s="7">
        <v>620</v>
      </c>
      <c r="G665" s="8">
        <f t="shared" si="42"/>
        <v>0.9398799729644145</v>
      </c>
      <c r="H665" s="9">
        <f t="shared" si="43"/>
        <v>1.0267385103466138E-3</v>
      </c>
      <c r="I665" s="10">
        <f>SUM($H$3:H665)</f>
        <v>0.69149299997697944</v>
      </c>
      <c r="J665" s="23">
        <v>3.8999999999999998E-3</v>
      </c>
      <c r="Q665" s="7">
        <f t="shared" si="41"/>
        <v>9.709294454236244E-5</v>
      </c>
      <c r="R665" s="7">
        <f t="shared" si="40"/>
        <v>1.0582392666876233E-3</v>
      </c>
    </row>
    <row r="666" spans="1:18" x14ac:dyDescent="0.25">
      <c r="A666" s="22">
        <v>45544</v>
      </c>
      <c r="B666" s="12">
        <v>277.68</v>
      </c>
      <c r="C666" s="13">
        <v>-5.0000000000000001E-4</v>
      </c>
      <c r="D666" s="7">
        <v>296</v>
      </c>
      <c r="E666" s="7">
        <v>3.8999999999999998E-3</v>
      </c>
      <c r="F666" s="7">
        <v>1</v>
      </c>
      <c r="G666" s="8">
        <f t="shared" si="42"/>
        <v>0.99990000000000001</v>
      </c>
      <c r="H666" s="9">
        <f t="shared" si="43"/>
        <v>1.0923052581464563E-3</v>
      </c>
      <c r="I666" s="10">
        <f>SUM($H$3:H666)</f>
        <v>0.69258530523512585</v>
      </c>
      <c r="J666" s="23">
        <v>3.8999999999999998E-3</v>
      </c>
      <c r="Q666" s="7">
        <f t="shared" si="41"/>
        <v>9.7102654807843235E-5</v>
      </c>
      <c r="R666" s="7">
        <f t="shared" si="40"/>
        <v>1.0583451011977431E-3</v>
      </c>
    </row>
    <row r="667" spans="1:18" x14ac:dyDescent="0.25">
      <c r="A667" s="22">
        <v>45545</v>
      </c>
      <c r="B667" s="12">
        <v>279.2</v>
      </c>
      <c r="C667" s="13">
        <v>5.4999999999999997E-3</v>
      </c>
      <c r="D667" s="7">
        <v>295</v>
      </c>
      <c r="E667" s="7">
        <v>4.0000000000000001E-3</v>
      </c>
      <c r="F667" s="7">
        <v>714</v>
      </c>
      <c r="G667" s="8">
        <f t="shared" si="42"/>
        <v>0.93108605767299979</v>
      </c>
      <c r="H667" s="9">
        <f t="shared" si="43"/>
        <v>1.0171319097740496E-3</v>
      </c>
      <c r="I667" s="10">
        <f>SUM($H$3:H667)</f>
        <v>0.69360243714489989</v>
      </c>
      <c r="J667" s="23">
        <v>4.0000000000000001E-3</v>
      </c>
      <c r="Q667" s="7">
        <f t="shared" si="41"/>
        <v>9.711236604444767E-5</v>
      </c>
      <c r="R667" s="7">
        <f t="shared" si="40"/>
        <v>1.0584509462923724E-3</v>
      </c>
    </row>
    <row r="668" spans="1:18" x14ac:dyDescent="0.25">
      <c r="A668" s="22">
        <v>45546</v>
      </c>
      <c r="B668" s="12">
        <v>277.54000000000002</v>
      </c>
      <c r="C668" s="13">
        <v>-5.8999999999999999E-3</v>
      </c>
      <c r="D668" s="7">
        <v>294</v>
      </c>
      <c r="E668" s="7">
        <v>4.0000000000000001E-3</v>
      </c>
      <c r="F668" s="7">
        <v>435</v>
      </c>
      <c r="G668" s="8">
        <f t="shared" si="42"/>
        <v>0.95743047153859917</v>
      </c>
      <c r="H668" s="9">
        <f t="shared" si="43"/>
        <v>1.0459109294641993E-3</v>
      </c>
      <c r="I668" s="10">
        <f>SUM($H$3:H668)</f>
        <v>0.69464834807436404</v>
      </c>
      <c r="J668" s="23">
        <v>4.0000000000000001E-3</v>
      </c>
      <c r="Q668" s="7">
        <f t="shared" si="41"/>
        <v>9.7122078252272903E-5</v>
      </c>
      <c r="R668" s="7">
        <f t="shared" si="40"/>
        <v>1.0585568019725697E-3</v>
      </c>
    </row>
    <row r="669" spans="1:18" x14ac:dyDescent="0.25">
      <c r="A669" s="22">
        <v>45547</v>
      </c>
      <c r="B669" s="12">
        <v>282.70999999999998</v>
      </c>
      <c r="C669" s="13">
        <v>1.8599999999999998E-2</v>
      </c>
      <c r="D669" s="7">
        <v>293</v>
      </c>
      <c r="E669" s="7">
        <v>4.0000000000000001E-3</v>
      </c>
      <c r="F669" s="7">
        <v>147</v>
      </c>
      <c r="G669" s="8">
        <f t="shared" si="42"/>
        <v>0.98540679319687019</v>
      </c>
      <c r="H669" s="9">
        <f t="shared" si="43"/>
        <v>1.0764726688890678E-3</v>
      </c>
      <c r="I669" s="10">
        <f>SUM($H$3:H669)</f>
        <v>0.69572482074325315</v>
      </c>
      <c r="J669" s="23">
        <v>4.0000000000000001E-3</v>
      </c>
      <c r="Q669" s="7">
        <f t="shared" si="41"/>
        <v>9.7131791431416038E-5</v>
      </c>
      <c r="R669" s="7">
        <f t="shared" si="40"/>
        <v>1.0586626682393934E-3</v>
      </c>
    </row>
    <row r="670" spans="1:18" x14ac:dyDescent="0.25">
      <c r="A670" s="22">
        <v>45548</v>
      </c>
      <c r="B670" s="12">
        <v>283.19</v>
      </c>
      <c r="C670" s="13">
        <v>1.6999999999999999E-3</v>
      </c>
      <c r="D670" s="7">
        <v>292</v>
      </c>
      <c r="E670" s="7">
        <v>4.1000000000000003E-3</v>
      </c>
      <c r="F670" s="7">
        <v>952</v>
      </c>
      <c r="G670" s="8">
        <f t="shared" si="42"/>
        <v>0.90918675003983762</v>
      </c>
      <c r="H670" s="9">
        <f t="shared" si="43"/>
        <v>9.9320878858446095E-4</v>
      </c>
      <c r="I670" s="10">
        <f>SUM($H$3:H670)</f>
        <v>0.69671802953183759</v>
      </c>
      <c r="J670" s="23">
        <v>4.1000000000000003E-3</v>
      </c>
      <c r="Q670" s="7">
        <f t="shared" si="41"/>
        <v>9.7141505581974232E-5</v>
      </c>
      <c r="R670" s="7">
        <f t="shared" si="40"/>
        <v>1.0587685450939028E-3</v>
      </c>
    </row>
    <row r="671" spans="1:18" x14ac:dyDescent="0.25">
      <c r="A671" s="22">
        <v>45551</v>
      </c>
      <c r="B671" s="12">
        <v>283.27</v>
      </c>
      <c r="C671" s="13">
        <v>2.9999999999999997E-4</v>
      </c>
      <c r="D671" s="7">
        <v>291</v>
      </c>
      <c r="E671" s="7">
        <v>4.1000000000000003E-3</v>
      </c>
      <c r="F671" s="7">
        <v>734</v>
      </c>
      <c r="G671" s="8">
        <f t="shared" si="42"/>
        <v>0.92922565356017672</v>
      </c>
      <c r="H671" s="9">
        <f t="shared" si="43"/>
        <v>1.015099577346093E-3</v>
      </c>
      <c r="I671" s="10">
        <f>SUM($H$3:H671)</f>
        <v>0.69773312910918373</v>
      </c>
      <c r="J671" s="23">
        <v>4.1000000000000003E-3</v>
      </c>
      <c r="Q671" s="7">
        <f t="shared" si="41"/>
        <v>9.7151220704044632E-5</v>
      </c>
      <c r="R671" s="7">
        <f t="shared" si="40"/>
        <v>1.0588744325371565E-3</v>
      </c>
    </row>
    <row r="672" spans="1:18" x14ac:dyDescent="0.25">
      <c r="A672" s="22">
        <v>45552</v>
      </c>
      <c r="B672" s="12">
        <v>283.89</v>
      </c>
      <c r="C672" s="13">
        <v>2.2000000000000001E-3</v>
      </c>
      <c r="D672" s="7">
        <v>290</v>
      </c>
      <c r="E672" s="7">
        <v>4.1000000000000003E-3</v>
      </c>
      <c r="F672" s="7">
        <v>459</v>
      </c>
      <c r="G672" s="8">
        <f t="shared" si="42"/>
        <v>0.9551352789781864</v>
      </c>
      <c r="H672" s="9">
        <f t="shared" si="43"/>
        <v>1.0434036278318386E-3</v>
      </c>
      <c r="I672" s="10">
        <f>SUM($H$3:H672)</f>
        <v>0.69877653273701557</v>
      </c>
      <c r="J672" s="23">
        <v>4.1000000000000003E-3</v>
      </c>
      <c r="Q672" s="7">
        <f t="shared" si="41"/>
        <v>9.7160936797724393E-5</v>
      </c>
      <c r="R672" s="7">
        <f t="shared" si="40"/>
        <v>1.0589803305702135E-3</v>
      </c>
    </row>
    <row r="673" spans="1:18" x14ac:dyDescent="0.25">
      <c r="A673" s="22">
        <v>45553</v>
      </c>
      <c r="B673" s="12">
        <v>283.36</v>
      </c>
      <c r="C673" s="13">
        <v>-1.9E-3</v>
      </c>
      <c r="D673" s="7">
        <v>289</v>
      </c>
      <c r="E673" s="7">
        <v>4.1000000000000003E-3</v>
      </c>
      <c r="F673" s="7">
        <v>372</v>
      </c>
      <c r="G673" s="8">
        <f t="shared" si="42"/>
        <v>0.9634816271972565</v>
      </c>
      <c r="H673" s="9">
        <f t="shared" si="43"/>
        <v>1.0525212996450315E-3</v>
      </c>
      <c r="I673" s="10">
        <f>SUM($H$3:H673)</f>
        <v>0.69982905403666062</v>
      </c>
      <c r="J673" s="23">
        <v>4.1000000000000003E-3</v>
      </c>
      <c r="Q673" s="7">
        <f t="shared" si="41"/>
        <v>9.7170653863110716E-5</v>
      </c>
      <c r="R673" s="7">
        <f t="shared" si="40"/>
        <v>1.0590862391941329E-3</v>
      </c>
    </row>
    <row r="674" spans="1:18" x14ac:dyDescent="0.25">
      <c r="A674" s="22">
        <v>45554</v>
      </c>
      <c r="B674" s="12">
        <v>283.92</v>
      </c>
      <c r="C674" s="13">
        <v>2E-3</v>
      </c>
      <c r="D674" s="7">
        <v>288</v>
      </c>
      <c r="E674" s="7">
        <v>4.1999999999999997E-3</v>
      </c>
      <c r="F674" s="7">
        <v>832</v>
      </c>
      <c r="G674" s="8">
        <f t="shared" si="42"/>
        <v>0.92016326725413022</v>
      </c>
      <c r="H674" s="9">
        <f t="shared" si="43"/>
        <v>1.0051996951444238E-3</v>
      </c>
      <c r="I674" s="10">
        <f>SUM($H$3:H674)</f>
        <v>0.70083425373180508</v>
      </c>
      <c r="J674" s="23">
        <v>4.1999999999999997E-3</v>
      </c>
      <c r="Q674" s="7">
        <f t="shared" si="41"/>
        <v>9.7180371900300745E-5</v>
      </c>
      <c r="R674" s="7">
        <f t="shared" si="40"/>
        <v>1.059192158409974E-3</v>
      </c>
    </row>
    <row r="675" spans="1:18" x14ac:dyDescent="0.25">
      <c r="A675" s="22">
        <v>45555</v>
      </c>
      <c r="B675" s="12">
        <v>287.10000000000002</v>
      </c>
      <c r="C675" s="13">
        <v>1.12E-2</v>
      </c>
      <c r="D675" s="7">
        <v>287</v>
      </c>
      <c r="E675" s="7">
        <v>4.1999999999999997E-3</v>
      </c>
      <c r="F675" s="7">
        <v>610</v>
      </c>
      <c r="G675" s="8">
        <f t="shared" si="42"/>
        <v>0.94082037007820463</v>
      </c>
      <c r="H675" s="9">
        <f t="shared" si="43"/>
        <v>1.0277658137890966E-3</v>
      </c>
      <c r="I675" s="10">
        <f>SUM($H$3:H675)</f>
        <v>0.70186201954559413</v>
      </c>
      <c r="J675" s="23">
        <v>4.1999999999999997E-3</v>
      </c>
      <c r="Q675" s="7">
        <f t="shared" si="41"/>
        <v>9.7190090909391664E-5</v>
      </c>
      <c r="R675" s="7">
        <f t="shared" si="40"/>
        <v>1.0592980882187955E-3</v>
      </c>
    </row>
    <row r="676" spans="1:18" x14ac:dyDescent="0.25">
      <c r="A676" s="22">
        <v>45558</v>
      </c>
      <c r="B676" s="12">
        <v>289.33999999999997</v>
      </c>
      <c r="C676" s="13">
        <v>7.7999999999999996E-3</v>
      </c>
      <c r="D676" s="7">
        <v>286</v>
      </c>
      <c r="E676" s="7">
        <v>4.1999999999999997E-3</v>
      </c>
      <c r="F676" s="7">
        <v>565</v>
      </c>
      <c r="G676" s="8">
        <f t="shared" si="42"/>
        <v>0.94506381450811261</v>
      </c>
      <c r="H676" s="9">
        <f t="shared" si="43"/>
        <v>1.0324014140125598E-3</v>
      </c>
      <c r="I676" s="10">
        <f>SUM($H$3:H676)</f>
        <v>0.70289442095960664</v>
      </c>
      <c r="J676" s="23">
        <v>4.1999999999999997E-3</v>
      </c>
      <c r="Q676" s="7">
        <f t="shared" si="41"/>
        <v>9.7199810890480701E-5</v>
      </c>
      <c r="R676" s="7">
        <f t="shared" si="40"/>
        <v>1.0594040286216577E-3</v>
      </c>
    </row>
    <row r="677" spans="1:18" x14ac:dyDescent="0.25">
      <c r="A677" s="22">
        <v>45559</v>
      </c>
      <c r="B677" s="12">
        <v>289.3</v>
      </c>
      <c r="C677" s="13">
        <v>-1E-4</v>
      </c>
      <c r="D677" s="7">
        <v>285</v>
      </c>
      <c r="E677" s="7">
        <v>4.1999999999999997E-3</v>
      </c>
      <c r="F677" s="7">
        <v>334</v>
      </c>
      <c r="G677" s="8">
        <f t="shared" si="42"/>
        <v>0.96715000630842662</v>
      </c>
      <c r="H677" s="9">
        <f t="shared" si="43"/>
        <v>1.0565286901760903E-3</v>
      </c>
      <c r="I677" s="10">
        <f>SUM($H$3:H677)</f>
        <v>0.70395094964978278</v>
      </c>
      <c r="J677" s="23">
        <v>4.1999999999999997E-3</v>
      </c>
      <c r="Q677" s="7">
        <f t="shared" si="41"/>
        <v>9.720953184366508E-5</v>
      </c>
      <c r="R677" s="7">
        <f t="shared" si="40"/>
        <v>1.0595099796196197E-3</v>
      </c>
    </row>
    <row r="678" spans="1:18" x14ac:dyDescent="0.25">
      <c r="A678" s="22">
        <v>45560</v>
      </c>
      <c r="B678" s="12">
        <v>290.08999999999997</v>
      </c>
      <c r="C678" s="13">
        <v>2.7000000000000001E-3</v>
      </c>
      <c r="D678" s="7">
        <v>284</v>
      </c>
      <c r="E678" s="7">
        <v>4.1999999999999997E-3</v>
      </c>
      <c r="F678" s="7">
        <v>303</v>
      </c>
      <c r="G678" s="8">
        <f t="shared" si="42"/>
        <v>0.97015297367327213</v>
      </c>
      <c r="H678" s="9">
        <f t="shared" si="43"/>
        <v>1.0598091752672624E-3</v>
      </c>
      <c r="I678" s="10">
        <f>SUM($H$3:H678)</f>
        <v>0.70501075882505004</v>
      </c>
      <c r="J678" s="23">
        <v>4.1999999999999997E-3</v>
      </c>
      <c r="Q678" s="7">
        <f t="shared" si="41"/>
        <v>9.7219253769041986E-5</v>
      </c>
      <c r="R678" s="7">
        <f t="shared" si="40"/>
        <v>1.0596159412137411E-3</v>
      </c>
    </row>
    <row r="679" spans="1:18" x14ac:dyDescent="0.25">
      <c r="A679" s="22">
        <v>45561</v>
      </c>
      <c r="B679" s="12">
        <v>291.55</v>
      </c>
      <c r="C679" s="13">
        <v>5.0000000000000001E-3</v>
      </c>
      <c r="D679" s="7">
        <v>283</v>
      </c>
      <c r="E679" s="7">
        <v>4.1999999999999997E-3</v>
      </c>
      <c r="F679" s="7">
        <v>218</v>
      </c>
      <c r="G679" s="8">
        <f t="shared" si="42"/>
        <v>0.97843483609867721</v>
      </c>
      <c r="H679" s="9">
        <f t="shared" si="43"/>
        <v>1.0688564018644375E-3</v>
      </c>
      <c r="I679" s="10">
        <f>SUM($H$3:H679)</f>
        <v>0.70607961522691443</v>
      </c>
      <c r="J679" s="23">
        <v>4.1999999999999997E-3</v>
      </c>
      <c r="Q679" s="7">
        <f t="shared" si="41"/>
        <v>9.7228976666708647E-5</v>
      </c>
      <c r="R679" s="7">
        <f t="shared" si="40"/>
        <v>1.0597219134050816E-3</v>
      </c>
    </row>
    <row r="680" spans="1:18" x14ac:dyDescent="0.25">
      <c r="A680" s="22">
        <v>45562</v>
      </c>
      <c r="B680" s="12">
        <v>291.97000000000003</v>
      </c>
      <c r="C680" s="13">
        <v>1.4E-3</v>
      </c>
      <c r="D680" s="7">
        <v>282</v>
      </c>
      <c r="E680" s="7">
        <v>4.3E-3</v>
      </c>
      <c r="F680" s="7">
        <v>871</v>
      </c>
      <c r="G680" s="8">
        <f t="shared" si="42"/>
        <v>0.91658144051984147</v>
      </c>
      <c r="H680" s="9">
        <f t="shared" si="43"/>
        <v>1.0012868556848447E-3</v>
      </c>
      <c r="I680" s="10">
        <f>SUM($H$3:H680)</f>
        <v>0.70708090208259922</v>
      </c>
      <c r="J680" s="23">
        <v>4.3E-3</v>
      </c>
      <c r="Q680" s="7">
        <f t="shared" si="41"/>
        <v>9.7238700536762327E-5</v>
      </c>
      <c r="R680" s="7">
        <f t="shared" si="40"/>
        <v>1.0598278961947011E-3</v>
      </c>
    </row>
    <row r="681" spans="1:18" x14ac:dyDescent="0.25">
      <c r="A681" s="22">
        <v>45565</v>
      </c>
      <c r="B681" s="12">
        <v>288.38</v>
      </c>
      <c r="C681" s="13">
        <v>-1.23E-2</v>
      </c>
      <c r="D681" s="7">
        <v>281</v>
      </c>
      <c r="E681" s="7">
        <v>4.3E-3</v>
      </c>
      <c r="F681" s="7">
        <v>765</v>
      </c>
      <c r="G681" s="8">
        <f t="shared" si="42"/>
        <v>0.92634937075948287</v>
      </c>
      <c r="H681" s="9">
        <f t="shared" si="43"/>
        <v>1.0119574843096752E-3</v>
      </c>
      <c r="I681" s="10">
        <f>SUM($H$3:H681)</f>
        <v>0.70809285956690893</v>
      </c>
      <c r="J681" s="23">
        <v>4.3E-3</v>
      </c>
      <c r="Q681" s="7">
        <f t="shared" si="41"/>
        <v>9.7248425379300253E-5</v>
      </c>
      <c r="R681" s="7">
        <f t="shared" si="40"/>
        <v>1.0599338895836594E-3</v>
      </c>
    </row>
    <row r="682" spans="1:18" x14ac:dyDescent="0.25">
      <c r="A682" s="22">
        <v>45566</v>
      </c>
      <c r="B682" s="12">
        <v>288.27</v>
      </c>
      <c r="C682" s="13">
        <v>-4.0000000000000002E-4</v>
      </c>
      <c r="D682" s="7">
        <v>280</v>
      </c>
      <c r="E682" s="7">
        <v>4.3E-3</v>
      </c>
      <c r="F682" s="7">
        <v>751</v>
      </c>
      <c r="G682" s="8">
        <f t="shared" si="42"/>
        <v>0.92764723306436137</v>
      </c>
      <c r="H682" s="9">
        <f t="shared" si="43"/>
        <v>1.0133752879100042E-3</v>
      </c>
      <c r="I682" s="10">
        <f>SUM($H$3:H682)</f>
        <v>0.70910623485481894</v>
      </c>
      <c r="J682" s="23">
        <v>4.3E-3</v>
      </c>
      <c r="Q682" s="7">
        <f t="shared" si="41"/>
        <v>9.7258151194419692E-5</v>
      </c>
      <c r="R682" s="7">
        <f t="shared" si="40"/>
        <v>1.0600398935730166E-3</v>
      </c>
    </row>
    <row r="683" spans="1:18" x14ac:dyDescent="0.25">
      <c r="A683" s="22">
        <v>45568</v>
      </c>
      <c r="B683" s="12">
        <v>282.69</v>
      </c>
      <c r="C683" s="13">
        <v>-1.9400000000000001E-2</v>
      </c>
      <c r="D683" s="7">
        <v>279</v>
      </c>
      <c r="E683" s="7">
        <v>4.3E-3</v>
      </c>
      <c r="F683" s="7">
        <v>499</v>
      </c>
      <c r="G683" s="8">
        <f t="shared" si="42"/>
        <v>0.95132217848943668</v>
      </c>
      <c r="H683" s="9">
        <f t="shared" si="43"/>
        <v>1.0392381415695101E-3</v>
      </c>
      <c r="I683" s="10">
        <f>SUM($H$3:H683)</f>
        <v>0.71014547299638842</v>
      </c>
      <c r="J683" s="23">
        <v>4.3E-3</v>
      </c>
      <c r="Q683" s="7">
        <f t="shared" si="41"/>
        <v>9.7267877982217923E-5</v>
      </c>
      <c r="R683" s="7">
        <f t="shared" si="40"/>
        <v>1.0601459081638332E-3</v>
      </c>
    </row>
    <row r="684" spans="1:18" x14ac:dyDescent="0.25">
      <c r="A684" s="22">
        <v>45569</v>
      </c>
      <c r="B684" s="12">
        <v>280.14999999999998</v>
      </c>
      <c r="C684" s="13">
        <v>-8.9999999999999993E-3</v>
      </c>
      <c r="D684" s="7">
        <v>278</v>
      </c>
      <c r="E684" s="7">
        <v>4.3E-3</v>
      </c>
      <c r="F684" s="7">
        <v>432</v>
      </c>
      <c r="G684" s="8">
        <f t="shared" si="42"/>
        <v>0.95771775813546478</v>
      </c>
      <c r="H684" s="9">
        <f t="shared" si="43"/>
        <v>1.046224765508155E-3</v>
      </c>
      <c r="I684" s="10">
        <f>SUM($H$3:H684)</f>
        <v>0.71119169776189661</v>
      </c>
      <c r="J684" s="23">
        <v>4.3E-3</v>
      </c>
      <c r="Q684" s="7">
        <f t="shared" si="41"/>
        <v>9.7277605742792199E-5</v>
      </c>
      <c r="R684" s="7">
        <f t="shared" si="40"/>
        <v>1.0602519333571688E-3</v>
      </c>
    </row>
    <row r="685" spans="1:18" x14ac:dyDescent="0.25">
      <c r="A685" s="22">
        <v>45572</v>
      </c>
      <c r="B685" s="12">
        <v>278.01</v>
      </c>
      <c r="C685" s="13">
        <v>-7.6E-3</v>
      </c>
      <c r="D685" s="7">
        <v>277</v>
      </c>
      <c r="E685" s="7">
        <v>4.4000000000000003E-3</v>
      </c>
      <c r="F685" s="7">
        <v>784</v>
      </c>
      <c r="G685" s="8">
        <f t="shared" si="42"/>
        <v>0.92459089011519069</v>
      </c>
      <c r="H685" s="9">
        <f t="shared" si="43"/>
        <v>1.0100364945565907E-3</v>
      </c>
      <c r="I685" s="10">
        <f>SUM($H$3:H685)</f>
        <v>0.71220173425645317</v>
      </c>
      <c r="J685" s="23">
        <v>4.4000000000000003E-3</v>
      </c>
      <c r="Q685" s="7">
        <f t="shared" si="41"/>
        <v>9.7287334476239815E-5</v>
      </c>
      <c r="R685" s="7">
        <f t="shared" si="40"/>
        <v>1.0603579691540841E-3</v>
      </c>
    </row>
    <row r="686" spans="1:18" x14ac:dyDescent="0.25">
      <c r="A686" s="22">
        <v>45573</v>
      </c>
      <c r="B686" s="12">
        <v>279.39999999999998</v>
      </c>
      <c r="C686" s="13">
        <v>5.0000000000000001E-3</v>
      </c>
      <c r="D686" s="7">
        <v>276</v>
      </c>
      <c r="E686" s="7">
        <v>4.4000000000000003E-3</v>
      </c>
      <c r="F686" s="7">
        <v>578</v>
      </c>
      <c r="G686" s="8">
        <f t="shared" si="42"/>
        <v>0.9438359684288069</v>
      </c>
      <c r="H686" s="9">
        <f t="shared" si="43"/>
        <v>1.0310600971522536E-3</v>
      </c>
      <c r="I686" s="10">
        <f>SUM($H$3:H686)</f>
        <v>0.71323279435360543</v>
      </c>
      <c r="J686" s="23">
        <v>4.4000000000000003E-3</v>
      </c>
      <c r="Q686" s="7">
        <f t="shared" si="41"/>
        <v>9.7297064182658076E-5</v>
      </c>
      <c r="R686" s="7">
        <f t="shared" si="40"/>
        <v>1.0604640155556396E-3</v>
      </c>
    </row>
    <row r="687" spans="1:18" x14ac:dyDescent="0.25">
      <c r="A687" s="22">
        <v>45574</v>
      </c>
      <c r="B687" s="12">
        <v>278.72000000000003</v>
      </c>
      <c r="C687" s="13">
        <v>-2.3999999999999998E-3</v>
      </c>
      <c r="D687" s="7">
        <v>275</v>
      </c>
      <c r="E687" s="7">
        <v>4.4000000000000003E-3</v>
      </c>
      <c r="F687" s="7">
        <v>554</v>
      </c>
      <c r="G687" s="8">
        <f t="shared" si="42"/>
        <v>0.94610400871657163</v>
      </c>
      <c r="H687" s="9">
        <f t="shared" si="43"/>
        <v>1.0335377372482767E-3</v>
      </c>
      <c r="I687" s="10">
        <f>SUM($H$3:H687)</f>
        <v>0.71426633209085366</v>
      </c>
      <c r="J687" s="23">
        <v>4.4000000000000003E-3</v>
      </c>
      <c r="Q687" s="7">
        <f t="shared" si="41"/>
        <v>9.7306794862144278E-5</v>
      </c>
      <c r="R687" s="7">
        <f t="shared" si="40"/>
        <v>1.0605700725628958E-3</v>
      </c>
    </row>
    <row r="688" spans="1:18" x14ac:dyDescent="0.25">
      <c r="A688" s="22">
        <v>45575</v>
      </c>
      <c r="B688" s="12">
        <v>279.3</v>
      </c>
      <c r="C688" s="13">
        <v>2.0999999999999999E-3</v>
      </c>
      <c r="D688" s="7">
        <v>274</v>
      </c>
      <c r="E688" s="7">
        <v>4.4000000000000003E-3</v>
      </c>
      <c r="F688" s="7">
        <v>335</v>
      </c>
      <c r="G688" s="8">
        <f t="shared" si="42"/>
        <v>0.96705329130779583</v>
      </c>
      <c r="H688" s="9">
        <f t="shared" si="43"/>
        <v>1.0564230373070727E-3</v>
      </c>
      <c r="I688" s="10">
        <f>SUM($H$3:H688)</f>
        <v>0.71532275512816068</v>
      </c>
      <c r="J688" s="23">
        <v>4.4000000000000003E-3</v>
      </c>
      <c r="Q688" s="7">
        <f t="shared" si="41"/>
        <v>9.7316526514795766E-5</v>
      </c>
      <c r="R688" s="7">
        <f t="shared" si="40"/>
        <v>1.0606761401769137E-3</v>
      </c>
    </row>
    <row r="689" spans="1:18" x14ac:dyDescent="0.25">
      <c r="A689" s="22">
        <v>45576</v>
      </c>
      <c r="B689" s="12">
        <v>278.72000000000003</v>
      </c>
      <c r="C689" s="13">
        <v>-2.0999999999999999E-3</v>
      </c>
      <c r="D689" s="7">
        <v>273</v>
      </c>
      <c r="E689" s="7">
        <v>4.4000000000000003E-3</v>
      </c>
      <c r="F689" s="7">
        <v>207</v>
      </c>
      <c r="G689" s="8">
        <f t="shared" si="42"/>
        <v>0.97951176046530763</v>
      </c>
      <c r="H689" s="9">
        <f t="shared" si="43"/>
        <v>1.0700328496575135E-3</v>
      </c>
      <c r="I689" s="10">
        <f>SUM($H$3:H689)</f>
        <v>0.71639278797781825</v>
      </c>
      <c r="J689" s="23">
        <v>4.4000000000000003E-3</v>
      </c>
      <c r="Q689" s="7">
        <f t="shared" si="41"/>
        <v>9.7326259140709836E-5</v>
      </c>
      <c r="R689" s="7">
        <f t="shared" si="40"/>
        <v>1.0607822183987534E-3</v>
      </c>
    </row>
    <row r="690" spans="1:18" x14ac:dyDescent="0.25">
      <c r="A690" s="22">
        <v>45579</v>
      </c>
      <c r="B690" s="12">
        <v>280.76</v>
      </c>
      <c r="C690" s="13">
        <v>7.3000000000000001E-3</v>
      </c>
      <c r="D690" s="7">
        <v>272</v>
      </c>
      <c r="E690" s="7">
        <v>4.4999999999999997E-3</v>
      </c>
      <c r="F690" s="7">
        <v>645</v>
      </c>
      <c r="G690" s="8">
        <f t="shared" si="42"/>
        <v>0.93753309051138745</v>
      </c>
      <c r="H690" s="9">
        <f t="shared" si="43"/>
        <v>1.0241747419260786E-3</v>
      </c>
      <c r="I690" s="10">
        <f>SUM($H$3:H690)</f>
        <v>0.71741696271974431</v>
      </c>
      <c r="J690" s="23">
        <v>4.4999999999999997E-3</v>
      </c>
      <c r="Q690" s="7">
        <f t="shared" si="41"/>
        <v>9.7335992739983835E-5</v>
      </c>
      <c r="R690" s="7">
        <f t="shared" si="40"/>
        <v>1.0608883072294765E-3</v>
      </c>
    </row>
    <row r="691" spans="1:18" x14ac:dyDescent="0.25">
      <c r="A691" s="22">
        <v>45580</v>
      </c>
      <c r="B691" s="12">
        <v>279.83</v>
      </c>
      <c r="C691" s="13">
        <v>-3.3E-3</v>
      </c>
      <c r="D691" s="7">
        <v>271</v>
      </c>
      <c r="E691" s="7">
        <v>4.4999999999999997E-3</v>
      </c>
      <c r="F691" s="7">
        <v>528</v>
      </c>
      <c r="G691" s="8">
        <f t="shared" si="42"/>
        <v>0.94856720306598985</v>
      </c>
      <c r="H691" s="9">
        <f t="shared" si="43"/>
        <v>1.0362285664709051E-3</v>
      </c>
      <c r="I691" s="10">
        <f>SUM($H$3:H691)</f>
        <v>0.71845319128621521</v>
      </c>
      <c r="J691" s="23">
        <v>4.4999999999999997E-3</v>
      </c>
      <c r="Q691" s="7">
        <f t="shared" si="41"/>
        <v>9.7345727312715097E-5</v>
      </c>
      <c r="R691" s="7">
        <f t="shared" si="40"/>
        <v>1.0609944066701433E-3</v>
      </c>
    </row>
    <row r="692" spans="1:18" x14ac:dyDescent="0.25">
      <c r="A692" s="22">
        <v>45581</v>
      </c>
      <c r="B692" s="12">
        <v>278.5</v>
      </c>
      <c r="C692" s="13">
        <v>-4.7999999999999996E-3</v>
      </c>
      <c r="D692" s="7">
        <v>270</v>
      </c>
      <c r="E692" s="7">
        <v>4.4999999999999997E-3</v>
      </c>
      <c r="F692" s="7">
        <v>509</v>
      </c>
      <c r="G692" s="8">
        <f t="shared" si="42"/>
        <v>0.95037128429178919</v>
      </c>
      <c r="H692" s="9">
        <f t="shared" si="43"/>
        <v>1.038199370960418E-3</v>
      </c>
      <c r="I692" s="10">
        <f>SUM($H$3:H692)</f>
        <v>0.7194913906571756</v>
      </c>
      <c r="J692" s="23">
        <v>4.4999999999999997E-3</v>
      </c>
      <c r="Q692" s="7">
        <f t="shared" si="41"/>
        <v>9.7355462859000983E-5</v>
      </c>
      <c r="R692" s="7">
        <f t="shared" si="40"/>
        <v>1.0611005167218154E-3</v>
      </c>
    </row>
    <row r="693" spans="1:18" x14ac:dyDescent="0.25">
      <c r="A693" s="22">
        <v>45582</v>
      </c>
      <c r="B693" s="12">
        <v>276.69</v>
      </c>
      <c r="C693" s="13">
        <v>-6.4999999999999997E-3</v>
      </c>
      <c r="D693" s="7">
        <v>269</v>
      </c>
      <c r="E693" s="7">
        <v>4.4999999999999997E-3</v>
      </c>
      <c r="F693" s="7">
        <v>342</v>
      </c>
      <c r="G693" s="8">
        <f t="shared" si="42"/>
        <v>0.96637655705122827</v>
      </c>
      <c r="H693" s="9">
        <f t="shared" si="43"/>
        <v>1.0556837629928247E-3</v>
      </c>
      <c r="I693" s="10">
        <f>SUM($H$3:H693)</f>
        <v>0.72054707442016841</v>
      </c>
      <c r="J693" s="23">
        <v>4.4999999999999997E-3</v>
      </c>
      <c r="Q693" s="7">
        <f t="shared" si="41"/>
        <v>9.7365199378938883E-5</v>
      </c>
      <c r="R693" s="7">
        <f t="shared" si="40"/>
        <v>1.0612066373855539E-3</v>
      </c>
    </row>
    <row r="694" spans="1:18" x14ac:dyDescent="0.25">
      <c r="A694" s="22">
        <v>45583</v>
      </c>
      <c r="B694" s="12">
        <v>277.52999999999997</v>
      </c>
      <c r="C694" s="13">
        <v>3.0000000000000001E-3</v>
      </c>
      <c r="D694" s="7">
        <v>268</v>
      </c>
      <c r="E694" s="7">
        <v>4.4999999999999997E-3</v>
      </c>
      <c r="F694" s="7">
        <v>166</v>
      </c>
      <c r="G694" s="8">
        <f t="shared" si="42"/>
        <v>0.9835362043809357</v>
      </c>
      <c r="H694" s="9">
        <f t="shared" si="43"/>
        <v>1.074429210543758E-3</v>
      </c>
      <c r="I694" s="10">
        <f>SUM($H$3:H694)</f>
        <v>0.7216215036307122</v>
      </c>
      <c r="J694" s="23">
        <v>4.4999999999999997E-3</v>
      </c>
      <c r="Q694" s="7">
        <f t="shared" si="41"/>
        <v>9.7374936872626156E-5</v>
      </c>
      <c r="R694" s="7">
        <f t="shared" si="40"/>
        <v>1.0613127686624204E-3</v>
      </c>
    </row>
    <row r="695" spans="1:18" x14ac:dyDescent="0.25">
      <c r="A695" s="22">
        <v>45586</v>
      </c>
      <c r="B695" s="12">
        <v>276.47000000000003</v>
      </c>
      <c r="C695" s="13">
        <v>-3.8E-3</v>
      </c>
      <c r="D695" s="7">
        <v>267</v>
      </c>
      <c r="E695" s="7">
        <v>4.4999999999999997E-3</v>
      </c>
      <c r="F695" s="7">
        <v>51</v>
      </c>
      <c r="G695" s="8">
        <f t="shared" si="42"/>
        <v>0.99491272919996776</v>
      </c>
      <c r="H695" s="9">
        <f t="shared" si="43"/>
        <v>1.0868570912110872E-3</v>
      </c>
      <c r="I695" s="10">
        <f>SUM($H$3:H695)</f>
        <v>0.72270836072192324</v>
      </c>
      <c r="J695" s="23">
        <v>4.4999999999999997E-3</v>
      </c>
      <c r="Q695" s="7">
        <f t="shared" si="41"/>
        <v>9.7384675340160152E-5</v>
      </c>
      <c r="R695" s="7">
        <f t="shared" si="40"/>
        <v>1.0614189105534755E-3</v>
      </c>
    </row>
    <row r="696" spans="1:18" x14ac:dyDescent="0.25">
      <c r="A696" s="22">
        <v>45587</v>
      </c>
      <c r="B696" s="12">
        <v>273.56</v>
      </c>
      <c r="C696" s="13">
        <v>-1.0500000000000001E-2</v>
      </c>
      <c r="D696" s="7">
        <v>266</v>
      </c>
      <c r="E696" s="7">
        <v>4.5999999999999999E-3</v>
      </c>
      <c r="F696" s="7">
        <v>958</v>
      </c>
      <c r="G696" s="8">
        <f t="shared" si="42"/>
        <v>0.9086413743496442</v>
      </c>
      <c r="H696" s="9">
        <f t="shared" si="43"/>
        <v>9.9261301227276618E-4</v>
      </c>
      <c r="I696" s="10">
        <f>SUM($H$3:H696)</f>
        <v>0.72370097373419595</v>
      </c>
      <c r="J696" s="23">
        <v>4.5999999999999999E-3</v>
      </c>
      <c r="Q696" s="7">
        <f t="shared" si="41"/>
        <v>9.7394414781638313E-5</v>
      </c>
      <c r="R696" s="7">
        <f t="shared" si="40"/>
        <v>1.0615250630597814E-3</v>
      </c>
    </row>
    <row r="697" spans="1:18" x14ac:dyDescent="0.25">
      <c r="A697" s="22">
        <v>45588</v>
      </c>
      <c r="B697" s="12">
        <v>273.08999999999997</v>
      </c>
      <c r="C697" s="13">
        <v>-1.6999999999999999E-3</v>
      </c>
      <c r="D697" s="7">
        <v>265</v>
      </c>
      <c r="E697" s="7">
        <v>4.5999999999999999E-3</v>
      </c>
      <c r="F697" s="7">
        <v>619</v>
      </c>
      <c r="G697" s="8">
        <f t="shared" si="42"/>
        <v>0.93997397036145058</v>
      </c>
      <c r="H697" s="9">
        <f t="shared" si="43"/>
        <v>1.0268411944660604E-3</v>
      </c>
      <c r="I697" s="10">
        <f>SUM($H$3:H697)</f>
        <v>0.72472781492866201</v>
      </c>
      <c r="J697" s="23">
        <v>4.5999999999999999E-3</v>
      </c>
      <c r="Q697" s="7">
        <f t="shared" si="41"/>
        <v>9.740415519715804E-5</v>
      </c>
      <c r="R697" s="7">
        <f t="shared" si="40"/>
        <v>1.0616312261823998E-3</v>
      </c>
    </row>
    <row r="698" spans="1:18" x14ac:dyDescent="0.25">
      <c r="A698" s="22">
        <v>45589</v>
      </c>
      <c r="B698" s="12">
        <v>272.12</v>
      </c>
      <c r="C698" s="13">
        <v>-3.5999999999999999E-3</v>
      </c>
      <c r="D698" s="7">
        <v>264</v>
      </c>
      <c r="E698" s="7">
        <v>4.5999999999999999E-3</v>
      </c>
      <c r="F698" s="7">
        <v>530</v>
      </c>
      <c r="G698" s="8">
        <f t="shared" si="42"/>
        <v>0.94837749911104874</v>
      </c>
      <c r="H698" s="9">
        <f t="shared" si="43"/>
        <v>1.0360213311198967E-3</v>
      </c>
      <c r="I698" s="10">
        <f>SUM($H$3:H698)</f>
        <v>0.72576383625978191</v>
      </c>
      <c r="J698" s="23">
        <v>4.5999999999999999E-3</v>
      </c>
      <c r="Q698" s="7">
        <f t="shared" si="41"/>
        <v>9.7413896586816723E-5</v>
      </c>
      <c r="R698" s="7">
        <f t="shared" si="40"/>
        <v>1.061737399922392E-3</v>
      </c>
    </row>
    <row r="699" spans="1:18" x14ac:dyDescent="0.25">
      <c r="A699" s="22">
        <v>45590</v>
      </c>
      <c r="B699" s="12">
        <v>270.48</v>
      </c>
      <c r="C699" s="13">
        <v>-6.0000000000000001E-3</v>
      </c>
      <c r="D699" s="7">
        <v>263</v>
      </c>
      <c r="E699" s="7">
        <v>4.5999999999999999E-3</v>
      </c>
      <c r="F699" s="7">
        <v>46</v>
      </c>
      <c r="G699" s="8">
        <f t="shared" si="42"/>
        <v>0.99541033483630603</v>
      </c>
      <c r="H699" s="9">
        <f t="shared" si="43"/>
        <v>1.0874006828233041E-3</v>
      </c>
      <c r="I699" s="10">
        <f>SUM($H$3:H699)</f>
        <v>0.72685123694260523</v>
      </c>
      <c r="J699" s="23">
        <v>4.5999999999999999E-3</v>
      </c>
      <c r="Q699" s="7">
        <f t="shared" si="41"/>
        <v>9.742363895071179E-5</v>
      </c>
      <c r="R699" s="7">
        <f t="shared" si="40"/>
        <v>1.0618435842808202E-3</v>
      </c>
    </row>
    <row r="700" spans="1:18" x14ac:dyDescent="0.25">
      <c r="A700" s="22">
        <v>45593</v>
      </c>
      <c r="B700" s="12">
        <v>271.97000000000003</v>
      </c>
      <c r="C700" s="13">
        <v>5.4999999999999997E-3</v>
      </c>
      <c r="D700" s="7">
        <v>262</v>
      </c>
      <c r="E700" s="7">
        <v>4.5999999999999999E-3</v>
      </c>
      <c r="F700" s="7">
        <v>5</v>
      </c>
      <c r="G700" s="8">
        <f t="shared" si="42"/>
        <v>0.99950009999000067</v>
      </c>
      <c r="H700" s="9">
        <f t="shared" si="43"/>
        <v>1.0918684015771441E-3</v>
      </c>
      <c r="I700" s="10">
        <f>SUM($H$3:H700)</f>
        <v>0.72794310534418238</v>
      </c>
      <c r="J700" s="23">
        <v>4.5999999999999999E-3</v>
      </c>
      <c r="Q700" s="7">
        <f t="shared" si="41"/>
        <v>9.7433382288940684E-5</v>
      </c>
      <c r="R700" s="7">
        <f t="shared" si="40"/>
        <v>1.061949779258746E-3</v>
      </c>
    </row>
    <row r="701" spans="1:18" x14ac:dyDescent="0.25">
      <c r="A701" s="22">
        <v>45594</v>
      </c>
      <c r="B701" s="12">
        <v>273.58999999999997</v>
      </c>
      <c r="C701" s="13">
        <v>6.0000000000000001E-3</v>
      </c>
      <c r="D701" s="7">
        <v>261</v>
      </c>
      <c r="E701" s="7">
        <v>4.7000000000000002E-3</v>
      </c>
      <c r="F701" s="7">
        <v>537</v>
      </c>
      <c r="G701" s="8">
        <f t="shared" si="42"/>
        <v>0.94771383398775599</v>
      </c>
      <c r="H701" s="9">
        <f t="shared" si="43"/>
        <v>1.0352963337163352E-3</v>
      </c>
      <c r="I701" s="10">
        <f>SUM($H$3:H701)</f>
        <v>0.72897840167789874</v>
      </c>
      <c r="J701" s="23">
        <v>4.7000000000000002E-3</v>
      </c>
      <c r="Q701" s="7">
        <f t="shared" si="41"/>
        <v>9.7443126601600834E-5</v>
      </c>
      <c r="R701" s="7">
        <f t="shared" si="40"/>
        <v>1.0620559848572315E-3</v>
      </c>
    </row>
    <row r="702" spans="1:18" x14ac:dyDescent="0.25">
      <c r="A702" s="22">
        <v>45595</v>
      </c>
      <c r="B702" s="12">
        <v>272.16000000000003</v>
      </c>
      <c r="C702" s="13">
        <v>-5.1999999999999998E-3</v>
      </c>
      <c r="D702" s="7">
        <v>260</v>
      </c>
      <c r="E702" s="7">
        <v>4.7999999999999996E-3</v>
      </c>
      <c r="F702" s="7">
        <v>902</v>
      </c>
      <c r="G702" s="8">
        <f t="shared" si="42"/>
        <v>0.91374429604077811</v>
      </c>
      <c r="H702" s="9">
        <f t="shared" si="43"/>
        <v>9.9818751791846592E-4</v>
      </c>
      <c r="I702" s="10">
        <f>SUM($H$3:H702)</f>
        <v>0.7299765891958172</v>
      </c>
      <c r="J702" s="23">
        <v>4.7999999999999996E-3</v>
      </c>
      <c r="Q702" s="7">
        <f t="shared" si="41"/>
        <v>9.745287188878971E-5</v>
      </c>
      <c r="R702" s="7">
        <f t="shared" si="40"/>
        <v>1.0621622010773392E-3</v>
      </c>
    </row>
    <row r="703" spans="1:18" x14ac:dyDescent="0.25">
      <c r="A703" s="22">
        <v>45596</v>
      </c>
      <c r="B703" s="12">
        <v>270.64</v>
      </c>
      <c r="C703" s="13">
        <v>-5.5999999999999999E-3</v>
      </c>
      <c r="D703" s="7">
        <v>259</v>
      </c>
      <c r="E703" s="7">
        <v>4.7999999999999996E-3</v>
      </c>
      <c r="F703" s="7">
        <v>603</v>
      </c>
      <c r="G703" s="8">
        <f t="shared" si="42"/>
        <v>0.94147920784601147</v>
      </c>
      <c r="H703" s="9">
        <f t="shared" si="43"/>
        <v>1.0284855377195306E-3</v>
      </c>
      <c r="I703" s="10">
        <f>SUM($H$3:H703)</f>
        <v>0.73100507473353671</v>
      </c>
      <c r="J703" s="23">
        <v>4.7999999999999996E-3</v>
      </c>
      <c r="Q703" s="7">
        <f t="shared" si="41"/>
        <v>9.7462618150604769E-5</v>
      </c>
      <c r="R703" s="7">
        <f t="shared" si="40"/>
        <v>1.0622684279201313E-3</v>
      </c>
    </row>
    <row r="704" spans="1:18" x14ac:dyDescent="0.25">
      <c r="A704" s="22">
        <v>45597</v>
      </c>
      <c r="B704" s="12">
        <v>272.37</v>
      </c>
      <c r="C704" s="13">
        <v>6.4000000000000003E-3</v>
      </c>
      <c r="D704" s="7">
        <v>258</v>
      </c>
      <c r="E704" s="7">
        <v>4.7999999999999996E-3</v>
      </c>
      <c r="F704" s="7">
        <v>493</v>
      </c>
      <c r="G704" s="8">
        <f t="shared" si="42"/>
        <v>0.95189317162747378</v>
      </c>
      <c r="H704" s="9">
        <f t="shared" si="43"/>
        <v>1.0398619027526719E-3</v>
      </c>
      <c r="I704" s="10">
        <f>SUM($H$3:H704)</f>
        <v>0.73204493663628933</v>
      </c>
      <c r="J704" s="23">
        <v>4.7999999999999996E-3</v>
      </c>
      <c r="Q704" s="7">
        <f t="shared" si="41"/>
        <v>9.7472365387143479E-5</v>
      </c>
      <c r="R704" s="7">
        <f t="shared" si="40"/>
        <v>1.0623746653866699E-3</v>
      </c>
    </row>
    <row r="705" spans="1:18" x14ac:dyDescent="0.25">
      <c r="A705" s="22">
        <v>45600</v>
      </c>
      <c r="B705" s="12">
        <v>268.47000000000003</v>
      </c>
      <c r="C705" s="13">
        <v>-1.43E-2</v>
      </c>
      <c r="D705" s="7">
        <v>257</v>
      </c>
      <c r="E705" s="7">
        <v>4.7999999999999996E-3</v>
      </c>
      <c r="F705" s="7">
        <v>434</v>
      </c>
      <c r="G705" s="8">
        <f t="shared" si="42"/>
        <v>0.95752622416101529</v>
      </c>
      <c r="H705" s="9">
        <f t="shared" si="43"/>
        <v>1.0460155310173011E-3</v>
      </c>
      <c r="I705" s="10">
        <f>SUM($H$3:H705)</f>
        <v>0.73309095216730669</v>
      </c>
      <c r="J705" s="23">
        <v>4.7999999999999996E-3</v>
      </c>
      <c r="Q705" s="7">
        <f t="shared" si="41"/>
        <v>9.7482113598503325E-5</v>
      </c>
      <c r="R705" s="7">
        <f t="shared" si="40"/>
        <v>1.0624809134780176E-3</v>
      </c>
    </row>
    <row r="706" spans="1:18" x14ac:dyDescent="0.25">
      <c r="A706" s="22">
        <v>45601</v>
      </c>
      <c r="B706" s="12">
        <v>270.79000000000002</v>
      </c>
      <c r="C706" s="13">
        <v>8.6E-3</v>
      </c>
      <c r="D706" s="7">
        <v>256</v>
      </c>
      <c r="E706" s="7">
        <v>4.7999999999999996E-3</v>
      </c>
      <c r="F706" s="7">
        <v>406</v>
      </c>
      <c r="G706" s="8">
        <f t="shared" si="42"/>
        <v>0.9602111890357069</v>
      </c>
      <c r="H706" s="9">
        <f t="shared" si="43"/>
        <v>1.0489486255773211E-3</v>
      </c>
      <c r="I706" s="10">
        <f>SUM($H$3:H706)</f>
        <v>0.73413990079288405</v>
      </c>
      <c r="J706" s="23">
        <v>4.7999999999999996E-3</v>
      </c>
      <c r="Q706" s="7">
        <f t="shared" si="41"/>
        <v>9.7491862784781816E-5</v>
      </c>
      <c r="R706" s="7">
        <f t="shared" ref="R706:R769" si="44">Q706/$U$2</f>
        <v>1.0625871721952373E-3</v>
      </c>
    </row>
    <row r="707" spans="1:18" x14ac:dyDescent="0.25">
      <c r="A707" s="22">
        <v>45602</v>
      </c>
      <c r="B707" s="12">
        <v>273.91000000000003</v>
      </c>
      <c r="C707" s="13">
        <v>1.15E-2</v>
      </c>
      <c r="D707" s="7">
        <v>255</v>
      </c>
      <c r="E707" s="7">
        <v>4.7999999999999996E-3</v>
      </c>
      <c r="F707" s="7">
        <v>13</v>
      </c>
      <c r="G707" s="8">
        <f t="shared" si="42"/>
        <v>0.99870077971407178</v>
      </c>
      <c r="H707" s="9">
        <f t="shared" si="43"/>
        <v>1.090995212517898E-3</v>
      </c>
      <c r="I707" s="10">
        <f>SUM($H$3:H707)</f>
        <v>0.73523089600540192</v>
      </c>
      <c r="J707" s="23">
        <v>4.7999999999999996E-3</v>
      </c>
      <c r="Q707" s="7">
        <f t="shared" ref="Q707:Q770" si="45">(1-$N$3) * $N$3^(D708-1)</f>
        <v>9.7501612946076409E-5</v>
      </c>
      <c r="R707" s="7">
        <f t="shared" si="44"/>
        <v>1.062693441539391E-3</v>
      </c>
    </row>
    <row r="708" spans="1:18" x14ac:dyDescent="0.25">
      <c r="A708" s="22">
        <v>45603</v>
      </c>
      <c r="B708" s="12">
        <v>270.7</v>
      </c>
      <c r="C708" s="13">
        <v>-1.17E-2</v>
      </c>
      <c r="D708" s="7">
        <v>254</v>
      </c>
      <c r="E708" s="7">
        <v>4.8999999999999998E-3</v>
      </c>
      <c r="F708" s="7">
        <v>587</v>
      </c>
      <c r="G708" s="8">
        <f t="shared" ref="G708:G771" si="46">$N$3^F708</f>
        <v>0.94298685575889962</v>
      </c>
      <c r="H708" s="9">
        <f t="shared" ref="H708:H771" si="47">G708/$N$4</f>
        <v>1.030132514159856E-3</v>
      </c>
      <c r="I708" s="10">
        <f>SUM($H$3:H708)</f>
        <v>0.73626102851956177</v>
      </c>
      <c r="J708" s="23">
        <v>4.8999999999999998E-3</v>
      </c>
      <c r="Q708" s="7">
        <f t="shared" si="45"/>
        <v>9.7511364082484642E-5</v>
      </c>
      <c r="R708" s="7">
        <f t="shared" si="44"/>
        <v>1.062799721511542E-3</v>
      </c>
    </row>
    <row r="709" spans="1:18" x14ac:dyDescent="0.25">
      <c r="A709" s="22">
        <v>45604</v>
      </c>
      <c r="B709" s="12">
        <v>270.02999999999997</v>
      </c>
      <c r="C709" s="13">
        <v>-2.5000000000000001E-3</v>
      </c>
      <c r="D709" s="7">
        <v>253</v>
      </c>
      <c r="E709" s="7">
        <v>4.8999999999999998E-3</v>
      </c>
      <c r="F709" s="7">
        <v>543</v>
      </c>
      <c r="G709" s="8">
        <f t="shared" si="46"/>
        <v>0.94714534782548587</v>
      </c>
      <c r="H709" s="9">
        <f t="shared" si="47"/>
        <v>1.0346753111898513E-3</v>
      </c>
      <c r="I709" s="10">
        <f>SUM($H$3:H709)</f>
        <v>0.7372957038307516</v>
      </c>
      <c r="J709" s="23">
        <v>4.8999999999999998E-3</v>
      </c>
      <c r="Q709" s="7">
        <f t="shared" si="45"/>
        <v>9.7521116194104052E-5</v>
      </c>
      <c r="R709" s="7">
        <f t="shared" si="44"/>
        <v>1.0629060121127533E-3</v>
      </c>
    </row>
    <row r="710" spans="1:18" x14ac:dyDescent="0.25">
      <c r="A710" s="22">
        <v>45607</v>
      </c>
      <c r="B710" s="12">
        <v>269.95999999999998</v>
      </c>
      <c r="C710" s="13">
        <v>-2.9999999999999997E-4</v>
      </c>
      <c r="D710" s="7">
        <v>252</v>
      </c>
      <c r="E710" s="7">
        <v>4.8999999999999998E-3</v>
      </c>
      <c r="F710" s="7">
        <v>489</v>
      </c>
      <c r="G710" s="8">
        <f t="shared" si="46"/>
        <v>0.95227402410448292</v>
      </c>
      <c r="H710" s="9">
        <f t="shared" si="47"/>
        <v>1.0402779515207639E-3</v>
      </c>
      <c r="I710" s="10">
        <f>SUM($H$3:H710)</f>
        <v>0.73833598178227233</v>
      </c>
      <c r="J710" s="23">
        <v>4.8999999999999998E-3</v>
      </c>
      <c r="Q710" s="7">
        <f t="shared" si="45"/>
        <v>9.7530869281032162E-5</v>
      </c>
      <c r="R710" s="7">
        <f t="shared" si="44"/>
        <v>1.0630123133440878E-3</v>
      </c>
    </row>
    <row r="711" spans="1:18" x14ac:dyDescent="0.25">
      <c r="A711" s="22">
        <v>45608</v>
      </c>
      <c r="B711" s="12">
        <v>267.18</v>
      </c>
      <c r="C711" s="13">
        <v>-1.03E-2</v>
      </c>
      <c r="D711" s="7">
        <v>251</v>
      </c>
      <c r="E711" s="7">
        <v>5.0000000000000001E-3</v>
      </c>
      <c r="F711" s="7">
        <v>758</v>
      </c>
      <c r="G711" s="8">
        <f t="shared" si="46"/>
        <v>0.926998074774671</v>
      </c>
      <c r="H711" s="9">
        <f t="shared" si="47"/>
        <v>1.0126661379818132E-3</v>
      </c>
      <c r="I711" s="10">
        <f>SUM($H$3:H711)</f>
        <v>0.73934864792025412</v>
      </c>
      <c r="J711" s="23">
        <v>5.0000000000000001E-3</v>
      </c>
      <c r="Q711" s="7">
        <f t="shared" si="45"/>
        <v>9.7540623343366485E-5</v>
      </c>
      <c r="R711" s="7">
        <f t="shared" si="44"/>
        <v>1.0631186252066083E-3</v>
      </c>
    </row>
    <row r="712" spans="1:18" x14ac:dyDescent="0.25">
      <c r="A712" s="22">
        <v>45609</v>
      </c>
      <c r="B712" s="12">
        <v>263.64</v>
      </c>
      <c r="C712" s="13">
        <v>-1.32E-2</v>
      </c>
      <c r="D712" s="7">
        <v>250</v>
      </c>
      <c r="E712" s="7">
        <v>5.0000000000000001E-3</v>
      </c>
      <c r="F712" s="7">
        <v>697</v>
      </c>
      <c r="G712" s="8">
        <f t="shared" si="46"/>
        <v>0.9326703294353853</v>
      </c>
      <c r="H712" s="9">
        <f t="shared" si="47"/>
        <v>1.0188625912185808E-3</v>
      </c>
      <c r="I712" s="10">
        <f>SUM($H$3:H712)</f>
        <v>0.74036751051147265</v>
      </c>
      <c r="J712" s="23">
        <v>5.0000000000000001E-3</v>
      </c>
      <c r="Q712" s="7">
        <f t="shared" si="45"/>
        <v>9.755037838120461E-5</v>
      </c>
      <c r="R712" s="7">
        <f t="shared" si="44"/>
        <v>1.0632249477013785E-3</v>
      </c>
    </row>
    <row r="713" spans="1:18" x14ac:dyDescent="0.25">
      <c r="A713" s="22">
        <v>45610</v>
      </c>
      <c r="B713" s="12">
        <v>263.57</v>
      </c>
      <c r="C713" s="13">
        <v>-2.9999999999999997E-4</v>
      </c>
      <c r="D713" s="7">
        <v>249</v>
      </c>
      <c r="E713" s="7">
        <v>5.0000000000000001E-3</v>
      </c>
      <c r="F713" s="7">
        <v>573</v>
      </c>
      <c r="G713" s="8">
        <f t="shared" si="46"/>
        <v>0.9443080280214573</v>
      </c>
      <c r="H713" s="9">
        <f t="shared" si="47"/>
        <v>1.0315757818959385E-3</v>
      </c>
      <c r="I713" s="10">
        <f>SUM($H$3:H713)</f>
        <v>0.74139908629336859</v>
      </c>
      <c r="J713" s="23">
        <v>5.0000000000000001E-3</v>
      </c>
      <c r="Q713" s="7">
        <f t="shared" si="45"/>
        <v>9.7560134394644076E-5</v>
      </c>
      <c r="R713" s="7">
        <f t="shared" si="44"/>
        <v>1.0633312808294615E-3</v>
      </c>
    </row>
    <row r="714" spans="1:18" x14ac:dyDescent="0.25">
      <c r="A714" s="22">
        <v>45614</v>
      </c>
      <c r="B714" s="12">
        <v>262.47000000000003</v>
      </c>
      <c r="C714" s="13">
        <v>-4.1999999999999997E-3</v>
      </c>
      <c r="D714" s="7">
        <v>248</v>
      </c>
      <c r="E714" s="7">
        <v>5.0000000000000001E-3</v>
      </c>
      <c r="F714" s="7">
        <v>505</v>
      </c>
      <c r="G714" s="8">
        <f t="shared" si="46"/>
        <v>0.95075152786164496</v>
      </c>
      <c r="H714" s="9">
        <f t="shared" si="47"/>
        <v>1.0386147545495066E-3</v>
      </c>
      <c r="I714" s="10">
        <f>SUM($H$3:H714)</f>
        <v>0.74243770104791806</v>
      </c>
      <c r="J714" s="23">
        <v>5.0000000000000001E-3</v>
      </c>
      <c r="Q714" s="7">
        <f t="shared" si="45"/>
        <v>9.7569891383782447E-5</v>
      </c>
      <c r="R714" s="7">
        <f t="shared" si="44"/>
        <v>1.0634376245919205E-3</v>
      </c>
    </row>
    <row r="715" spans="1:18" x14ac:dyDescent="0.25">
      <c r="A715" s="22">
        <v>45615</v>
      </c>
      <c r="B715" s="12">
        <v>263.07</v>
      </c>
      <c r="C715" s="13">
        <v>2.3E-3</v>
      </c>
      <c r="D715" s="7">
        <v>247</v>
      </c>
      <c r="E715" s="7">
        <v>5.0000000000000001E-3</v>
      </c>
      <c r="F715" s="7">
        <v>404</v>
      </c>
      <c r="G715" s="8">
        <f t="shared" si="46"/>
        <v>0.96040326008369092</v>
      </c>
      <c r="H715" s="9">
        <f t="shared" si="47"/>
        <v>1.0491584467750917E-3</v>
      </c>
      <c r="I715" s="10">
        <f>SUM($H$3:H715)</f>
        <v>0.74348685949469318</v>
      </c>
      <c r="J715" s="23">
        <v>5.0000000000000001E-3</v>
      </c>
      <c r="Q715" s="7">
        <f t="shared" si="45"/>
        <v>9.7579649348717329E-5</v>
      </c>
      <c r="R715" s="7">
        <f t="shared" si="44"/>
        <v>1.0635439789898197E-3</v>
      </c>
    </row>
    <row r="716" spans="1:18" x14ac:dyDescent="0.25">
      <c r="A716" s="22">
        <v>45617</v>
      </c>
      <c r="B716" s="12">
        <v>261.29000000000002</v>
      </c>
      <c r="C716" s="13">
        <v>-6.7999999999999996E-3</v>
      </c>
      <c r="D716" s="7">
        <v>246</v>
      </c>
      <c r="E716" s="7">
        <v>5.0000000000000001E-3</v>
      </c>
      <c r="F716" s="7">
        <v>338</v>
      </c>
      <c r="G716" s="8">
        <f t="shared" si="46"/>
        <v>0.96676320433103513</v>
      </c>
      <c r="H716" s="9">
        <f t="shared" si="47"/>
        <v>1.0561061420875154E-3</v>
      </c>
      <c r="I716" s="10">
        <f>SUM($H$3:H716)</f>
        <v>0.74454296563678068</v>
      </c>
      <c r="J716" s="23">
        <v>5.0000000000000001E-3</v>
      </c>
      <c r="Q716" s="7">
        <f t="shared" si="45"/>
        <v>9.7589408289546259E-5</v>
      </c>
      <c r="R716" s="7">
        <f t="shared" si="44"/>
        <v>1.0636503440242218E-3</v>
      </c>
    </row>
    <row r="717" spans="1:18" x14ac:dyDescent="0.25">
      <c r="A717" s="22">
        <v>45618</v>
      </c>
      <c r="B717" s="12">
        <v>266.86</v>
      </c>
      <c r="C717" s="13">
        <v>2.1299999999999999E-2</v>
      </c>
      <c r="D717" s="7">
        <v>245</v>
      </c>
      <c r="E717" s="7">
        <v>5.0000000000000001E-3</v>
      </c>
      <c r="F717" s="7">
        <v>283</v>
      </c>
      <c r="G717" s="8">
        <f t="shared" si="46"/>
        <v>0.97209531843675789</v>
      </c>
      <c r="H717" s="9">
        <f t="shared" si="47"/>
        <v>1.0619310208501093E-3</v>
      </c>
      <c r="I717" s="10">
        <f>SUM($H$3:H717)</f>
        <v>0.74560489665763074</v>
      </c>
      <c r="J717" s="23">
        <v>5.0000000000000001E-3</v>
      </c>
      <c r="Q717" s="7">
        <f t="shared" si="45"/>
        <v>9.7599168206366897E-5</v>
      </c>
      <c r="R717" s="7">
        <f t="shared" si="44"/>
        <v>1.0637567196961914E-3</v>
      </c>
    </row>
    <row r="718" spans="1:18" x14ac:dyDescent="0.25">
      <c r="A718" s="22">
        <v>45621</v>
      </c>
      <c r="B718" s="12">
        <v>270.73</v>
      </c>
      <c r="C718" s="13">
        <v>1.4500000000000001E-2</v>
      </c>
      <c r="D718" s="7">
        <v>244</v>
      </c>
      <c r="E718" s="7">
        <v>5.0000000000000001E-3</v>
      </c>
      <c r="F718" s="7">
        <v>276</v>
      </c>
      <c r="G718" s="8">
        <f t="shared" si="46"/>
        <v>0.97277605742802908</v>
      </c>
      <c r="H718" s="9">
        <f t="shared" si="47"/>
        <v>1.0626746699946147E-3</v>
      </c>
      <c r="I718" s="10">
        <f>SUM($H$3:H718)</f>
        <v>0.7466675713276254</v>
      </c>
      <c r="J718" s="23">
        <v>5.0000000000000001E-3</v>
      </c>
      <c r="Q718" s="7">
        <f t="shared" si="45"/>
        <v>9.7608929099276835E-5</v>
      </c>
      <c r="R718" s="7">
        <f t="shared" si="44"/>
        <v>1.0638631060067923E-3</v>
      </c>
    </row>
    <row r="719" spans="1:18" x14ac:dyDescent="0.25">
      <c r="A719" s="22">
        <v>45622</v>
      </c>
      <c r="B719" s="12">
        <v>270.54000000000002</v>
      </c>
      <c r="C719" s="13">
        <v>-6.9999999999999999E-4</v>
      </c>
      <c r="D719" s="7">
        <v>243</v>
      </c>
      <c r="E719" s="7">
        <v>5.1000000000000004E-3</v>
      </c>
      <c r="F719" s="7">
        <v>703</v>
      </c>
      <c r="G719" s="8">
        <f t="shared" si="46"/>
        <v>0.93211086711962177</v>
      </c>
      <c r="H719" s="9">
        <f t="shared" si="47"/>
        <v>1.0182514264728628E-3</v>
      </c>
      <c r="I719" s="10">
        <f>SUM($H$3:H719)</f>
        <v>0.74768582275409823</v>
      </c>
      <c r="J719" s="23">
        <v>5.1000000000000004E-3</v>
      </c>
      <c r="Q719" s="7">
        <f t="shared" si="45"/>
        <v>9.7618690968373663E-5</v>
      </c>
      <c r="R719" s="7">
        <f t="shared" si="44"/>
        <v>1.0639695029570878E-3</v>
      </c>
    </row>
    <row r="720" spans="1:18" x14ac:dyDescent="0.25">
      <c r="A720" s="22">
        <v>45623</v>
      </c>
      <c r="B720" s="12">
        <v>271.54000000000002</v>
      </c>
      <c r="C720" s="13">
        <v>3.7000000000000002E-3</v>
      </c>
      <c r="D720" s="7">
        <v>242</v>
      </c>
      <c r="E720" s="7">
        <v>5.1000000000000004E-3</v>
      </c>
      <c r="F720" s="7">
        <v>524</v>
      </c>
      <c r="G720" s="8">
        <f t="shared" si="46"/>
        <v>0.94894672482291109</v>
      </c>
      <c r="H720" s="9">
        <f t="shared" si="47"/>
        <v>1.0366431615410781E-3</v>
      </c>
      <c r="I720" s="10">
        <f>SUM($H$3:H720)</f>
        <v>0.74872246591563929</v>
      </c>
      <c r="J720" s="23">
        <v>5.1000000000000004E-3</v>
      </c>
      <c r="Q720" s="7">
        <f t="shared" si="45"/>
        <v>9.7628453813755042E-5</v>
      </c>
      <c r="R720" s="7">
        <f t="shared" si="44"/>
        <v>1.0640759105481428E-3</v>
      </c>
    </row>
    <row r="721" spans="1:18" x14ac:dyDescent="0.25">
      <c r="A721" s="22">
        <v>45624</v>
      </c>
      <c r="B721" s="12">
        <v>267.68</v>
      </c>
      <c r="C721" s="13">
        <v>-1.4200000000000001E-2</v>
      </c>
      <c r="D721" s="7">
        <v>241</v>
      </c>
      <c r="E721" s="7">
        <v>5.1000000000000004E-3</v>
      </c>
      <c r="F721" s="7">
        <v>310</v>
      </c>
      <c r="G721" s="8">
        <f t="shared" si="46"/>
        <v>0.96947407028987342</v>
      </c>
      <c r="H721" s="9">
        <f t="shared" si="47"/>
        <v>1.0590675313674127E-3</v>
      </c>
      <c r="I721" s="10">
        <f>SUM($H$3:H721)</f>
        <v>0.74978153344700671</v>
      </c>
      <c r="J721" s="23">
        <v>5.1000000000000004E-3</v>
      </c>
      <c r="Q721" s="7">
        <f t="shared" si="45"/>
        <v>9.7638217635518591E-5</v>
      </c>
      <c r="R721" s="7">
        <f t="shared" si="44"/>
        <v>1.0641823287810207E-3</v>
      </c>
    </row>
    <row r="722" spans="1:18" x14ac:dyDescent="0.25">
      <c r="A722" s="22">
        <v>45625</v>
      </c>
      <c r="B722" s="12">
        <v>269.88</v>
      </c>
      <c r="C722" s="13">
        <v>8.2000000000000007E-3</v>
      </c>
      <c r="D722" s="7">
        <v>240</v>
      </c>
      <c r="E722" s="7">
        <v>5.1000000000000004E-3</v>
      </c>
      <c r="F722" s="7">
        <v>20</v>
      </c>
      <c r="G722" s="8">
        <f t="shared" si="46"/>
        <v>0.99800189886048485</v>
      </c>
      <c r="H722" s="9">
        <f t="shared" si="47"/>
        <v>1.0902317449399495E-3</v>
      </c>
      <c r="I722" s="10">
        <f>SUM($H$3:H722)</f>
        <v>0.75087176519194665</v>
      </c>
      <c r="J722" s="23">
        <v>5.1000000000000004E-3</v>
      </c>
      <c r="Q722" s="7">
        <f t="shared" si="45"/>
        <v>9.7647982433761969E-5</v>
      </c>
      <c r="R722" s="7">
        <f t="shared" si="44"/>
        <v>1.0642887576567865E-3</v>
      </c>
    </row>
    <row r="723" spans="1:18" x14ac:dyDescent="0.25">
      <c r="A723" s="22">
        <v>45628</v>
      </c>
      <c r="B723" s="12">
        <v>271.38</v>
      </c>
      <c r="C723" s="13">
        <v>5.5999999999999999E-3</v>
      </c>
      <c r="D723" s="7">
        <v>239</v>
      </c>
      <c r="E723" s="7">
        <v>5.1999999999999998E-3</v>
      </c>
      <c r="F723" s="7">
        <v>542</v>
      </c>
      <c r="G723" s="8">
        <f t="shared" si="46"/>
        <v>0.94724007183266912</v>
      </c>
      <c r="H723" s="9">
        <f t="shared" si="47"/>
        <v>1.0347787890687583E-3</v>
      </c>
      <c r="I723" s="10">
        <f>SUM($H$3:H723)</f>
        <v>0.75190654398101542</v>
      </c>
      <c r="J723" s="23">
        <v>5.1999999999999998E-3</v>
      </c>
      <c r="Q723" s="7">
        <f t="shared" si="45"/>
        <v>9.7657748208582822E-5</v>
      </c>
      <c r="R723" s="7">
        <f t="shared" si="44"/>
        <v>1.0643951971765042E-3</v>
      </c>
    </row>
    <row r="724" spans="1:18" x14ac:dyDescent="0.25">
      <c r="A724" s="22">
        <v>45629</v>
      </c>
      <c r="B724" s="12">
        <v>272.98</v>
      </c>
      <c r="C724" s="13">
        <v>5.8999999999999999E-3</v>
      </c>
      <c r="D724" s="7">
        <v>238</v>
      </c>
      <c r="E724" s="7">
        <v>5.1999999999999998E-3</v>
      </c>
      <c r="F724" s="7">
        <v>468</v>
      </c>
      <c r="G724" s="8">
        <f t="shared" si="46"/>
        <v>0.95427600099558718</v>
      </c>
      <c r="H724" s="9">
        <f t="shared" si="47"/>
        <v>1.0424649401044631E-3</v>
      </c>
      <c r="I724" s="10">
        <f>SUM($H$3:H724)</f>
        <v>0.75294900892111993</v>
      </c>
      <c r="J724" s="23">
        <v>5.1999999999999998E-3</v>
      </c>
      <c r="Q724" s="7">
        <f t="shared" si="45"/>
        <v>9.7667514960078823E-5</v>
      </c>
      <c r="R724" s="7">
        <f t="shared" si="44"/>
        <v>1.0645016473412382E-3</v>
      </c>
    </row>
    <row r="725" spans="1:18" x14ac:dyDescent="0.25">
      <c r="A725" s="22">
        <v>45630</v>
      </c>
      <c r="B725" s="12">
        <v>273.43</v>
      </c>
      <c r="C725" s="13">
        <v>1.6000000000000001E-3</v>
      </c>
      <c r="D725" s="7">
        <v>237</v>
      </c>
      <c r="E725" s="7">
        <v>5.1999999999999998E-3</v>
      </c>
      <c r="F725" s="7">
        <v>433</v>
      </c>
      <c r="G725" s="8">
        <f t="shared" si="46"/>
        <v>0.95762198635965123</v>
      </c>
      <c r="H725" s="9">
        <f t="shared" si="47"/>
        <v>1.0461201430316041E-3</v>
      </c>
      <c r="I725" s="10">
        <f>SUM($H$3:H725)</f>
        <v>0.75399512906415156</v>
      </c>
      <c r="J725" s="23">
        <v>5.1999999999999998E-3</v>
      </c>
      <c r="Q725" s="7">
        <f t="shared" si="45"/>
        <v>9.7677282688347659E-5</v>
      </c>
      <c r="R725" s="7">
        <f t="shared" si="44"/>
        <v>1.0646081081520534E-3</v>
      </c>
    </row>
    <row r="726" spans="1:18" x14ac:dyDescent="0.25">
      <c r="A726" s="22">
        <v>45631</v>
      </c>
      <c r="B726" s="12">
        <v>275.92</v>
      </c>
      <c r="C726" s="13">
        <v>9.1000000000000004E-3</v>
      </c>
      <c r="D726" s="7">
        <v>236</v>
      </c>
      <c r="E726" s="7">
        <v>5.1999999999999998E-3</v>
      </c>
      <c r="F726" s="7">
        <v>419</v>
      </c>
      <c r="G726" s="8">
        <f t="shared" si="46"/>
        <v>0.95896366318013648</v>
      </c>
      <c r="H726" s="9">
        <f t="shared" si="47"/>
        <v>1.0475858102440747E-3</v>
      </c>
      <c r="I726" s="10">
        <f>SUM($H$3:H726)</f>
        <v>0.75504271487439567</v>
      </c>
      <c r="J726" s="23">
        <v>5.1999999999999998E-3</v>
      </c>
      <c r="Q726" s="7">
        <f t="shared" si="45"/>
        <v>9.7687051393487002E-5</v>
      </c>
      <c r="R726" s="7">
        <f t="shared" si="44"/>
        <v>1.0647145796100143E-3</v>
      </c>
    </row>
    <row r="727" spans="1:18" x14ac:dyDescent="0.25">
      <c r="A727" s="22">
        <v>45632</v>
      </c>
      <c r="B727" s="12">
        <v>275.88</v>
      </c>
      <c r="C727" s="13">
        <v>-1E-4</v>
      </c>
      <c r="D727" s="7">
        <v>235</v>
      </c>
      <c r="E727" s="7">
        <v>5.1999999999999998E-3</v>
      </c>
      <c r="F727" s="7">
        <v>79</v>
      </c>
      <c r="G727" s="8">
        <f t="shared" si="46"/>
        <v>0.99213073107102701</v>
      </c>
      <c r="H727" s="9">
        <f t="shared" si="47"/>
        <v>1.0838179961171822E-3</v>
      </c>
      <c r="I727" s="10">
        <f>SUM($H$3:H727)</f>
        <v>0.7561265328705129</v>
      </c>
      <c r="J727" s="23">
        <v>5.1999999999999998E-3</v>
      </c>
      <c r="Q727" s="7">
        <f t="shared" si="45"/>
        <v>9.7696821075594553E-5</v>
      </c>
      <c r="R727" s="7">
        <f t="shared" si="44"/>
        <v>1.0648210617161858E-3</v>
      </c>
    </row>
    <row r="728" spans="1:18" x14ac:dyDescent="0.25">
      <c r="A728" s="22">
        <v>45635</v>
      </c>
      <c r="B728" s="12">
        <v>275.14</v>
      </c>
      <c r="C728" s="13">
        <v>-2.7000000000000001E-3</v>
      </c>
      <c r="D728" s="7">
        <v>234</v>
      </c>
      <c r="E728" s="7">
        <v>5.1999999999999998E-3</v>
      </c>
      <c r="F728" s="7">
        <v>25</v>
      </c>
      <c r="G728" s="8">
        <f t="shared" si="46"/>
        <v>0.99750299770126505</v>
      </c>
      <c r="H728" s="9">
        <f t="shared" si="47"/>
        <v>1.0896867380797521E-3</v>
      </c>
      <c r="I728" s="10">
        <f>SUM($H$3:H728)</f>
        <v>0.75721621960859264</v>
      </c>
      <c r="J728" s="23">
        <v>5.1999999999999998E-3</v>
      </c>
      <c r="Q728" s="7">
        <f t="shared" si="45"/>
        <v>9.7706591734768026E-5</v>
      </c>
      <c r="R728" s="7">
        <f t="shared" si="44"/>
        <v>1.0649275544716329E-3</v>
      </c>
    </row>
    <row r="729" spans="1:18" x14ac:dyDescent="0.25">
      <c r="A729" s="22">
        <v>45636</v>
      </c>
      <c r="B729" s="12">
        <v>274.68</v>
      </c>
      <c r="C729" s="13">
        <v>-1.6999999999999999E-3</v>
      </c>
      <c r="D729" s="7">
        <v>233</v>
      </c>
      <c r="E729" s="7">
        <v>5.3E-3</v>
      </c>
      <c r="F729" s="7">
        <v>789</v>
      </c>
      <c r="G729" s="8">
        <f t="shared" si="46"/>
        <v>0.92412868711997687</v>
      </c>
      <c r="H729" s="9">
        <f t="shared" si="47"/>
        <v>1.0095315773028623E-3</v>
      </c>
      <c r="I729" s="10">
        <f>SUM($H$3:H729)</f>
        <v>0.75822575118589552</v>
      </c>
      <c r="J729" s="23">
        <v>5.3E-3</v>
      </c>
      <c r="Q729" s="7">
        <f t="shared" si="45"/>
        <v>9.7716363371105148E-5</v>
      </c>
      <c r="R729" s="7">
        <f t="shared" si="44"/>
        <v>1.0650340578774208E-3</v>
      </c>
    </row>
    <row r="730" spans="1:18" x14ac:dyDescent="0.25">
      <c r="A730" s="22">
        <v>45637</v>
      </c>
      <c r="B730" s="12">
        <v>274.97000000000003</v>
      </c>
      <c r="C730" s="13">
        <v>1.1000000000000001E-3</v>
      </c>
      <c r="D730" s="7">
        <v>232</v>
      </c>
      <c r="E730" s="7">
        <v>5.3E-3</v>
      </c>
      <c r="F730" s="7">
        <v>581</v>
      </c>
      <c r="G730" s="8">
        <f t="shared" si="46"/>
        <v>0.94355284595241362</v>
      </c>
      <c r="H730" s="9">
        <f t="shared" si="47"/>
        <v>1.0307508100538801E-3</v>
      </c>
      <c r="I730" s="10">
        <f>SUM($H$3:H730)</f>
        <v>0.75925650199594941</v>
      </c>
      <c r="J730" s="23">
        <v>5.3E-3</v>
      </c>
      <c r="Q730" s="7">
        <f t="shared" si="45"/>
        <v>9.772613598470362E-5</v>
      </c>
      <c r="R730" s="7">
        <f t="shared" si="44"/>
        <v>1.0651405719346143E-3</v>
      </c>
    </row>
    <row r="731" spans="1:18" x14ac:dyDescent="0.25">
      <c r="A731" s="22">
        <v>45638</v>
      </c>
      <c r="B731" s="12">
        <v>274.10000000000002</v>
      </c>
      <c r="C731" s="13">
        <v>-3.2000000000000002E-3</v>
      </c>
      <c r="D731" s="7">
        <v>231</v>
      </c>
      <c r="E731" s="7">
        <v>5.3E-3</v>
      </c>
      <c r="F731" s="7">
        <v>525</v>
      </c>
      <c r="G731" s="8">
        <f t="shared" si="46"/>
        <v>0.94885183015042884</v>
      </c>
      <c r="H731" s="9">
        <f t="shared" si="47"/>
        <v>1.0365394972249242E-3</v>
      </c>
      <c r="I731" s="10">
        <f>SUM($H$3:H731)</f>
        <v>0.76029304149317434</v>
      </c>
      <c r="J731" s="23">
        <v>5.3E-3</v>
      </c>
      <c r="Q731" s="7">
        <f t="shared" si="45"/>
        <v>9.7735909575661181E-5</v>
      </c>
      <c r="R731" s="7">
        <f t="shared" si="44"/>
        <v>1.0652470966442786E-3</v>
      </c>
    </row>
    <row r="732" spans="1:18" x14ac:dyDescent="0.25">
      <c r="A732" s="22">
        <v>45639</v>
      </c>
      <c r="B732" s="12">
        <v>276.08</v>
      </c>
      <c r="C732" s="13">
        <v>7.1999999999999998E-3</v>
      </c>
      <c r="D732" s="7">
        <v>230</v>
      </c>
      <c r="E732" s="7">
        <v>5.3E-3</v>
      </c>
      <c r="F732" s="7">
        <v>443</v>
      </c>
      <c r="G732" s="8">
        <f t="shared" si="46"/>
        <v>0.95666479518829117</v>
      </c>
      <c r="H732" s="9">
        <f t="shared" si="47"/>
        <v>1.0450744935171247E-3</v>
      </c>
      <c r="I732" s="10">
        <f>SUM($H$3:H732)</f>
        <v>0.76133811598669143</v>
      </c>
      <c r="J732" s="23">
        <v>5.3E-3</v>
      </c>
      <c r="Q732" s="7">
        <f t="shared" si="45"/>
        <v>9.7745684144075572E-5</v>
      </c>
      <c r="R732" s="7">
        <f t="shared" si="44"/>
        <v>1.0653536320074791E-3</v>
      </c>
    </row>
    <row r="733" spans="1:18" x14ac:dyDescent="0.25">
      <c r="A733" s="22">
        <v>45642</v>
      </c>
      <c r="B733" s="12">
        <v>275.48</v>
      </c>
      <c r="C733" s="13">
        <v>-2.2000000000000001E-3</v>
      </c>
      <c r="D733" s="7">
        <v>229</v>
      </c>
      <c r="E733" s="7">
        <v>5.3E-3</v>
      </c>
      <c r="F733" s="7">
        <v>436</v>
      </c>
      <c r="G733" s="8">
        <f t="shared" si="46"/>
        <v>0.9573347284914453</v>
      </c>
      <c r="H733" s="9">
        <f t="shared" si="47"/>
        <v>1.0458063383712529E-3</v>
      </c>
      <c r="I733" s="10">
        <f>SUM($H$3:H733)</f>
        <v>0.76238392232506269</v>
      </c>
      <c r="J733" s="23">
        <v>5.3E-3</v>
      </c>
      <c r="Q733" s="7">
        <f t="shared" si="45"/>
        <v>9.7755459690044576E-5</v>
      </c>
      <c r="R733" s="7">
        <f t="shared" si="44"/>
        <v>1.0654601780252816E-3</v>
      </c>
    </row>
    <row r="734" spans="1:18" x14ac:dyDescent="0.25">
      <c r="A734" s="22">
        <v>45643</v>
      </c>
      <c r="B734" s="12">
        <v>272.22000000000003</v>
      </c>
      <c r="C734" s="13">
        <v>-1.18E-2</v>
      </c>
      <c r="D734" s="7">
        <v>228</v>
      </c>
      <c r="E734" s="7">
        <v>5.4000000000000003E-3</v>
      </c>
      <c r="F734" s="7">
        <v>624</v>
      </c>
      <c r="G734" s="8">
        <f t="shared" si="46"/>
        <v>0.93950407736426778</v>
      </c>
      <c r="H734" s="9">
        <f t="shared" si="47"/>
        <v>1.026327876542679E-3</v>
      </c>
      <c r="I734" s="10">
        <f>SUM($H$3:H734)</f>
        <v>0.76341025020160536</v>
      </c>
      <c r="J734" s="23">
        <v>5.4000000000000003E-3</v>
      </c>
      <c r="Q734" s="7">
        <f t="shared" si="45"/>
        <v>9.7765236213665947E-5</v>
      </c>
      <c r="R734" s="7">
        <f t="shared" si="44"/>
        <v>1.0655667346987517E-3</v>
      </c>
    </row>
    <row r="735" spans="1:18" x14ac:dyDescent="0.25">
      <c r="A735" s="22">
        <v>45644</v>
      </c>
      <c r="B735" s="12">
        <v>270.7</v>
      </c>
      <c r="C735" s="13">
        <v>-5.5999999999999999E-3</v>
      </c>
      <c r="D735" s="7">
        <v>227</v>
      </c>
      <c r="E735" s="7">
        <v>5.4000000000000003E-3</v>
      </c>
      <c r="F735" s="7">
        <v>388</v>
      </c>
      <c r="G735" s="8">
        <f t="shared" si="46"/>
        <v>0.96194121223231954</v>
      </c>
      <c r="H735" s="9">
        <f t="shared" si="47"/>
        <v>1.0508385280019389E-3</v>
      </c>
      <c r="I735" s="10">
        <f>SUM($H$3:H735)</f>
        <v>0.76446108872960727</v>
      </c>
      <c r="J735" s="23">
        <v>5.4000000000000003E-3</v>
      </c>
      <c r="Q735" s="7">
        <f t="shared" si="45"/>
        <v>9.7775013715037439E-5</v>
      </c>
      <c r="R735" s="7">
        <f t="shared" si="44"/>
        <v>1.0656733020289544E-3</v>
      </c>
    </row>
    <row r="736" spans="1:18" x14ac:dyDescent="0.25">
      <c r="A736" s="22">
        <v>45645</v>
      </c>
      <c r="B736" s="12">
        <v>268.39</v>
      </c>
      <c r="C736" s="13">
        <v>-8.5000000000000006E-3</v>
      </c>
      <c r="D736" s="7">
        <v>226</v>
      </c>
      <c r="E736" s="7">
        <v>5.4000000000000003E-3</v>
      </c>
      <c r="F736" s="7">
        <v>347</v>
      </c>
      <c r="G736" s="8">
        <f t="shared" si="46"/>
        <v>0.96589346540069509</v>
      </c>
      <c r="H736" s="9">
        <f t="shared" si="47"/>
        <v>1.0551560266691482E-3</v>
      </c>
      <c r="I736" s="10">
        <f>SUM($H$3:H736)</f>
        <v>0.76551624475627644</v>
      </c>
      <c r="J736" s="23">
        <v>5.4000000000000003E-3</v>
      </c>
      <c r="Q736" s="7">
        <f t="shared" si="45"/>
        <v>9.778479219425686E-5</v>
      </c>
      <c r="R736" s="7">
        <f t="shared" si="44"/>
        <v>1.065779880016956E-3</v>
      </c>
    </row>
    <row r="737" spans="1:18" x14ac:dyDescent="0.25">
      <c r="A737" s="22">
        <v>45646</v>
      </c>
      <c r="B737" s="12">
        <v>264.14999999999998</v>
      </c>
      <c r="C737" s="13">
        <v>-1.5800000000000002E-2</v>
      </c>
      <c r="D737" s="7">
        <v>225</v>
      </c>
      <c r="E737" s="7">
        <v>5.4000000000000003E-3</v>
      </c>
      <c r="F737" s="7">
        <v>71</v>
      </c>
      <c r="G737" s="8">
        <f t="shared" si="46"/>
        <v>0.99292479294203528</v>
      </c>
      <c r="H737" s="9">
        <f t="shared" si="47"/>
        <v>1.0846854408186482E-3</v>
      </c>
      <c r="I737" s="10">
        <f>SUM($H$3:H737)</f>
        <v>0.76660093019709508</v>
      </c>
      <c r="J737" s="23">
        <v>5.4000000000000003E-3</v>
      </c>
      <c r="Q737" s="7">
        <f t="shared" si="45"/>
        <v>9.7794571651422006E-5</v>
      </c>
      <c r="R737" s="7">
        <f t="shared" si="44"/>
        <v>1.0658864686638224E-3</v>
      </c>
    </row>
    <row r="738" spans="1:18" x14ac:dyDescent="0.25">
      <c r="A738" s="22">
        <v>45649</v>
      </c>
      <c r="B738" s="12">
        <v>265.66000000000003</v>
      </c>
      <c r="C738" s="13">
        <v>5.7000000000000002E-3</v>
      </c>
      <c r="D738" s="7">
        <v>224</v>
      </c>
      <c r="E738" s="7">
        <v>5.4000000000000003E-3</v>
      </c>
      <c r="F738" s="7">
        <v>64</v>
      </c>
      <c r="G738" s="8">
        <f t="shared" si="46"/>
        <v>0.99362011839946307</v>
      </c>
      <c r="H738" s="9">
        <f t="shared" si="47"/>
        <v>1.0854450244302809E-3</v>
      </c>
      <c r="I738" s="10">
        <f>SUM($H$3:H738)</f>
        <v>0.76768637522152539</v>
      </c>
      <c r="J738" s="23">
        <v>5.4000000000000003E-3</v>
      </c>
      <c r="Q738" s="7">
        <f t="shared" si="45"/>
        <v>9.7804352086630671E-5</v>
      </c>
      <c r="R738" s="7">
        <f t="shared" si="44"/>
        <v>1.0659930679706195E-3</v>
      </c>
    </row>
    <row r="739" spans="1:18" x14ac:dyDescent="0.25">
      <c r="A739" s="22">
        <v>45650</v>
      </c>
      <c r="B739" s="12">
        <v>265.49</v>
      </c>
      <c r="C739" s="13">
        <v>-5.9999999999999995E-4</v>
      </c>
      <c r="D739" s="7">
        <v>223</v>
      </c>
      <c r="E739" s="7">
        <v>5.4999999999999997E-3</v>
      </c>
      <c r="F739" s="7">
        <v>921</v>
      </c>
      <c r="G739" s="8">
        <f t="shared" si="46"/>
        <v>0.91200974349598296</v>
      </c>
      <c r="H739" s="9">
        <f t="shared" si="47"/>
        <v>9.9629266756821985E-4</v>
      </c>
      <c r="I739" s="10">
        <f>SUM($H$3:H739)</f>
        <v>0.76868266788909356</v>
      </c>
      <c r="J739" s="23">
        <v>5.4999999999999997E-3</v>
      </c>
      <c r="Q739" s="7">
        <f t="shared" si="45"/>
        <v>9.7814133499980651E-5</v>
      </c>
      <c r="R739" s="7">
        <f t="shared" si="44"/>
        <v>1.0660996779384131E-3</v>
      </c>
    </row>
    <row r="740" spans="1:18" x14ac:dyDescent="0.25">
      <c r="A740" s="22">
        <v>45652</v>
      </c>
      <c r="B740" s="12">
        <v>265.67</v>
      </c>
      <c r="C740" s="13">
        <v>6.9999999999999999E-4</v>
      </c>
      <c r="D740" s="7">
        <v>222</v>
      </c>
      <c r="E740" s="7">
        <v>5.4999999999999997E-3</v>
      </c>
      <c r="F740" s="7">
        <v>496</v>
      </c>
      <c r="G740" s="8">
        <f t="shared" si="46"/>
        <v>0.95160763223182887</v>
      </c>
      <c r="H740" s="9">
        <f t="shared" si="47"/>
        <v>1.0395499753766634E-3</v>
      </c>
      <c r="I740" s="10">
        <f>SUM($H$3:H740)</f>
        <v>0.76972221786447026</v>
      </c>
      <c r="J740" s="23">
        <v>5.4999999999999997E-3</v>
      </c>
      <c r="Q740" s="7">
        <f t="shared" si="45"/>
        <v>9.7823915891569809E-5</v>
      </c>
      <c r="R740" s="7">
        <f t="shared" si="44"/>
        <v>1.06620629856827E-3</v>
      </c>
    </row>
    <row r="741" spans="1:18" x14ac:dyDescent="0.25">
      <c r="A741" s="22">
        <v>45653</v>
      </c>
      <c r="B741" s="12">
        <v>266.39</v>
      </c>
      <c r="C741" s="13">
        <v>2.7000000000000001E-3</v>
      </c>
      <c r="D741" s="7">
        <v>221</v>
      </c>
      <c r="E741" s="7">
        <v>5.4999999999999997E-3</v>
      </c>
      <c r="F741" s="7">
        <v>295</v>
      </c>
      <c r="G741" s="8">
        <f t="shared" si="46"/>
        <v>0.97092944542373139</v>
      </c>
      <c r="H741" s="9">
        <f t="shared" si="47"/>
        <v>1.0606574042659911E-3</v>
      </c>
      <c r="I741" s="10">
        <f>SUM($H$3:H741)</f>
        <v>0.77078287526873623</v>
      </c>
      <c r="J741" s="23">
        <v>5.4999999999999997E-3</v>
      </c>
      <c r="Q741" s="7">
        <f t="shared" si="45"/>
        <v>9.7833699261495966E-5</v>
      </c>
      <c r="R741" s="7">
        <f t="shared" si="44"/>
        <v>1.0663129298612562E-3</v>
      </c>
    </row>
    <row r="742" spans="1:18" x14ac:dyDescent="0.25">
      <c r="A742" s="22">
        <v>45656</v>
      </c>
      <c r="B742" s="12">
        <v>264.37</v>
      </c>
      <c r="C742" s="13">
        <v>-7.6E-3</v>
      </c>
      <c r="D742" s="7">
        <v>220</v>
      </c>
      <c r="E742" s="7">
        <v>5.4999999999999997E-3</v>
      </c>
      <c r="F742" s="7">
        <v>262</v>
      </c>
      <c r="G742" s="8">
        <f t="shared" si="46"/>
        <v>0.97413896586827453</v>
      </c>
      <c r="H742" s="9">
        <f t="shared" si="47"/>
        <v>1.0641635309363612E-3</v>
      </c>
      <c r="I742" s="10">
        <f>SUM($H$3:H742)</f>
        <v>0.77184703879967265</v>
      </c>
      <c r="J742" s="23">
        <v>5.4999999999999997E-3</v>
      </c>
      <c r="Q742" s="7">
        <f t="shared" si="45"/>
        <v>9.7843483609856945E-5</v>
      </c>
      <c r="R742" s="7">
        <f t="shared" si="44"/>
        <v>1.066419571818438E-3</v>
      </c>
    </row>
    <row r="743" spans="1:18" x14ac:dyDescent="0.25">
      <c r="A743" s="22">
        <v>45657</v>
      </c>
      <c r="B743" s="12">
        <v>264.47000000000003</v>
      </c>
      <c r="C743" s="13">
        <v>4.0000000000000002E-4</v>
      </c>
      <c r="D743" s="7">
        <v>219</v>
      </c>
      <c r="E743" s="7">
        <v>5.4999999999999997E-3</v>
      </c>
      <c r="F743" s="7">
        <v>121</v>
      </c>
      <c r="G743" s="8">
        <f t="shared" si="46"/>
        <v>0.98797231286755993</v>
      </c>
      <c r="H743" s="9">
        <f t="shared" si="47"/>
        <v>1.079275279776329E-3</v>
      </c>
      <c r="I743" s="10">
        <f>SUM($H$3:H743)</f>
        <v>0.77292631407944901</v>
      </c>
      <c r="J743" s="23">
        <v>5.4999999999999997E-3</v>
      </c>
      <c r="Q743" s="7">
        <f t="shared" si="45"/>
        <v>9.7853268936750622E-5</v>
      </c>
      <c r="R743" s="7">
        <f t="shared" si="44"/>
        <v>1.066526224440882E-3</v>
      </c>
    </row>
    <row r="744" spans="1:18" x14ac:dyDescent="0.25">
      <c r="A744" s="22">
        <v>45658</v>
      </c>
      <c r="B744" s="12">
        <v>265.58999999999997</v>
      </c>
      <c r="C744" s="13">
        <v>4.1999999999999997E-3</v>
      </c>
      <c r="D744" s="7">
        <v>218</v>
      </c>
      <c r="E744" s="7">
        <v>5.4999999999999997E-3</v>
      </c>
      <c r="F744" s="7">
        <v>97</v>
      </c>
      <c r="G744" s="8">
        <f t="shared" si="46"/>
        <v>0.99034641290584291</v>
      </c>
      <c r="H744" s="9">
        <f t="shared" si="47"/>
        <v>1.0818687810816418E-3</v>
      </c>
      <c r="I744" s="10">
        <f>SUM($H$3:H744)</f>
        <v>0.77400818286053064</v>
      </c>
      <c r="J744" s="23">
        <v>5.4999999999999997E-3</v>
      </c>
      <c r="Q744" s="7">
        <f t="shared" si="45"/>
        <v>9.7863055242274847E-5</v>
      </c>
      <c r="R744" s="7">
        <f t="shared" si="44"/>
        <v>1.0666328877296551E-3</v>
      </c>
    </row>
    <row r="745" spans="1:18" x14ac:dyDescent="0.25">
      <c r="A745" s="22">
        <v>45659</v>
      </c>
      <c r="B745" s="12">
        <v>269.89</v>
      </c>
      <c r="C745" s="13">
        <v>1.6199999999999999E-2</v>
      </c>
      <c r="D745" s="7">
        <v>217</v>
      </c>
      <c r="E745" s="7">
        <v>5.5999999999999999E-3</v>
      </c>
      <c r="F745" s="7">
        <v>823</v>
      </c>
      <c r="G745" s="8">
        <f t="shared" si="46"/>
        <v>0.92099182842000149</v>
      </c>
      <c r="H745" s="9">
        <f t="shared" si="47"/>
        <v>1.006104827375824E-3</v>
      </c>
      <c r="I745" s="10">
        <f>SUM($H$3:H745)</f>
        <v>0.77501428768790648</v>
      </c>
      <c r="J745" s="23">
        <v>5.5999999999999999E-3</v>
      </c>
      <c r="Q745" s="7">
        <f t="shared" si="45"/>
        <v>9.7872842526527495E-5</v>
      </c>
      <c r="R745" s="7">
        <f t="shared" si="44"/>
        <v>1.0667395616858236E-3</v>
      </c>
    </row>
    <row r="746" spans="1:18" x14ac:dyDescent="0.25">
      <c r="A746" s="22">
        <v>45660</v>
      </c>
      <c r="B746" s="12">
        <v>268.41000000000003</v>
      </c>
      <c r="C746" s="13">
        <v>-5.4999999999999997E-3</v>
      </c>
      <c r="D746" s="7">
        <v>216</v>
      </c>
      <c r="E746" s="7">
        <v>5.5999999999999999E-3</v>
      </c>
      <c r="F746" s="7">
        <v>681</v>
      </c>
      <c r="G746" s="8">
        <f t="shared" si="46"/>
        <v>0.93416387115555022</v>
      </c>
      <c r="H746" s="9">
        <f t="shared" si="47"/>
        <v>1.020494157849441E-3</v>
      </c>
      <c r="I746" s="10">
        <f>SUM($H$3:H746)</f>
        <v>0.77603478184575592</v>
      </c>
      <c r="J746" s="23">
        <v>5.5999999999999999E-3</v>
      </c>
      <c r="Q746" s="7">
        <f t="shared" si="45"/>
        <v>9.7882630789606457E-5</v>
      </c>
      <c r="R746" s="7">
        <f t="shared" si="44"/>
        <v>1.0668462463104547E-3</v>
      </c>
    </row>
    <row r="747" spans="1:18" x14ac:dyDescent="0.25">
      <c r="A747" s="22">
        <v>45663</v>
      </c>
      <c r="B747" s="12">
        <v>264.48</v>
      </c>
      <c r="C747" s="13">
        <v>-1.46E-2</v>
      </c>
      <c r="D747" s="7">
        <v>215</v>
      </c>
      <c r="E747" s="7">
        <v>5.5999999999999999E-3</v>
      </c>
      <c r="F747" s="7">
        <v>633</v>
      </c>
      <c r="G747" s="8">
        <f t="shared" si="46"/>
        <v>0.93865886183720149</v>
      </c>
      <c r="H747" s="9">
        <f t="shared" si="47"/>
        <v>1.0254045508456277E-3</v>
      </c>
      <c r="I747" s="10">
        <f>SUM($H$3:H747)</f>
        <v>0.77706018639660157</v>
      </c>
      <c r="J747" s="23">
        <v>5.5999999999999999E-3</v>
      </c>
      <c r="Q747" s="7">
        <f t="shared" si="45"/>
        <v>9.7892420031609622E-5</v>
      </c>
      <c r="R747" s="7">
        <f t="shared" si="44"/>
        <v>1.0669529416046152E-3</v>
      </c>
    </row>
    <row r="748" spans="1:18" x14ac:dyDescent="0.25">
      <c r="A748" s="22">
        <v>45664</v>
      </c>
      <c r="B748" s="12">
        <v>265.16000000000003</v>
      </c>
      <c r="C748" s="13">
        <v>2.5999999999999999E-3</v>
      </c>
      <c r="D748" s="7">
        <v>214</v>
      </c>
      <c r="E748" s="7">
        <v>5.5999999999999999E-3</v>
      </c>
      <c r="F748" s="7">
        <v>539</v>
      </c>
      <c r="G748" s="8">
        <f t="shared" si="46"/>
        <v>0.9475243006980969</v>
      </c>
      <c r="H748" s="9">
        <f t="shared" si="47"/>
        <v>1.0350892848025553E-3</v>
      </c>
      <c r="I748" s="10">
        <f>SUM($H$3:H748)</f>
        <v>0.77809527568140413</v>
      </c>
      <c r="J748" s="23">
        <v>5.5999999999999999E-3</v>
      </c>
      <c r="Q748" s="7">
        <f t="shared" si="45"/>
        <v>9.7902210252634868E-5</v>
      </c>
      <c r="R748" s="7">
        <f t="shared" si="44"/>
        <v>1.067059647569372E-3</v>
      </c>
    </row>
    <row r="749" spans="1:18" x14ac:dyDescent="0.25">
      <c r="A749" s="22">
        <v>45665</v>
      </c>
      <c r="B749" s="12">
        <v>264.92</v>
      </c>
      <c r="C749" s="13">
        <v>-8.9999999999999998E-4</v>
      </c>
      <c r="D749" s="7">
        <v>213</v>
      </c>
      <c r="E749" s="7">
        <v>5.5999999999999999E-3</v>
      </c>
      <c r="F749" s="7">
        <v>239</v>
      </c>
      <c r="G749" s="8">
        <f t="shared" si="46"/>
        <v>0.97638217635529345</v>
      </c>
      <c r="H749" s="9">
        <f t="shared" si="47"/>
        <v>1.0666140465980273E-3</v>
      </c>
      <c r="I749" s="10">
        <f>SUM($H$3:H749)</f>
        <v>0.77916188972800215</v>
      </c>
      <c r="J749" s="23">
        <v>5.5999999999999999E-3</v>
      </c>
      <c r="Q749" s="7">
        <f t="shared" si="45"/>
        <v>9.7912001452780151E-5</v>
      </c>
      <c r="R749" s="7">
        <f t="shared" si="44"/>
        <v>1.0671663642057925E-3</v>
      </c>
    </row>
    <row r="750" spans="1:18" x14ac:dyDescent="0.25">
      <c r="A750" s="22">
        <v>45666</v>
      </c>
      <c r="B750" s="12">
        <v>263.14999999999998</v>
      </c>
      <c r="C750" s="13">
        <v>-6.7000000000000002E-3</v>
      </c>
      <c r="D750" s="7">
        <v>212</v>
      </c>
      <c r="E750" s="7">
        <v>5.7000000000000002E-3</v>
      </c>
      <c r="F750" s="7">
        <v>933</v>
      </c>
      <c r="G750" s="8">
        <f t="shared" si="46"/>
        <v>0.91091593352962186</v>
      </c>
      <c r="H750" s="9">
        <f t="shared" si="47"/>
        <v>9.9509777370116381E-4</v>
      </c>
      <c r="I750" s="10">
        <f>SUM($H$3:H750)</f>
        <v>0.78015698750170337</v>
      </c>
      <c r="J750" s="23">
        <v>5.7000000000000002E-3</v>
      </c>
      <c r="Q750" s="7">
        <f t="shared" si="45"/>
        <v>9.7921793632143361E-5</v>
      </c>
      <c r="R750" s="7">
        <f t="shared" si="44"/>
        <v>1.0672730915149439E-3</v>
      </c>
    </row>
    <row r="751" spans="1:18" x14ac:dyDescent="0.25">
      <c r="A751" s="22">
        <v>45667</v>
      </c>
      <c r="B751" s="12">
        <v>262.22000000000003</v>
      </c>
      <c r="C751" s="13">
        <v>-3.5000000000000001E-3</v>
      </c>
      <c r="D751" s="7">
        <v>211</v>
      </c>
      <c r="E751" s="7">
        <v>5.7000000000000002E-3</v>
      </c>
      <c r="F751" s="7">
        <v>726</v>
      </c>
      <c r="G751" s="8">
        <f t="shared" si="46"/>
        <v>0.92996936871579772</v>
      </c>
      <c r="H751" s="9">
        <f t="shared" si="47"/>
        <v>1.015912022565663E-3</v>
      </c>
      <c r="I751" s="10">
        <f>SUM($H$3:H751)</f>
        <v>0.78117289952426905</v>
      </c>
      <c r="J751" s="23">
        <v>5.7000000000000002E-3</v>
      </c>
      <c r="Q751" s="7">
        <f t="shared" si="45"/>
        <v>9.7931586790822443E-5</v>
      </c>
      <c r="R751" s="7">
        <f t="shared" si="44"/>
        <v>1.0673798294978938E-3</v>
      </c>
    </row>
    <row r="752" spans="1:18" x14ac:dyDescent="0.25">
      <c r="A752" s="22">
        <v>45670</v>
      </c>
      <c r="B752" s="12">
        <v>258.39999999999998</v>
      </c>
      <c r="C752" s="13">
        <v>-1.46E-2</v>
      </c>
      <c r="D752" s="7">
        <v>210</v>
      </c>
      <c r="E752" s="7">
        <v>5.7000000000000002E-3</v>
      </c>
      <c r="F752" s="7">
        <v>638</v>
      </c>
      <c r="G752" s="8">
        <f t="shared" si="46"/>
        <v>0.93818962626278324</v>
      </c>
      <c r="H752" s="9">
        <f t="shared" si="47"/>
        <v>1.0248919511004068E-3</v>
      </c>
      <c r="I752" s="10">
        <f>SUM($H$3:H752)</f>
        <v>0.7821977914753695</v>
      </c>
      <c r="J752" s="23">
        <v>5.7000000000000002E-3</v>
      </c>
      <c r="Q752" s="7">
        <f t="shared" si="45"/>
        <v>9.7941380928915327E-5</v>
      </c>
      <c r="R752" s="7">
        <f t="shared" si="44"/>
        <v>1.0674865781557094E-3</v>
      </c>
    </row>
    <row r="753" spans="1:18" x14ac:dyDescent="0.25">
      <c r="A753" s="22">
        <v>45671</v>
      </c>
      <c r="B753" s="12">
        <v>259.26</v>
      </c>
      <c r="C753" s="13">
        <v>3.3E-3</v>
      </c>
      <c r="D753" s="7">
        <v>209</v>
      </c>
      <c r="E753" s="7">
        <v>5.7000000000000002E-3</v>
      </c>
      <c r="F753" s="7">
        <v>570</v>
      </c>
      <c r="G753" s="8">
        <f t="shared" si="46"/>
        <v>0.94459137709778984</v>
      </c>
      <c r="H753" s="9">
        <f t="shared" si="47"/>
        <v>1.0318853165353714E-3</v>
      </c>
      <c r="I753" s="10">
        <f>SUM($H$3:H753)</f>
        <v>0.78322967679190492</v>
      </c>
      <c r="J753" s="23">
        <v>5.7000000000000002E-3</v>
      </c>
      <c r="Q753" s="7">
        <f t="shared" si="45"/>
        <v>9.795117604651997E-5</v>
      </c>
      <c r="R753" s="7">
        <f t="shared" si="44"/>
        <v>1.0675933374894582E-3</v>
      </c>
    </row>
    <row r="754" spans="1:18" x14ac:dyDescent="0.25">
      <c r="A754" s="22">
        <v>45672</v>
      </c>
      <c r="B754" s="12">
        <v>259.58</v>
      </c>
      <c r="C754" s="13">
        <v>1.1999999999999999E-3</v>
      </c>
      <c r="D754" s="7">
        <v>208</v>
      </c>
      <c r="E754" s="7">
        <v>5.7000000000000002E-3</v>
      </c>
      <c r="F754" s="7">
        <v>224</v>
      </c>
      <c r="G754" s="8">
        <f t="shared" si="46"/>
        <v>0.97784792194267633</v>
      </c>
      <c r="H754" s="9">
        <f t="shared" si="47"/>
        <v>1.0682152483304039E-3</v>
      </c>
      <c r="I754" s="10">
        <f>SUM($H$3:H754)</f>
        <v>0.78429789204023537</v>
      </c>
      <c r="J754" s="23">
        <v>5.7000000000000002E-3</v>
      </c>
      <c r="Q754" s="7">
        <f t="shared" si="45"/>
        <v>9.7960972143734345E-5</v>
      </c>
      <c r="R754" s="7">
        <f t="shared" si="44"/>
        <v>1.0677001075002082E-3</v>
      </c>
    </row>
    <row r="755" spans="1:18" x14ac:dyDescent="0.25">
      <c r="A755" s="22">
        <v>45673</v>
      </c>
      <c r="B755" s="12">
        <v>260.72000000000003</v>
      </c>
      <c r="C755" s="13">
        <v>4.4000000000000003E-3</v>
      </c>
      <c r="D755" s="7">
        <v>207</v>
      </c>
      <c r="E755" s="7">
        <v>5.7000000000000002E-3</v>
      </c>
      <c r="F755" s="7">
        <v>75</v>
      </c>
      <c r="G755" s="8">
        <f t="shared" si="46"/>
        <v>0.99252768259637458</v>
      </c>
      <c r="H755" s="9">
        <f t="shared" si="47"/>
        <v>1.0842516317191087E-3</v>
      </c>
      <c r="I755" s="10">
        <f>SUM($H$3:H755)</f>
        <v>0.78538214367195447</v>
      </c>
      <c r="J755" s="23">
        <v>5.7000000000000002E-3</v>
      </c>
      <c r="Q755" s="7">
        <f t="shared" si="45"/>
        <v>9.7970769220656408E-5</v>
      </c>
      <c r="R755" s="7">
        <f t="shared" si="44"/>
        <v>1.067806888189027E-3</v>
      </c>
    </row>
    <row r="756" spans="1:18" x14ac:dyDescent="0.25">
      <c r="A756" s="22">
        <v>45674</v>
      </c>
      <c r="B756" s="12">
        <v>259.77</v>
      </c>
      <c r="C756" s="13">
        <v>-3.5999999999999999E-3</v>
      </c>
      <c r="D756" s="7">
        <v>206</v>
      </c>
      <c r="E756" s="7">
        <v>5.7999999999999996E-3</v>
      </c>
      <c r="F756" s="7">
        <v>836</v>
      </c>
      <c r="G756" s="8">
        <f t="shared" si="46"/>
        <v>0.9197952571533442</v>
      </c>
      <c r="H756" s="9">
        <f t="shared" si="47"/>
        <v>1.0047976755743271E-3</v>
      </c>
      <c r="I756" s="10">
        <f>SUM($H$3:H756)</f>
        <v>0.78638694134752885</v>
      </c>
      <c r="J756" s="23">
        <v>5.7999999999999996E-3</v>
      </c>
      <c r="Q756" s="7">
        <f t="shared" si="45"/>
        <v>9.7980567277384145E-5</v>
      </c>
      <c r="R756" s="7">
        <f t="shared" si="44"/>
        <v>1.0679136795569827E-3</v>
      </c>
    </row>
    <row r="757" spans="1:18" x14ac:dyDescent="0.25">
      <c r="A757" s="22">
        <v>45677</v>
      </c>
      <c r="B757" s="12">
        <v>261.29000000000002</v>
      </c>
      <c r="C757" s="13">
        <v>5.8999999999999999E-3</v>
      </c>
      <c r="D757" s="7">
        <v>205</v>
      </c>
      <c r="E757" s="7">
        <v>5.7999999999999996E-3</v>
      </c>
      <c r="F757" s="7">
        <v>668</v>
      </c>
      <c r="G757" s="8">
        <f t="shared" si="46"/>
        <v>0.93537913470238943</v>
      </c>
      <c r="H757" s="9">
        <f t="shared" si="47"/>
        <v>1.0218217293688392E-3</v>
      </c>
      <c r="I757" s="10">
        <f>SUM($H$3:H757)</f>
        <v>0.78740876307689767</v>
      </c>
      <c r="J757" s="23">
        <v>5.7999999999999996E-3</v>
      </c>
      <c r="Q757" s="7">
        <f t="shared" si="45"/>
        <v>9.7990366314015554E-5</v>
      </c>
      <c r="R757" s="7">
        <f t="shared" si="44"/>
        <v>1.0680204816051434E-3</v>
      </c>
    </row>
    <row r="758" spans="1:18" x14ac:dyDescent="0.25">
      <c r="A758" s="22">
        <v>45678</v>
      </c>
      <c r="B758" s="12">
        <v>257.91000000000003</v>
      </c>
      <c r="C758" s="13">
        <v>-1.29E-2</v>
      </c>
      <c r="D758" s="7">
        <v>204</v>
      </c>
      <c r="E758" s="7">
        <v>5.7999999999999996E-3</v>
      </c>
      <c r="F758" s="7">
        <v>646</v>
      </c>
      <c r="G758" s="8">
        <f t="shared" si="46"/>
        <v>0.93743933720233652</v>
      </c>
      <c r="H758" s="9">
        <f t="shared" si="47"/>
        <v>1.0240723244518862E-3</v>
      </c>
      <c r="I758" s="10">
        <f>SUM($H$3:H758)</f>
        <v>0.78843283540134956</v>
      </c>
      <c r="J758" s="23">
        <v>5.7999999999999996E-3</v>
      </c>
      <c r="Q758" s="7">
        <f t="shared" si="45"/>
        <v>9.8000166330648606E-5</v>
      </c>
      <c r="R758" s="7">
        <f t="shared" si="44"/>
        <v>1.0681272943345766E-3</v>
      </c>
    </row>
    <row r="759" spans="1:18" x14ac:dyDescent="0.25">
      <c r="A759" s="22">
        <v>45679</v>
      </c>
      <c r="B759" s="12">
        <v>258.85000000000002</v>
      </c>
      <c r="C759" s="13">
        <v>3.5999999999999999E-3</v>
      </c>
      <c r="D759" s="7">
        <v>203</v>
      </c>
      <c r="E759" s="7">
        <v>5.7999999999999996E-3</v>
      </c>
      <c r="F759" s="7">
        <v>472</v>
      </c>
      <c r="G759" s="8">
        <f t="shared" si="46"/>
        <v>0.95389434784793214</v>
      </c>
      <c r="H759" s="9">
        <f t="shared" si="47"/>
        <v>1.0420480166721483E-3</v>
      </c>
      <c r="I759" s="10">
        <f>SUM($H$3:H759)</f>
        <v>0.78947488341802174</v>
      </c>
      <c r="J759" s="23">
        <v>5.7999999999999996E-3</v>
      </c>
      <c r="Q759" s="7">
        <f t="shared" si="45"/>
        <v>9.8009967327381339E-5</v>
      </c>
      <c r="R759" s="7">
        <f t="shared" si="44"/>
        <v>1.0682341177463512E-3</v>
      </c>
    </row>
    <row r="760" spans="1:18" x14ac:dyDescent="0.25">
      <c r="A760" s="22">
        <v>45680</v>
      </c>
      <c r="B760" s="12">
        <v>259.51</v>
      </c>
      <c r="C760" s="13">
        <v>2.5000000000000001E-3</v>
      </c>
      <c r="D760" s="7">
        <v>202</v>
      </c>
      <c r="E760" s="7">
        <v>5.7999999999999996E-3</v>
      </c>
      <c r="F760" s="7">
        <v>113</v>
      </c>
      <c r="G760" s="8">
        <f t="shared" si="46"/>
        <v>0.98876304650647573</v>
      </c>
      <c r="H760" s="9">
        <f t="shared" si="47"/>
        <v>1.0801390886687994E-3</v>
      </c>
      <c r="I760" s="10">
        <f>SUM($H$3:H760)</f>
        <v>0.79055502250669052</v>
      </c>
      <c r="J760" s="23">
        <v>5.7999999999999996E-3</v>
      </c>
      <c r="Q760" s="7">
        <f t="shared" si="45"/>
        <v>9.8019769304311767E-5</v>
      </c>
      <c r="R760" s="7">
        <f t="shared" si="44"/>
        <v>1.0683409518415354E-3</v>
      </c>
    </row>
    <row r="761" spans="1:18" x14ac:dyDescent="0.25">
      <c r="A761" s="22">
        <v>45681</v>
      </c>
      <c r="B761" s="12">
        <v>258.19</v>
      </c>
      <c r="C761" s="13">
        <v>-5.1000000000000004E-3</v>
      </c>
      <c r="D761" s="7">
        <v>201</v>
      </c>
      <c r="E761" s="7">
        <v>5.7999999999999996E-3</v>
      </c>
      <c r="F761" s="7">
        <v>19</v>
      </c>
      <c r="G761" s="8">
        <f t="shared" si="46"/>
        <v>0.99810170903138795</v>
      </c>
      <c r="H761" s="9">
        <f t="shared" si="47"/>
        <v>1.0903407790178511E-3</v>
      </c>
      <c r="I761" s="10">
        <f>SUM($H$3:H761)</f>
        <v>0.79164536328570834</v>
      </c>
      <c r="J761" s="23">
        <v>5.7999999999999996E-3</v>
      </c>
      <c r="Q761" s="7">
        <f t="shared" si="45"/>
        <v>9.8029572261537927E-5</v>
      </c>
      <c r="R761" s="7">
        <f t="shared" si="44"/>
        <v>1.0684477966211975E-3</v>
      </c>
    </row>
    <row r="762" spans="1:18" x14ac:dyDescent="0.25">
      <c r="A762" s="22">
        <v>45684</v>
      </c>
      <c r="B762" s="12">
        <v>255.69</v>
      </c>
      <c r="C762" s="13">
        <v>-9.7000000000000003E-3</v>
      </c>
      <c r="D762" s="7">
        <v>200</v>
      </c>
      <c r="E762" s="7">
        <v>5.8999999999999999E-3</v>
      </c>
      <c r="F762" s="7">
        <v>376</v>
      </c>
      <c r="G762" s="8">
        <f t="shared" si="46"/>
        <v>0.96309629235142158</v>
      </c>
      <c r="H762" s="9">
        <f t="shared" si="47"/>
        <v>1.0521003542722416E-3</v>
      </c>
      <c r="I762" s="10">
        <f>SUM($H$3:H762)</f>
        <v>0.79269746363998062</v>
      </c>
      <c r="J762" s="23">
        <v>5.8999999999999999E-3</v>
      </c>
      <c r="Q762" s="7">
        <f t="shared" si="45"/>
        <v>9.8039376199157845E-5</v>
      </c>
      <c r="R762" s="7">
        <f t="shared" si="44"/>
        <v>1.0685546520864061E-3</v>
      </c>
    </row>
    <row r="763" spans="1:18" x14ac:dyDescent="0.25">
      <c r="A763" s="22">
        <v>45685</v>
      </c>
      <c r="B763" s="12">
        <v>257.33</v>
      </c>
      <c r="C763" s="13">
        <v>6.4000000000000003E-3</v>
      </c>
      <c r="D763" s="7">
        <v>199</v>
      </c>
      <c r="E763" s="7">
        <v>5.8999999999999999E-3</v>
      </c>
      <c r="F763" s="7">
        <v>238</v>
      </c>
      <c r="G763" s="8">
        <f t="shared" si="46"/>
        <v>0.97647982433772718</v>
      </c>
      <c r="H763" s="9">
        <f t="shared" si="47"/>
        <v>1.0667207186698944E-3</v>
      </c>
      <c r="I763" s="10">
        <f>SUM($H$3:H763)</f>
        <v>0.79376418435865048</v>
      </c>
      <c r="J763" s="23">
        <v>5.8999999999999999E-3</v>
      </c>
      <c r="Q763" s="7">
        <f t="shared" si="45"/>
        <v>9.8049181117269575E-5</v>
      </c>
      <c r="R763" s="7">
        <f t="shared" si="44"/>
        <v>1.0686615182382299E-3</v>
      </c>
    </row>
    <row r="764" spans="1:18" x14ac:dyDescent="0.25">
      <c r="A764" s="22">
        <v>45686</v>
      </c>
      <c r="B764" s="12">
        <v>259.38</v>
      </c>
      <c r="C764" s="13">
        <v>8.0000000000000002E-3</v>
      </c>
      <c r="D764" s="7">
        <v>198</v>
      </c>
      <c r="E764" s="7">
        <v>5.8999999999999999E-3</v>
      </c>
      <c r="F764" s="7">
        <v>205</v>
      </c>
      <c r="G764" s="8">
        <f t="shared" si="46"/>
        <v>0.97970769220667198</v>
      </c>
      <c r="H764" s="9">
        <f t="shared" si="47"/>
        <v>1.070246888332711E-3</v>
      </c>
      <c r="I764" s="10">
        <f>SUM($H$3:H764)</f>
        <v>0.79483443124698316</v>
      </c>
      <c r="J764" s="23">
        <v>5.8999999999999999E-3</v>
      </c>
      <c r="Q764" s="7">
        <f t="shared" si="45"/>
        <v>9.8058987015971154E-5</v>
      </c>
      <c r="R764" s="7">
        <f t="shared" si="44"/>
        <v>1.0687683950777376E-3</v>
      </c>
    </row>
    <row r="765" spans="1:18" x14ac:dyDescent="0.25">
      <c r="A765" s="22">
        <v>45687</v>
      </c>
      <c r="B765" s="12">
        <v>260.22000000000003</v>
      </c>
      <c r="C765" s="13">
        <v>3.2000000000000002E-3</v>
      </c>
      <c r="D765" s="7">
        <v>197</v>
      </c>
      <c r="E765" s="7">
        <v>5.8999999999999999E-3</v>
      </c>
      <c r="F765" s="7">
        <v>26</v>
      </c>
      <c r="G765" s="8">
        <f t="shared" si="46"/>
        <v>0.997403247401495</v>
      </c>
      <c r="H765" s="9">
        <f t="shared" si="47"/>
        <v>1.0895777694059443E-3</v>
      </c>
      <c r="I765" s="10">
        <f>SUM($H$3:H765)</f>
        <v>0.79592400901638916</v>
      </c>
      <c r="J765" s="23">
        <v>5.8999999999999999E-3</v>
      </c>
      <c r="Q765" s="7">
        <f t="shared" si="45"/>
        <v>9.8068793895360703E-5</v>
      </c>
      <c r="R765" s="7">
        <f t="shared" si="44"/>
        <v>1.0688752826059984E-3</v>
      </c>
    </row>
    <row r="766" spans="1:18" x14ac:dyDescent="0.25">
      <c r="A766" s="22">
        <v>45688</v>
      </c>
      <c r="B766" s="12">
        <v>263</v>
      </c>
      <c r="C766" s="13">
        <v>1.0699999999999999E-2</v>
      </c>
      <c r="D766" s="7">
        <v>196</v>
      </c>
      <c r="E766" s="7">
        <v>6.0000000000000001E-3</v>
      </c>
      <c r="F766" s="7">
        <v>700</v>
      </c>
      <c r="G766" s="8">
        <f t="shared" si="46"/>
        <v>0.93239055631573198</v>
      </c>
      <c r="H766" s="9">
        <f t="shared" si="47"/>
        <v>1.0185569630060741E-3</v>
      </c>
      <c r="I766" s="10">
        <f>SUM($H$3:H766)</f>
        <v>0.79694256597939528</v>
      </c>
      <c r="J766" s="23">
        <v>6.0000000000000001E-3</v>
      </c>
      <c r="Q766" s="7">
        <f t="shared" si="45"/>
        <v>9.8078601755536248E-5</v>
      </c>
      <c r="R766" s="7">
        <f t="shared" si="44"/>
        <v>1.0689821808240808E-3</v>
      </c>
    </row>
    <row r="767" spans="1:18" x14ac:dyDescent="0.25">
      <c r="A767" s="22">
        <v>45689</v>
      </c>
      <c r="B767" s="12">
        <v>262.13</v>
      </c>
      <c r="C767" s="13">
        <v>-3.3E-3</v>
      </c>
      <c r="D767" s="7">
        <v>195</v>
      </c>
      <c r="E767" s="7">
        <v>6.0000000000000001E-3</v>
      </c>
      <c r="F767" s="7">
        <v>261</v>
      </c>
      <c r="G767" s="8">
        <f t="shared" si="46"/>
        <v>0.97423638950722513</v>
      </c>
      <c r="H767" s="9">
        <f t="shared" si="47"/>
        <v>1.0642699579321542E-3</v>
      </c>
      <c r="I767" s="10">
        <f>SUM($H$3:H767)</f>
        <v>0.79800683593732746</v>
      </c>
      <c r="J767" s="23">
        <v>6.0000000000000001E-3</v>
      </c>
      <c r="Q767" s="7">
        <f t="shared" si="45"/>
        <v>9.8088410596595894E-5</v>
      </c>
      <c r="R767" s="7">
        <f t="shared" si="44"/>
        <v>1.0690890897330537E-3</v>
      </c>
    </row>
    <row r="768" spans="1:18" x14ac:dyDescent="0.25">
      <c r="A768" s="22">
        <v>45691</v>
      </c>
      <c r="B768" s="12">
        <v>261.47000000000003</v>
      </c>
      <c r="C768" s="13">
        <v>-2.5000000000000001E-3</v>
      </c>
      <c r="D768" s="7">
        <v>194</v>
      </c>
      <c r="E768" s="7">
        <v>6.1000000000000004E-3</v>
      </c>
      <c r="F768" s="7">
        <v>858</v>
      </c>
      <c r="G768" s="8">
        <f t="shared" si="46"/>
        <v>0.91777383089883935</v>
      </c>
      <c r="H768" s="9">
        <f t="shared" si="47"/>
        <v>1.0025894402240412E-3</v>
      </c>
      <c r="I768" s="10">
        <f>SUM($H$3:H768)</f>
        <v>0.79900942537755149</v>
      </c>
      <c r="J768" s="23">
        <v>6.1000000000000004E-3</v>
      </c>
      <c r="Q768" s="7">
        <f t="shared" si="45"/>
        <v>9.8098220418637764E-5</v>
      </c>
      <c r="R768" s="7">
        <f t="shared" si="44"/>
        <v>1.0691960093339873E-3</v>
      </c>
    </row>
    <row r="769" spans="1:18" x14ac:dyDescent="0.25">
      <c r="A769" s="22">
        <v>45692</v>
      </c>
      <c r="B769" s="12">
        <v>265.05</v>
      </c>
      <c r="C769" s="13">
        <v>1.37E-2</v>
      </c>
      <c r="D769" s="7">
        <v>193</v>
      </c>
      <c r="E769" s="7">
        <v>6.1000000000000004E-3</v>
      </c>
      <c r="F769" s="7">
        <v>470</v>
      </c>
      <c r="G769" s="8">
        <f t="shared" si="46"/>
        <v>0.95408515533814831</v>
      </c>
      <c r="H769" s="9">
        <f t="shared" si="47"/>
        <v>1.0422564575410919E-3</v>
      </c>
      <c r="I769" s="10">
        <f>SUM($H$3:H769)</f>
        <v>0.80005168183509257</v>
      </c>
      <c r="J769" s="23">
        <v>6.1000000000000004E-3</v>
      </c>
      <c r="Q769" s="7">
        <f t="shared" si="45"/>
        <v>9.8108031221759935E-5</v>
      </c>
      <c r="R769" s="7">
        <f t="shared" si="44"/>
        <v>1.0693029396279499E-3</v>
      </c>
    </row>
    <row r="770" spans="1:18" x14ac:dyDescent="0.25">
      <c r="A770" s="22">
        <v>45693</v>
      </c>
      <c r="B770" s="12">
        <v>265.25</v>
      </c>
      <c r="C770" s="13">
        <v>8.0000000000000004E-4</v>
      </c>
      <c r="D770" s="7">
        <v>192</v>
      </c>
      <c r="E770" s="7">
        <v>6.1000000000000004E-3</v>
      </c>
      <c r="F770" s="7">
        <v>378</v>
      </c>
      <c r="G770" s="8">
        <f t="shared" si="46"/>
        <v>0.96290368272391424</v>
      </c>
      <c r="H770" s="9">
        <f t="shared" si="47"/>
        <v>1.0518899447223907E-3</v>
      </c>
      <c r="I770" s="10">
        <f>SUM($H$3:H770)</f>
        <v>0.80110357177981495</v>
      </c>
      <c r="J770" s="23">
        <v>6.1000000000000004E-3</v>
      </c>
      <c r="Q770" s="7">
        <f t="shared" si="45"/>
        <v>9.8117843006060557E-5</v>
      </c>
      <c r="R770" s="7">
        <f t="shared" ref="R770:R833" si="48">Q770/$U$2</f>
        <v>1.0694098806160119E-3</v>
      </c>
    </row>
    <row r="771" spans="1:18" x14ac:dyDescent="0.25">
      <c r="A771" s="22">
        <v>45694</v>
      </c>
      <c r="B771" s="12">
        <v>264.37</v>
      </c>
      <c r="C771" s="13">
        <v>-3.3E-3</v>
      </c>
      <c r="D771" s="7">
        <v>191</v>
      </c>
      <c r="E771" s="7">
        <v>6.1999999999999998E-3</v>
      </c>
      <c r="F771" s="7">
        <v>916</v>
      </c>
      <c r="G771" s="8">
        <f t="shared" si="46"/>
        <v>0.91246588520111915</v>
      </c>
      <c r="H771" s="9">
        <f t="shared" si="47"/>
        <v>9.9679096338078118E-4</v>
      </c>
      <c r="I771" s="10">
        <f>SUM($H$3:H771)</f>
        <v>0.80210036274319574</v>
      </c>
      <c r="J771" s="23">
        <v>6.1999999999999998E-3</v>
      </c>
      <c r="Q771" s="7">
        <f t="shared" ref="Q771:Q834" si="49">(1-$N$3) * $N$3^(D772-1)</f>
        <v>9.8127655771637693E-5</v>
      </c>
      <c r="R771" s="7">
        <f t="shared" si="48"/>
        <v>1.0695168322992414E-3</v>
      </c>
    </row>
    <row r="772" spans="1:18" x14ac:dyDescent="0.25">
      <c r="A772" s="22">
        <v>45695</v>
      </c>
      <c r="B772" s="12">
        <v>263.75</v>
      </c>
      <c r="C772" s="13">
        <v>-2.3E-3</v>
      </c>
      <c r="D772" s="7">
        <v>190</v>
      </c>
      <c r="E772" s="7">
        <v>6.1999999999999998E-3</v>
      </c>
      <c r="F772" s="7">
        <v>735</v>
      </c>
      <c r="G772" s="8">
        <f t="shared" ref="G772:G835" si="50">$N$3^F772</f>
        <v>0.92913273099482074</v>
      </c>
      <c r="H772" s="9">
        <f t="shared" ref="H772:H835" si="51">G772/$N$4</f>
        <v>1.0149980673883584E-3</v>
      </c>
      <c r="I772" s="10">
        <f>SUM($H$3:H772)</f>
        <v>0.8031153608105841</v>
      </c>
      <c r="J772" s="23">
        <v>6.1999999999999998E-3</v>
      </c>
      <c r="Q772" s="7">
        <f t="shared" si="49"/>
        <v>9.8137469518589548E-5</v>
      </c>
      <c r="R772" s="7">
        <f t="shared" si="48"/>
        <v>1.0696237946787094E-3</v>
      </c>
    </row>
    <row r="773" spans="1:18" x14ac:dyDescent="0.25">
      <c r="A773" s="22">
        <v>45698</v>
      </c>
      <c r="B773" s="12">
        <v>261.89999999999998</v>
      </c>
      <c r="C773" s="13">
        <v>-7.0000000000000001E-3</v>
      </c>
      <c r="D773" s="7">
        <v>189</v>
      </c>
      <c r="E773" s="7">
        <v>6.1999999999999998E-3</v>
      </c>
      <c r="F773" s="7">
        <v>546</v>
      </c>
      <c r="G773" s="8">
        <f t="shared" si="50"/>
        <v>0.94686123263455158</v>
      </c>
      <c r="H773" s="9">
        <f t="shared" si="51"/>
        <v>1.0343649396357191E-3</v>
      </c>
      <c r="I773" s="10">
        <f>SUM($H$3:H773)</f>
        <v>0.80414972575021981</v>
      </c>
      <c r="J773" s="23">
        <v>6.1999999999999998E-3</v>
      </c>
      <c r="Q773" s="7">
        <f t="shared" si="49"/>
        <v>9.8147284247014253E-5</v>
      </c>
      <c r="R773" s="7">
        <f t="shared" si="48"/>
        <v>1.0697307677554849E-3</v>
      </c>
    </row>
    <row r="774" spans="1:18" x14ac:dyDescent="0.25">
      <c r="A774" s="22">
        <v>45699</v>
      </c>
      <c r="B774" s="12">
        <v>258.55</v>
      </c>
      <c r="C774" s="13">
        <v>-1.2800000000000001E-2</v>
      </c>
      <c r="D774" s="7">
        <v>188</v>
      </c>
      <c r="E774" s="7">
        <v>6.3E-3</v>
      </c>
      <c r="F774" s="7">
        <v>827</v>
      </c>
      <c r="G774" s="8">
        <f t="shared" si="50"/>
        <v>0.9206234869444595</v>
      </c>
      <c r="H774" s="9">
        <f t="shared" si="51"/>
        <v>1.0057024458071393E-3</v>
      </c>
      <c r="I774" s="10">
        <f>SUM($H$3:H774)</f>
        <v>0.80515542819602692</v>
      </c>
      <c r="J774" s="23">
        <v>6.3E-3</v>
      </c>
      <c r="Q774" s="7">
        <f t="shared" si="49"/>
        <v>9.8157099957009957E-5</v>
      </c>
      <c r="R774" s="7">
        <f t="shared" si="48"/>
        <v>1.069837751530638E-3</v>
      </c>
    </row>
    <row r="775" spans="1:18" x14ac:dyDescent="0.25">
      <c r="A775" s="22">
        <v>45700</v>
      </c>
      <c r="B775" s="12">
        <v>258.27</v>
      </c>
      <c r="C775" s="13">
        <v>-1.1000000000000001E-3</v>
      </c>
      <c r="D775" s="7">
        <v>187</v>
      </c>
      <c r="E775" s="7">
        <v>6.3E-3</v>
      </c>
      <c r="F775" s="7">
        <v>593</v>
      </c>
      <c r="G775" s="8">
        <f t="shared" si="50"/>
        <v>0.94242120507461424</v>
      </c>
      <c r="H775" s="9">
        <f t="shared" si="51"/>
        <v>1.0295145891506359E-3</v>
      </c>
      <c r="I775" s="10">
        <f>SUM($H$3:H775)</f>
        <v>0.80618494278517761</v>
      </c>
      <c r="J775" s="23">
        <v>6.3E-3</v>
      </c>
      <c r="Q775" s="7">
        <f t="shared" si="49"/>
        <v>9.8166916648674806E-5</v>
      </c>
      <c r="R775" s="7">
        <f t="shared" si="48"/>
        <v>1.0699447460052382E-3</v>
      </c>
    </row>
    <row r="776" spans="1:18" x14ac:dyDescent="0.25">
      <c r="A776" s="22">
        <v>45701</v>
      </c>
      <c r="B776" s="12">
        <v>258.17</v>
      </c>
      <c r="C776" s="13">
        <v>-4.0000000000000002E-4</v>
      </c>
      <c r="D776" s="7">
        <v>186</v>
      </c>
      <c r="E776" s="7">
        <v>6.3E-3</v>
      </c>
      <c r="F776" s="7">
        <v>42</v>
      </c>
      <c r="G776" s="8">
        <f t="shared" si="50"/>
        <v>0.99580859853118553</v>
      </c>
      <c r="H776" s="9">
        <f t="shared" si="51"/>
        <v>1.0878357518582533E-3</v>
      </c>
      <c r="I776" s="10">
        <f>SUM($H$3:H776)</f>
        <v>0.80727277853703583</v>
      </c>
      <c r="J776" s="23">
        <v>6.3E-3</v>
      </c>
      <c r="Q776" s="7">
        <f t="shared" si="49"/>
        <v>9.8176734322107017E-5</v>
      </c>
      <c r="R776" s="7">
        <f t="shared" si="48"/>
        <v>1.0700517511803562E-3</v>
      </c>
    </row>
    <row r="777" spans="1:18" x14ac:dyDescent="0.25">
      <c r="A777" s="22">
        <v>45702</v>
      </c>
      <c r="B777" s="12">
        <v>256.95</v>
      </c>
      <c r="C777" s="13">
        <v>-4.7000000000000002E-3</v>
      </c>
      <c r="D777" s="7">
        <v>185</v>
      </c>
      <c r="E777" s="7">
        <v>6.4000000000000003E-3</v>
      </c>
      <c r="F777" s="7">
        <v>807</v>
      </c>
      <c r="G777" s="8">
        <f t="shared" si="50"/>
        <v>0.92246666864624627</v>
      </c>
      <c r="H777" s="9">
        <f t="shared" si="51"/>
        <v>1.0077159642235618E-3</v>
      </c>
      <c r="I777" s="10">
        <f>SUM($H$3:H777)</f>
        <v>0.80828049450125938</v>
      </c>
      <c r="J777" s="23">
        <v>6.4000000000000003E-3</v>
      </c>
      <c r="Q777" s="7">
        <f t="shared" si="49"/>
        <v>9.8186552977404763E-5</v>
      </c>
      <c r="R777" s="7">
        <f t="shared" si="48"/>
        <v>1.0701587670570621E-3</v>
      </c>
    </row>
    <row r="778" spans="1:18" x14ac:dyDescent="0.25">
      <c r="A778" s="22">
        <v>45705</v>
      </c>
      <c r="B778" s="12">
        <v>257.11</v>
      </c>
      <c r="C778" s="13">
        <v>5.9999999999999995E-4</v>
      </c>
      <c r="D778" s="7">
        <v>184</v>
      </c>
      <c r="E778" s="7">
        <v>6.4000000000000003E-3</v>
      </c>
      <c r="F778" s="7">
        <v>660</v>
      </c>
      <c r="G778" s="8">
        <f t="shared" si="50"/>
        <v>0.93612777485891618</v>
      </c>
      <c r="H778" s="9">
        <f t="shared" si="51"/>
        <v>1.0226395547308091E-3</v>
      </c>
      <c r="I778" s="10">
        <f>SUM($H$3:H778)</f>
        <v>0.80930313405599019</v>
      </c>
      <c r="J778" s="23">
        <v>6.4000000000000003E-3</v>
      </c>
      <c r="Q778" s="7">
        <f t="shared" si="49"/>
        <v>9.819637261466622E-5</v>
      </c>
      <c r="R778" s="7">
        <f t="shared" si="48"/>
        <v>1.0702657936364256E-3</v>
      </c>
    </row>
    <row r="779" spans="1:18" x14ac:dyDescent="0.25">
      <c r="A779" s="22">
        <v>45706</v>
      </c>
      <c r="B779" s="12">
        <v>256.83999999999997</v>
      </c>
      <c r="C779" s="13">
        <v>-1.1000000000000001E-3</v>
      </c>
      <c r="D779" s="7">
        <v>183</v>
      </c>
      <c r="E779" s="7">
        <v>6.4000000000000003E-3</v>
      </c>
      <c r="F779" s="7">
        <v>614</v>
      </c>
      <c r="G779" s="8">
        <f t="shared" si="50"/>
        <v>0.94044409837563248</v>
      </c>
      <c r="H779" s="9">
        <f t="shared" si="51"/>
        <v>1.027354769125419E-3</v>
      </c>
      <c r="I779" s="10">
        <f>SUM($H$3:H779)</f>
        <v>0.8103304888251156</v>
      </c>
      <c r="J779" s="23">
        <v>6.4000000000000003E-3</v>
      </c>
      <c r="Q779" s="7">
        <f t="shared" si="49"/>
        <v>9.8206193233989629E-5</v>
      </c>
      <c r="R779" s="7">
        <f t="shared" si="48"/>
        <v>1.0703728309195176E-3</v>
      </c>
    </row>
    <row r="780" spans="1:18" x14ac:dyDescent="0.25">
      <c r="A780" s="22">
        <v>45707</v>
      </c>
      <c r="B780" s="12">
        <v>256.89</v>
      </c>
      <c r="C780" s="13">
        <v>2.0000000000000001E-4</v>
      </c>
      <c r="D780" s="7">
        <v>182</v>
      </c>
      <c r="E780" s="7">
        <v>6.4000000000000003E-3</v>
      </c>
      <c r="F780" s="7">
        <v>607</v>
      </c>
      <c r="G780" s="8">
        <f t="shared" si="50"/>
        <v>0.94110267264785985</v>
      </c>
      <c r="H780" s="9">
        <f t="shared" si="51"/>
        <v>1.0280742052094613E-3</v>
      </c>
      <c r="I780" s="10">
        <f>SUM($H$3:H780)</f>
        <v>0.81135856303032505</v>
      </c>
      <c r="J780" s="23">
        <v>6.4000000000000003E-3</v>
      </c>
      <c r="Q780" s="7">
        <f t="shared" si="49"/>
        <v>9.8216014835473165E-5</v>
      </c>
      <c r="R780" s="7">
        <f t="shared" si="48"/>
        <v>1.0704798789074083E-3</v>
      </c>
    </row>
    <row r="781" spans="1:18" x14ac:dyDescent="0.25">
      <c r="A781" s="22">
        <v>45708</v>
      </c>
      <c r="B781" s="12">
        <v>256.85000000000002</v>
      </c>
      <c r="C781" s="13">
        <v>-2.0000000000000001E-4</v>
      </c>
      <c r="D781" s="7">
        <v>181</v>
      </c>
      <c r="E781" s="7">
        <v>6.4000000000000003E-3</v>
      </c>
      <c r="F781" s="7">
        <v>258</v>
      </c>
      <c r="G781" s="8">
        <f t="shared" si="50"/>
        <v>0.97452871888800441</v>
      </c>
      <c r="H781" s="9">
        <f t="shared" si="51"/>
        <v>1.0645893027863755E-3</v>
      </c>
      <c r="I781" s="10">
        <f>SUM($H$3:H781)</f>
        <v>0.81242315233311146</v>
      </c>
      <c r="J781" s="23">
        <v>6.4000000000000003E-3</v>
      </c>
      <c r="Q781" s="7">
        <f t="shared" si="49"/>
        <v>9.8225837419215083E-5</v>
      </c>
      <c r="R781" s="7">
        <f t="shared" si="48"/>
        <v>1.0705869376011685E-3</v>
      </c>
    </row>
    <row r="782" spans="1:18" x14ac:dyDescent="0.25">
      <c r="A782" s="22">
        <v>45709</v>
      </c>
      <c r="B782" s="12">
        <v>255.53</v>
      </c>
      <c r="C782" s="13">
        <v>-5.1000000000000004E-3</v>
      </c>
      <c r="D782" s="7">
        <v>180</v>
      </c>
      <c r="E782" s="7">
        <v>6.4000000000000003E-3</v>
      </c>
      <c r="F782" s="7">
        <v>199</v>
      </c>
      <c r="G782" s="8">
        <f t="shared" si="50"/>
        <v>0.98029572261548725</v>
      </c>
      <c r="H782" s="9">
        <f t="shared" si="51"/>
        <v>1.0708892612775044E-3</v>
      </c>
      <c r="I782" s="10">
        <f>SUM($H$3:H782)</f>
        <v>0.81349404159438898</v>
      </c>
      <c r="J782" s="23">
        <v>6.4000000000000003E-3</v>
      </c>
      <c r="Q782" s="7">
        <f t="shared" si="49"/>
        <v>9.8235660985313613E-5</v>
      </c>
      <c r="R782" s="7">
        <f t="shared" si="48"/>
        <v>1.0706940070018686E-3</v>
      </c>
    </row>
    <row r="783" spans="1:18" x14ac:dyDescent="0.25">
      <c r="A783" s="22">
        <v>45712</v>
      </c>
      <c r="B783" s="12">
        <v>252.87</v>
      </c>
      <c r="C783" s="13">
        <v>-1.04E-2</v>
      </c>
      <c r="D783" s="7">
        <v>179</v>
      </c>
      <c r="E783" s="7">
        <v>6.4999999999999997E-3</v>
      </c>
      <c r="F783" s="7">
        <v>802</v>
      </c>
      <c r="G783" s="8">
        <f t="shared" si="50"/>
        <v>0.92292804038286236</v>
      </c>
      <c r="H783" s="9">
        <f t="shared" si="51"/>
        <v>1.0082199733983453E-3</v>
      </c>
      <c r="I783" s="10">
        <f>SUM($H$3:H783)</f>
        <v>0.81450226156778738</v>
      </c>
      <c r="J783" s="23">
        <v>6.4999999999999997E-3</v>
      </c>
      <c r="Q783" s="7">
        <f t="shared" si="49"/>
        <v>9.8245485533866996E-5</v>
      </c>
      <c r="R783" s="7">
        <f t="shared" si="48"/>
        <v>1.0708010871105795E-3</v>
      </c>
    </row>
    <row r="784" spans="1:18" x14ac:dyDescent="0.25">
      <c r="A784" s="22">
        <v>45713</v>
      </c>
      <c r="B784" s="12">
        <v>252.75</v>
      </c>
      <c r="C784" s="13">
        <v>-5.0000000000000001E-4</v>
      </c>
      <c r="D784" s="7">
        <v>178</v>
      </c>
      <c r="E784" s="7">
        <v>6.4999999999999997E-3</v>
      </c>
      <c r="F784" s="7">
        <v>392</v>
      </c>
      <c r="G784" s="8">
        <f t="shared" si="50"/>
        <v>0.96155649346005179</v>
      </c>
      <c r="H784" s="9">
        <f t="shared" si="51"/>
        <v>1.0504182556368468E-3</v>
      </c>
      <c r="I784" s="10">
        <f>SUM($H$3:H784)</f>
        <v>0.81555267982342428</v>
      </c>
      <c r="J784" s="23">
        <v>6.4999999999999997E-3</v>
      </c>
      <c r="Q784" s="7">
        <f t="shared" si="49"/>
        <v>9.8255311064973503E-5</v>
      </c>
      <c r="R784" s="7">
        <f t="shared" si="48"/>
        <v>1.0709081779283725E-3</v>
      </c>
    </row>
    <row r="785" spans="1:18" x14ac:dyDescent="0.25">
      <c r="A785" s="22">
        <v>45715</v>
      </c>
      <c r="B785" s="12">
        <v>252.56</v>
      </c>
      <c r="C785" s="13">
        <v>-8.0000000000000004E-4</v>
      </c>
      <c r="D785" s="7">
        <v>177</v>
      </c>
      <c r="E785" s="7">
        <v>6.4999999999999997E-3</v>
      </c>
      <c r="F785" s="7">
        <v>4</v>
      </c>
      <c r="G785" s="8">
        <f t="shared" si="50"/>
        <v>0.99960005999600021</v>
      </c>
      <c r="H785" s="9">
        <f t="shared" si="51"/>
        <v>1.0919775993370778E-3</v>
      </c>
      <c r="I785" s="10">
        <f>SUM($H$3:H785)</f>
        <v>0.81664465742276138</v>
      </c>
      <c r="J785" s="23">
        <v>6.4999999999999997E-3</v>
      </c>
      <c r="Q785" s="7">
        <f t="shared" si="49"/>
        <v>9.8265137578731361E-5</v>
      </c>
      <c r="R785" s="7">
        <f t="shared" si="48"/>
        <v>1.0710152794563179E-3</v>
      </c>
    </row>
    <row r="786" spans="1:18" x14ac:dyDescent="0.25">
      <c r="A786" s="22">
        <v>45716</v>
      </c>
      <c r="B786" s="12">
        <v>248.45</v>
      </c>
      <c r="C786" s="13">
        <v>-1.6299999999999999E-2</v>
      </c>
      <c r="D786" s="7">
        <v>176</v>
      </c>
      <c r="E786" s="7">
        <v>6.6E-3</v>
      </c>
      <c r="F786" s="7">
        <v>712</v>
      </c>
      <c r="G786" s="8">
        <f t="shared" si="50"/>
        <v>0.93127230282084084</v>
      </c>
      <c r="H786" s="9">
        <f t="shared" si="51"/>
        <v>1.0173353666740306E-3</v>
      </c>
      <c r="I786" s="10">
        <f>SUM($H$3:H786)</f>
        <v>0.81766199278943541</v>
      </c>
      <c r="J786" s="23">
        <v>6.6E-3</v>
      </c>
      <c r="Q786" s="7">
        <f t="shared" si="49"/>
        <v>9.8274965075238895E-5</v>
      </c>
      <c r="R786" s="7">
        <f t="shared" si="48"/>
        <v>1.0711223916954875E-3</v>
      </c>
    </row>
    <row r="787" spans="1:18" x14ac:dyDescent="0.25">
      <c r="A787" s="22">
        <v>45719</v>
      </c>
      <c r="B787" s="12">
        <v>248.05</v>
      </c>
      <c r="C787" s="13">
        <v>-1.6000000000000001E-3</v>
      </c>
      <c r="D787" s="7">
        <v>175</v>
      </c>
      <c r="E787" s="7">
        <v>6.6E-3</v>
      </c>
      <c r="F787" s="7">
        <v>463</v>
      </c>
      <c r="G787" s="8">
        <f t="shared" si="50"/>
        <v>0.95475328217089139</v>
      </c>
      <c r="H787" s="9">
        <f t="shared" si="51"/>
        <v>1.0429863289807498E-3</v>
      </c>
      <c r="I787" s="10">
        <f>SUM($H$3:H787)</f>
        <v>0.81870497911841611</v>
      </c>
      <c r="J787" s="23">
        <v>6.6E-3</v>
      </c>
      <c r="Q787" s="7">
        <f t="shared" si="49"/>
        <v>9.8284793554594347E-5</v>
      </c>
      <c r="R787" s="7">
        <f t="shared" si="48"/>
        <v>1.0712295146469522E-3</v>
      </c>
    </row>
    <row r="788" spans="1:18" x14ac:dyDescent="0.25">
      <c r="A788" s="22">
        <v>45720</v>
      </c>
      <c r="B788" s="12">
        <v>247.49</v>
      </c>
      <c r="C788" s="13">
        <v>-2.3E-3</v>
      </c>
      <c r="D788" s="7">
        <v>174</v>
      </c>
      <c r="E788" s="7">
        <v>6.6E-3</v>
      </c>
      <c r="F788" s="7">
        <v>143</v>
      </c>
      <c r="G788" s="8">
        <f t="shared" si="50"/>
        <v>0.9858010544745397</v>
      </c>
      <c r="H788" s="9">
        <f t="shared" si="51"/>
        <v>1.0769033656254233E-3</v>
      </c>
      <c r="I788" s="10">
        <f>SUM($H$3:H788)</f>
        <v>0.81978188248404149</v>
      </c>
      <c r="J788" s="23">
        <v>6.6E-3</v>
      </c>
      <c r="Q788" s="7">
        <f t="shared" si="49"/>
        <v>9.8294623016896026E-5</v>
      </c>
      <c r="R788" s="7">
        <f t="shared" si="48"/>
        <v>1.0713366483117834E-3</v>
      </c>
    </row>
    <row r="789" spans="1:18" x14ac:dyDescent="0.25">
      <c r="A789" s="22">
        <v>45721</v>
      </c>
      <c r="B789" s="12">
        <v>250.48</v>
      </c>
      <c r="C789" s="13">
        <v>1.21E-2</v>
      </c>
      <c r="D789" s="7">
        <v>173</v>
      </c>
      <c r="E789" s="7">
        <v>6.7000000000000002E-3</v>
      </c>
      <c r="F789" s="7">
        <v>788</v>
      </c>
      <c r="G789" s="8">
        <f t="shared" si="50"/>
        <v>0.92422110923089995</v>
      </c>
      <c r="H789" s="9">
        <f t="shared" si="51"/>
        <v>1.0096325405569179E-3</v>
      </c>
      <c r="I789" s="10">
        <f>SUM($H$3:H789)</f>
        <v>0.82079151502459846</v>
      </c>
      <c r="J789" s="23">
        <v>6.7000000000000002E-3</v>
      </c>
      <c r="Q789" s="7">
        <f t="shared" si="49"/>
        <v>9.8304453462242256E-5</v>
      </c>
      <c r="R789" s="7">
        <f t="shared" si="48"/>
        <v>1.0714437926910524E-3</v>
      </c>
    </row>
    <row r="790" spans="1:18" x14ac:dyDescent="0.25">
      <c r="A790" s="22">
        <v>45722</v>
      </c>
      <c r="B790" s="12">
        <v>252.75</v>
      </c>
      <c r="C790" s="13">
        <v>9.1000000000000004E-3</v>
      </c>
      <c r="D790" s="7">
        <v>172</v>
      </c>
      <c r="E790" s="7">
        <v>6.7000000000000002E-3</v>
      </c>
      <c r="F790" s="7">
        <v>635</v>
      </c>
      <c r="G790" s="8">
        <f t="shared" si="50"/>
        <v>0.93847113945142269</v>
      </c>
      <c r="H790" s="9">
        <f t="shared" si="51"/>
        <v>1.0251994801895041E-3</v>
      </c>
      <c r="I790" s="10">
        <f>SUM($H$3:H790)</f>
        <v>0.82181671450478799</v>
      </c>
      <c r="J790" s="23">
        <v>6.7000000000000002E-3</v>
      </c>
      <c r="Q790" s="7">
        <f t="shared" si="49"/>
        <v>9.8314284890731321E-5</v>
      </c>
      <c r="R790" s="7">
        <f t="shared" si="48"/>
        <v>1.071550947785831E-3</v>
      </c>
    </row>
    <row r="791" spans="1:18" x14ac:dyDescent="0.25">
      <c r="A791" s="22">
        <v>45723</v>
      </c>
      <c r="B791" s="12">
        <v>252.84</v>
      </c>
      <c r="C791" s="13">
        <v>4.0000000000000002E-4</v>
      </c>
      <c r="D791" s="7">
        <v>171</v>
      </c>
      <c r="E791" s="7">
        <v>6.7000000000000002E-3</v>
      </c>
      <c r="F791" s="7">
        <v>600</v>
      </c>
      <c r="G791" s="8">
        <f t="shared" si="50"/>
        <v>0.94176170810653381</v>
      </c>
      <c r="H791" s="9">
        <f t="shared" si="51"/>
        <v>1.0287941451002649E-3</v>
      </c>
      <c r="I791" s="10">
        <f>SUM($H$3:H791)</f>
        <v>0.82284550864988826</v>
      </c>
      <c r="J791" s="23">
        <v>6.7000000000000002E-3</v>
      </c>
      <c r="Q791" s="7">
        <f t="shared" si="49"/>
        <v>9.8324117302461556E-5</v>
      </c>
      <c r="R791" s="7">
        <f t="shared" si="48"/>
        <v>1.0716581135971905E-3</v>
      </c>
    </row>
    <row r="792" spans="1:18" x14ac:dyDescent="0.25">
      <c r="A792" s="22">
        <v>45726</v>
      </c>
      <c r="B792" s="12">
        <v>251.75</v>
      </c>
      <c r="C792" s="13">
        <v>-4.3E-3</v>
      </c>
      <c r="D792" s="7">
        <v>170</v>
      </c>
      <c r="E792" s="7">
        <v>6.7000000000000002E-3</v>
      </c>
      <c r="F792" s="7">
        <v>360</v>
      </c>
      <c r="G792" s="8">
        <f t="shared" si="50"/>
        <v>0.964638557016401</v>
      </c>
      <c r="H792" s="9">
        <f t="shared" si="51"/>
        <v>1.0537851465544804E-3</v>
      </c>
      <c r="I792" s="10">
        <f>SUM($H$3:H792)</f>
        <v>0.82389929379644278</v>
      </c>
      <c r="J792" s="23">
        <v>6.7000000000000002E-3</v>
      </c>
      <c r="Q792" s="7">
        <f t="shared" si="49"/>
        <v>9.8333950697531314E-5</v>
      </c>
      <c r="R792" s="7">
        <f t="shared" si="48"/>
        <v>1.0717652901262031E-3</v>
      </c>
    </row>
    <row r="793" spans="1:18" x14ac:dyDescent="0.25">
      <c r="A793" s="22">
        <v>45727</v>
      </c>
      <c r="B793" s="12">
        <v>252.08</v>
      </c>
      <c r="C793" s="13">
        <v>1.2999999999999999E-3</v>
      </c>
      <c r="D793" s="7">
        <v>169</v>
      </c>
      <c r="E793" s="7">
        <v>6.7999999999999996E-3</v>
      </c>
      <c r="F793" s="7">
        <v>809</v>
      </c>
      <c r="G793" s="8">
        <f t="shared" si="50"/>
        <v>0.92228218453718369</v>
      </c>
      <c r="H793" s="9">
        <f t="shared" si="51"/>
        <v>1.0075144311078768E-3</v>
      </c>
      <c r="I793" s="10">
        <f>SUM($H$3:H793)</f>
        <v>0.82490680822755069</v>
      </c>
      <c r="J793" s="23">
        <v>6.7999999999999996E-3</v>
      </c>
      <c r="Q793" s="7">
        <f t="shared" si="49"/>
        <v>9.8343785076038918E-5</v>
      </c>
      <c r="R793" s="7">
        <f t="shared" si="48"/>
        <v>1.0718724773739407E-3</v>
      </c>
    </row>
    <row r="794" spans="1:18" x14ac:dyDescent="0.25">
      <c r="A794" s="22">
        <v>45728</v>
      </c>
      <c r="B794" s="12">
        <v>251.74</v>
      </c>
      <c r="C794" s="13">
        <v>-1.2999999999999999E-3</v>
      </c>
      <c r="D794" s="7">
        <v>168</v>
      </c>
      <c r="E794" s="7">
        <v>6.7999999999999996E-3</v>
      </c>
      <c r="F794" s="7">
        <v>658</v>
      </c>
      <c r="G794" s="8">
        <f t="shared" si="50"/>
        <v>0.93631502850146608</v>
      </c>
      <c r="H794" s="9">
        <f t="shared" si="51"/>
        <v>1.0228441133250329E-3</v>
      </c>
      <c r="I794" s="10">
        <f>SUM($H$3:H794)</f>
        <v>0.82592965234087568</v>
      </c>
      <c r="J794" s="23">
        <v>6.7999999999999996E-3</v>
      </c>
      <c r="Q794" s="7">
        <f t="shared" si="49"/>
        <v>9.8353620438082731E-5</v>
      </c>
      <c r="R794" s="7">
        <f t="shared" si="48"/>
        <v>1.0719796753414748E-3</v>
      </c>
    </row>
    <row r="795" spans="1:18" x14ac:dyDescent="0.25">
      <c r="A795" s="22">
        <v>45729</v>
      </c>
      <c r="B795" s="12">
        <v>251.06</v>
      </c>
      <c r="C795" s="13">
        <v>-2.7000000000000001E-3</v>
      </c>
      <c r="D795" s="7">
        <v>167</v>
      </c>
      <c r="E795" s="7">
        <v>6.7999999999999996E-3</v>
      </c>
      <c r="F795" s="7">
        <v>399</v>
      </c>
      <c r="G795" s="8">
        <f t="shared" si="50"/>
        <v>0.96088360580784249</v>
      </c>
      <c r="H795" s="9">
        <f t="shared" si="51"/>
        <v>1.049683183408974E-3</v>
      </c>
      <c r="I795" s="10">
        <f>SUM($H$3:H795)</f>
        <v>0.8269793355242846</v>
      </c>
      <c r="J795" s="23">
        <v>6.7999999999999996E-3</v>
      </c>
      <c r="Q795" s="7">
        <f t="shared" si="49"/>
        <v>9.8363456783761091E-5</v>
      </c>
      <c r="R795" s="7">
        <f t="shared" si="48"/>
        <v>1.0720868840298776E-3</v>
      </c>
    </row>
    <row r="796" spans="1:18" x14ac:dyDescent="0.25">
      <c r="A796" s="22">
        <v>45733</v>
      </c>
      <c r="B796" s="12">
        <v>252.18</v>
      </c>
      <c r="C796" s="13">
        <v>4.4999999999999997E-3</v>
      </c>
      <c r="D796" s="7">
        <v>166</v>
      </c>
      <c r="E796" s="7">
        <v>6.7999999999999996E-3</v>
      </c>
      <c r="F796" s="7">
        <v>162</v>
      </c>
      <c r="G796" s="8">
        <f t="shared" si="50"/>
        <v>0.98392971723598244</v>
      </c>
      <c r="H796" s="9">
        <f t="shared" si="51"/>
        <v>1.0748590896923888E-3</v>
      </c>
      <c r="I796" s="10">
        <f>SUM($H$3:H796)</f>
        <v>0.828054194613977</v>
      </c>
      <c r="J796" s="23">
        <v>6.7999999999999996E-3</v>
      </c>
      <c r="Q796" s="7">
        <f t="shared" si="49"/>
        <v>9.8373294113172417E-5</v>
      </c>
      <c r="R796" s="7">
        <f t="shared" si="48"/>
        <v>1.0721941034402217E-3</v>
      </c>
    </row>
    <row r="797" spans="1:18" x14ac:dyDescent="0.25">
      <c r="A797" s="22">
        <v>45734</v>
      </c>
      <c r="B797" s="12">
        <v>255.82</v>
      </c>
      <c r="C797" s="13">
        <v>1.44E-2</v>
      </c>
      <c r="D797" s="7">
        <v>165</v>
      </c>
      <c r="E797" s="7">
        <v>6.7999999999999996E-3</v>
      </c>
      <c r="F797" s="7">
        <v>29</v>
      </c>
      <c r="G797" s="8">
        <f t="shared" si="50"/>
        <v>0.99710405634837462</v>
      </c>
      <c r="H797" s="9">
        <f t="shared" si="51"/>
        <v>1.0892509287613661E-3</v>
      </c>
      <c r="I797" s="10">
        <f>SUM($H$3:H797)</f>
        <v>0.82914344554273833</v>
      </c>
      <c r="J797" s="23">
        <v>6.7999999999999996E-3</v>
      </c>
      <c r="Q797" s="7">
        <f t="shared" si="49"/>
        <v>9.8383132426415059E-5</v>
      </c>
      <c r="R797" s="7">
        <f t="shared" si="48"/>
        <v>1.072301333573579E-3</v>
      </c>
    </row>
    <row r="798" spans="1:18" x14ac:dyDescent="0.25">
      <c r="A798" s="22">
        <v>45735</v>
      </c>
      <c r="B798" s="12">
        <v>256.7</v>
      </c>
      <c r="C798" s="13">
        <v>3.3999999999999998E-3</v>
      </c>
      <c r="D798" s="7">
        <v>164</v>
      </c>
      <c r="E798" s="7">
        <v>6.8999999999999999E-3</v>
      </c>
      <c r="F798" s="7">
        <v>944</v>
      </c>
      <c r="G798" s="8">
        <f t="shared" si="50"/>
        <v>0.90991442685623192</v>
      </c>
      <c r="H798" s="9">
        <f t="shared" si="51"/>
        <v>9.940037132897101E-4</v>
      </c>
      <c r="I798" s="10">
        <f>SUM($H$3:H798)</f>
        <v>0.83013744925602806</v>
      </c>
      <c r="J798" s="23">
        <v>6.8999999999999999E-3</v>
      </c>
      <c r="Q798" s="7">
        <f t="shared" si="49"/>
        <v>9.8392971723587408E-5</v>
      </c>
      <c r="R798" s="7">
        <f t="shared" si="48"/>
        <v>1.072408574431022E-3</v>
      </c>
    </row>
    <row r="799" spans="1:18" x14ac:dyDescent="0.25">
      <c r="A799" s="22">
        <v>45736</v>
      </c>
      <c r="B799" s="12">
        <v>259.32</v>
      </c>
      <c r="C799" s="13">
        <v>1.0200000000000001E-2</v>
      </c>
      <c r="D799" s="7">
        <v>163</v>
      </c>
      <c r="E799" s="7">
        <v>6.8999999999999999E-3</v>
      </c>
      <c r="F799" s="7">
        <v>634</v>
      </c>
      <c r="G799" s="8">
        <f t="shared" si="50"/>
        <v>0.93856499595101783</v>
      </c>
      <c r="H799" s="9">
        <f t="shared" si="51"/>
        <v>1.0253020103905433E-3</v>
      </c>
      <c r="I799" s="10">
        <f>SUM($H$3:H799)</f>
        <v>0.83116275126641859</v>
      </c>
      <c r="J799" s="23">
        <v>6.8999999999999999E-3</v>
      </c>
      <c r="Q799" s="7">
        <f t="shared" si="49"/>
        <v>9.8402812004787883E-5</v>
      </c>
      <c r="R799" s="7">
        <f t="shared" si="48"/>
        <v>1.0725158260136234E-3</v>
      </c>
    </row>
    <row r="800" spans="1:18" x14ac:dyDescent="0.25">
      <c r="A800" s="22">
        <v>45737</v>
      </c>
      <c r="B800" s="12">
        <v>261.08999999999997</v>
      </c>
      <c r="C800" s="13">
        <v>6.7999999999999996E-3</v>
      </c>
      <c r="D800" s="7">
        <v>162</v>
      </c>
      <c r="E800" s="7">
        <v>6.8999999999999999E-3</v>
      </c>
      <c r="F800" s="7">
        <v>566</v>
      </c>
      <c r="G800" s="8">
        <f t="shared" si="50"/>
        <v>0.94496930812666169</v>
      </c>
      <c r="H800" s="9">
        <f t="shared" si="51"/>
        <v>1.0322981738711584E-3</v>
      </c>
      <c r="I800" s="10">
        <f>SUM($H$3:H800)</f>
        <v>0.83219504944028977</v>
      </c>
      <c r="J800" s="23">
        <v>6.8999999999999999E-3</v>
      </c>
      <c r="Q800" s="7">
        <f t="shared" si="49"/>
        <v>9.8412653270114902E-5</v>
      </c>
      <c r="R800" s="7">
        <f t="shared" si="48"/>
        <v>1.0726230883224559E-3</v>
      </c>
    </row>
    <row r="801" spans="1:18" x14ac:dyDescent="0.25">
      <c r="A801" s="22">
        <v>45740</v>
      </c>
      <c r="B801" s="12">
        <v>264.89999999999998</v>
      </c>
      <c r="C801" s="13">
        <v>1.46E-2</v>
      </c>
      <c r="D801" s="7">
        <v>161</v>
      </c>
      <c r="E801" s="7">
        <v>6.8999999999999999E-3</v>
      </c>
      <c r="F801" s="7">
        <v>452</v>
      </c>
      <c r="G801" s="8">
        <f t="shared" si="50"/>
        <v>0.9558041411916004</v>
      </c>
      <c r="H801" s="9">
        <f t="shared" si="51"/>
        <v>1.0441343026120042E-3</v>
      </c>
      <c r="I801" s="10">
        <f>SUM($H$3:H801)</f>
        <v>0.83323918374290173</v>
      </c>
      <c r="J801" s="23">
        <v>6.8999999999999999E-3</v>
      </c>
      <c r="Q801" s="7">
        <f t="shared" si="49"/>
        <v>9.8422495519666858E-5</v>
      </c>
      <c r="R801" s="7">
        <f t="shared" si="48"/>
        <v>1.0727303613585915E-3</v>
      </c>
    </row>
    <row r="802" spans="1:18" x14ac:dyDescent="0.25">
      <c r="A802" s="22">
        <v>45741</v>
      </c>
      <c r="B802" s="12">
        <v>264.73</v>
      </c>
      <c r="C802" s="13">
        <v>-5.9999999999999995E-4</v>
      </c>
      <c r="D802" s="7">
        <v>160</v>
      </c>
      <c r="E802" s="7">
        <v>6.8999999999999999E-3</v>
      </c>
      <c r="F802" s="7">
        <v>414</v>
      </c>
      <c r="G802" s="8">
        <f t="shared" si="50"/>
        <v>0.95944328888984642</v>
      </c>
      <c r="H802" s="9">
        <f t="shared" si="51"/>
        <v>1.048109760323741E-3</v>
      </c>
      <c r="I802" s="10">
        <f>SUM($H$3:H802)</f>
        <v>0.8342872935032255</v>
      </c>
      <c r="J802" s="23">
        <v>6.8999999999999999E-3</v>
      </c>
      <c r="Q802" s="7">
        <f t="shared" si="49"/>
        <v>9.8432338753542221E-5</v>
      </c>
      <c r="R802" s="7">
        <f t="shared" si="48"/>
        <v>1.0728376451231039E-3</v>
      </c>
    </row>
    <row r="803" spans="1:18" x14ac:dyDescent="0.25">
      <c r="A803" s="22">
        <v>45742</v>
      </c>
      <c r="B803" s="12">
        <v>262.89999999999998</v>
      </c>
      <c r="C803" s="13">
        <v>-6.8999999999999999E-3</v>
      </c>
      <c r="D803" s="7">
        <v>159</v>
      </c>
      <c r="E803" s="7">
        <v>7.0000000000000001E-3</v>
      </c>
      <c r="F803" s="7">
        <v>547</v>
      </c>
      <c r="G803" s="8">
        <f t="shared" si="50"/>
        <v>0.94676654651128811</v>
      </c>
      <c r="H803" s="9">
        <f t="shared" si="51"/>
        <v>1.0342615031417556E-3</v>
      </c>
      <c r="I803" s="10">
        <f>SUM($H$3:H803)</f>
        <v>0.83532155500636729</v>
      </c>
      <c r="J803" s="23">
        <v>7.0000000000000001E-3</v>
      </c>
      <c r="Q803" s="7">
        <f t="shared" si="49"/>
        <v>9.8442182971839398E-5</v>
      </c>
      <c r="R803" s="7">
        <f t="shared" si="48"/>
        <v>1.0729449396170655E-3</v>
      </c>
    </row>
    <row r="804" spans="1:18" x14ac:dyDescent="0.25">
      <c r="A804" s="22">
        <v>45743</v>
      </c>
      <c r="B804" s="12">
        <v>263.73</v>
      </c>
      <c r="C804" s="13">
        <v>3.2000000000000002E-3</v>
      </c>
      <c r="D804" s="7">
        <v>158</v>
      </c>
      <c r="E804" s="7">
        <v>7.0000000000000001E-3</v>
      </c>
      <c r="F804" s="7">
        <v>99</v>
      </c>
      <c r="G804" s="8">
        <f t="shared" si="50"/>
        <v>0.99014835352672603</v>
      </c>
      <c r="H804" s="9">
        <f t="shared" si="51"/>
        <v>1.0816524181441135E-3</v>
      </c>
      <c r="I804" s="10">
        <f>SUM($H$3:H804)</f>
        <v>0.83640320742451135</v>
      </c>
      <c r="J804" s="23">
        <v>7.0000000000000001E-3</v>
      </c>
      <c r="Q804" s="7">
        <f t="shared" si="49"/>
        <v>9.8452028174656834E-5</v>
      </c>
      <c r="R804" s="7">
        <f t="shared" si="48"/>
        <v>1.0730522448415493E-3</v>
      </c>
    </row>
    <row r="805" spans="1:18" x14ac:dyDescent="0.25">
      <c r="A805" s="22">
        <v>45744</v>
      </c>
      <c r="B805" s="12">
        <v>263.20999999999998</v>
      </c>
      <c r="C805" s="13">
        <v>-2E-3</v>
      </c>
      <c r="D805" s="7">
        <v>157</v>
      </c>
      <c r="E805" s="7">
        <v>7.1000000000000004E-3</v>
      </c>
      <c r="F805" s="7">
        <v>794</v>
      </c>
      <c r="G805" s="8">
        <f t="shared" si="50"/>
        <v>0.92366671518004484</v>
      </c>
      <c r="H805" s="9">
        <f t="shared" si="51"/>
        <v>1.0090269124572739E-3</v>
      </c>
      <c r="I805" s="10">
        <f>SUM($H$3:H805)</f>
        <v>0.83741223433696865</v>
      </c>
      <c r="J805" s="23">
        <v>7.1000000000000004E-3</v>
      </c>
      <c r="Q805" s="7">
        <f t="shared" si="49"/>
        <v>9.8461874362093069E-5</v>
      </c>
      <c r="R805" s="7">
        <f t="shared" si="48"/>
        <v>1.0731595607976294E-3</v>
      </c>
    </row>
    <row r="806" spans="1:18" x14ac:dyDescent="0.25">
      <c r="A806" s="22">
        <v>45748</v>
      </c>
      <c r="B806" s="12">
        <v>259.60000000000002</v>
      </c>
      <c r="C806" s="13">
        <v>-1.37E-2</v>
      </c>
      <c r="D806" s="7">
        <v>156</v>
      </c>
      <c r="E806" s="7">
        <v>7.1000000000000004E-3</v>
      </c>
      <c r="F806" s="7">
        <v>682</v>
      </c>
      <c r="G806" s="8">
        <f t="shared" si="50"/>
        <v>0.93407045476843475</v>
      </c>
      <c r="H806" s="9">
        <f t="shared" si="51"/>
        <v>1.0203921084336563E-3</v>
      </c>
      <c r="I806" s="10">
        <f>SUM($H$3:H806)</f>
        <v>0.83843262644540228</v>
      </c>
      <c r="J806" s="23">
        <v>7.1000000000000004E-3</v>
      </c>
      <c r="Q806" s="7">
        <f t="shared" si="49"/>
        <v>9.8471721534246481E-5</v>
      </c>
      <c r="R806" s="7">
        <f t="shared" si="48"/>
        <v>1.073266887486378E-3</v>
      </c>
    </row>
    <row r="807" spans="1:18" x14ac:dyDescent="0.25">
      <c r="A807" s="22">
        <v>45749</v>
      </c>
      <c r="B807" s="12">
        <v>261.64</v>
      </c>
      <c r="C807" s="13">
        <v>7.9000000000000008E-3</v>
      </c>
      <c r="D807" s="7">
        <v>155</v>
      </c>
      <c r="E807" s="7">
        <v>7.1000000000000004E-3</v>
      </c>
      <c r="F807" s="7">
        <v>577</v>
      </c>
      <c r="G807" s="8">
        <f t="shared" si="50"/>
        <v>0.94393036146495346</v>
      </c>
      <c r="H807" s="9">
        <f t="shared" si="51"/>
        <v>1.0311632134736011E-3</v>
      </c>
      <c r="I807" s="10">
        <f>SUM($H$3:H807)</f>
        <v>0.83946378965887591</v>
      </c>
      <c r="J807" s="23">
        <v>7.1000000000000004E-3</v>
      </c>
      <c r="Q807" s="7">
        <f t="shared" si="49"/>
        <v>9.8481569691215596E-5</v>
      </c>
      <c r="R807" s="7">
        <f t="shared" si="48"/>
        <v>1.0733742249088686E-3</v>
      </c>
    </row>
    <row r="808" spans="1:18" x14ac:dyDescent="0.25">
      <c r="A808" s="22">
        <v>45750</v>
      </c>
      <c r="B808" s="12">
        <v>260.45999999999998</v>
      </c>
      <c r="C808" s="13">
        <v>-4.4999999999999997E-3</v>
      </c>
      <c r="D808" s="7">
        <v>154</v>
      </c>
      <c r="E808" s="7">
        <v>7.1000000000000004E-3</v>
      </c>
      <c r="F808" s="7">
        <v>374</v>
      </c>
      <c r="G808" s="8">
        <f t="shared" si="50"/>
        <v>0.9632889405066335</v>
      </c>
      <c r="H808" s="9">
        <f t="shared" si="51"/>
        <v>1.0523108059103156E-3</v>
      </c>
      <c r="I808" s="10">
        <f>SUM($H$3:H808)</f>
        <v>0.8405161004647862</v>
      </c>
      <c r="J808" s="23">
        <v>7.1000000000000004E-3</v>
      </c>
      <c r="Q808" s="7">
        <f t="shared" si="49"/>
        <v>9.8491418833098902E-5</v>
      </c>
      <c r="R808" s="7">
        <f t="shared" si="48"/>
        <v>1.0734815730661753E-3</v>
      </c>
    </row>
    <row r="809" spans="1:18" x14ac:dyDescent="0.25">
      <c r="A809" s="22">
        <v>45751</v>
      </c>
      <c r="B809" s="12">
        <v>257.16000000000003</v>
      </c>
      <c r="C809" s="13">
        <v>-1.2699999999999999E-2</v>
      </c>
      <c r="D809" s="7">
        <v>153</v>
      </c>
      <c r="E809" s="7">
        <v>7.1999999999999998E-3</v>
      </c>
      <c r="F809" s="7">
        <v>768</v>
      </c>
      <c r="G809" s="8">
        <f t="shared" si="50"/>
        <v>0.92607149373780984</v>
      </c>
      <c r="H809" s="9">
        <f t="shared" si="51"/>
        <v>1.0116539274220948E-3</v>
      </c>
      <c r="I809" s="10">
        <f>SUM($H$3:H809)</f>
        <v>0.84152775439220828</v>
      </c>
      <c r="J809" s="23">
        <v>7.1999999999999998E-3</v>
      </c>
      <c r="Q809" s="7">
        <f t="shared" si="49"/>
        <v>9.8501268959994898E-5</v>
      </c>
      <c r="R809" s="7">
        <f t="shared" si="48"/>
        <v>1.0735889319593713E-3</v>
      </c>
    </row>
    <row r="810" spans="1:18" x14ac:dyDescent="0.25">
      <c r="A810" s="22">
        <v>45754</v>
      </c>
      <c r="B810" s="12">
        <v>249.1</v>
      </c>
      <c r="C810" s="13">
        <v>-3.1300000000000001E-2</v>
      </c>
      <c r="D810" s="7">
        <v>152</v>
      </c>
      <c r="E810" s="7">
        <v>7.1999999999999998E-3</v>
      </c>
      <c r="F810" s="7">
        <v>701</v>
      </c>
      <c r="G810" s="8">
        <f t="shared" si="50"/>
        <v>0.93229731726010046</v>
      </c>
      <c r="H810" s="9">
        <f t="shared" si="51"/>
        <v>1.0184551073097736E-3</v>
      </c>
      <c r="I810" s="10">
        <f>SUM($H$3:H810)</f>
        <v>0.84254620949951808</v>
      </c>
      <c r="J810" s="23">
        <v>7.1999999999999998E-3</v>
      </c>
      <c r="Q810" s="7">
        <f t="shared" si="49"/>
        <v>9.8511120072002111E-5</v>
      </c>
      <c r="R810" s="7">
        <f t="shared" si="48"/>
        <v>1.0736963015895303E-3</v>
      </c>
    </row>
    <row r="811" spans="1:18" x14ac:dyDescent="0.25">
      <c r="A811" s="22">
        <v>45755</v>
      </c>
      <c r="B811" s="12">
        <v>252.72</v>
      </c>
      <c r="C811" s="13">
        <v>1.4500000000000001E-2</v>
      </c>
      <c r="D811" s="7">
        <v>151</v>
      </c>
      <c r="E811" s="7">
        <v>7.1999999999999998E-3</v>
      </c>
      <c r="F811" s="7">
        <v>391</v>
      </c>
      <c r="G811" s="8">
        <f t="shared" si="50"/>
        <v>0.96165265872592443</v>
      </c>
      <c r="H811" s="9">
        <f t="shared" si="51"/>
        <v>1.0505233079676436E-3</v>
      </c>
      <c r="I811" s="10">
        <f>SUM($H$3:H811)</f>
        <v>0.84359673280748571</v>
      </c>
      <c r="J811" s="23">
        <v>7.1999999999999998E-3</v>
      </c>
      <c r="Q811" s="7">
        <f t="shared" si="49"/>
        <v>9.8520972169219027E-5</v>
      </c>
      <c r="R811" s="7">
        <f t="shared" si="48"/>
        <v>1.0738036819577261E-3</v>
      </c>
    </row>
    <row r="812" spans="1:18" x14ac:dyDescent="0.25">
      <c r="A812" s="22">
        <v>45756</v>
      </c>
      <c r="B812" s="12">
        <v>251.03</v>
      </c>
      <c r="C812" s="13">
        <v>-6.7000000000000002E-3</v>
      </c>
      <c r="D812" s="7">
        <v>150</v>
      </c>
      <c r="E812" s="7">
        <v>7.1999999999999998E-3</v>
      </c>
      <c r="F812" s="7">
        <v>332</v>
      </c>
      <c r="G812" s="8">
        <f t="shared" si="50"/>
        <v>0.96734346532805748</v>
      </c>
      <c r="H812" s="9">
        <f t="shared" si="51"/>
        <v>1.0567400276142128E-3</v>
      </c>
      <c r="I812" s="10">
        <f>SUM($H$3:H812)</f>
        <v>0.84465347283509995</v>
      </c>
      <c r="J812" s="23">
        <v>7.1999999999999998E-3</v>
      </c>
      <c r="Q812" s="7">
        <f t="shared" si="49"/>
        <v>9.8530825251744199E-5</v>
      </c>
      <c r="R812" s="7">
        <f t="shared" si="48"/>
        <v>1.0739110730650324E-3</v>
      </c>
    </row>
    <row r="813" spans="1:18" x14ac:dyDescent="0.25">
      <c r="A813" s="22">
        <v>45758</v>
      </c>
      <c r="B813" s="12">
        <v>255.97</v>
      </c>
      <c r="C813" s="13">
        <v>1.9699999999999999E-2</v>
      </c>
      <c r="D813" s="7">
        <v>149</v>
      </c>
      <c r="E813" s="7">
        <v>7.1999999999999998E-3</v>
      </c>
      <c r="F813" s="7">
        <v>230</v>
      </c>
      <c r="G813" s="8">
        <f t="shared" si="50"/>
        <v>0.9772613598471438</v>
      </c>
      <c r="H813" s="9">
        <f t="shared" si="51"/>
        <v>1.0675744793923305E-3</v>
      </c>
      <c r="I813" s="10">
        <f>SUM($H$3:H813)</f>
        <v>0.84572104731449227</v>
      </c>
      <c r="J813" s="23">
        <v>7.1999999999999998E-3</v>
      </c>
      <c r="Q813" s="7">
        <f t="shared" si="49"/>
        <v>9.8540679319676169E-5</v>
      </c>
      <c r="R813" s="7">
        <f t="shared" si="48"/>
        <v>1.0740184749125237E-3</v>
      </c>
    </row>
    <row r="814" spans="1:18" x14ac:dyDescent="0.25">
      <c r="A814" s="22">
        <v>45762</v>
      </c>
      <c r="B814" s="12">
        <v>260.87</v>
      </c>
      <c r="C814" s="13">
        <v>1.9099999999999999E-2</v>
      </c>
      <c r="D814" s="7">
        <v>148</v>
      </c>
      <c r="E814" s="7">
        <v>7.3000000000000001E-3</v>
      </c>
      <c r="F814" s="7">
        <v>486</v>
      </c>
      <c r="G814" s="8">
        <f t="shared" si="50"/>
        <v>0.95255976345768001</v>
      </c>
      <c r="H814" s="9">
        <f t="shared" si="51"/>
        <v>1.0405900973333017E-3</v>
      </c>
      <c r="I814" s="10">
        <f>SUM($H$3:H814)</f>
        <v>0.84676163741182553</v>
      </c>
      <c r="J814" s="23">
        <v>7.3000000000000001E-3</v>
      </c>
      <c r="Q814" s="7">
        <f t="shared" si="49"/>
        <v>9.8550534373113464E-5</v>
      </c>
      <c r="R814" s="7">
        <f t="shared" si="48"/>
        <v>1.0741258875012736E-3</v>
      </c>
    </row>
    <row r="815" spans="1:18" x14ac:dyDescent="0.25">
      <c r="A815" s="22">
        <v>45763</v>
      </c>
      <c r="B815" s="12">
        <v>261.91000000000003</v>
      </c>
      <c r="C815" s="13">
        <v>4.0000000000000001E-3</v>
      </c>
      <c r="D815" s="7">
        <v>147</v>
      </c>
      <c r="E815" s="7">
        <v>7.3000000000000001E-3</v>
      </c>
      <c r="F815" s="7">
        <v>346</v>
      </c>
      <c r="G815" s="8">
        <f t="shared" si="50"/>
        <v>0.96599006440713586</v>
      </c>
      <c r="H815" s="9">
        <f t="shared" si="51"/>
        <v>1.0552615528244308E-3</v>
      </c>
      <c r="I815" s="10">
        <f>SUM($H$3:H815)</f>
        <v>0.84781689896464996</v>
      </c>
      <c r="J815" s="23">
        <v>7.3000000000000001E-3</v>
      </c>
      <c r="Q815" s="7">
        <f t="shared" si="49"/>
        <v>9.8560390412154677E-5</v>
      </c>
      <c r="R815" s="7">
        <f t="shared" si="48"/>
        <v>1.074233310832357E-3</v>
      </c>
    </row>
    <row r="816" spans="1:18" x14ac:dyDescent="0.25">
      <c r="A816" s="22">
        <v>45764</v>
      </c>
      <c r="B816" s="12">
        <v>266.54000000000002</v>
      </c>
      <c r="C816" s="13">
        <v>1.77E-2</v>
      </c>
      <c r="D816" s="7">
        <v>146</v>
      </c>
      <c r="E816" s="7">
        <v>7.3000000000000001E-3</v>
      </c>
      <c r="F816" s="7">
        <v>272</v>
      </c>
      <c r="G816" s="8">
        <f t="shared" si="50"/>
        <v>0.97316526514806478</v>
      </c>
      <c r="H816" s="9">
        <f t="shared" si="51"/>
        <v>1.0630998461513366E-3</v>
      </c>
      <c r="I816" s="10">
        <f>SUM($H$3:H816)</f>
        <v>0.84887999881080134</v>
      </c>
      <c r="J816" s="23">
        <v>7.3000000000000001E-3</v>
      </c>
      <c r="Q816" s="7">
        <f t="shared" si="49"/>
        <v>9.8570247436898377E-5</v>
      </c>
      <c r="R816" s="7">
        <f t="shared" si="48"/>
        <v>1.0743407449068478E-3</v>
      </c>
    </row>
    <row r="817" spans="1:18" x14ac:dyDescent="0.25">
      <c r="A817" s="22">
        <v>45768</v>
      </c>
      <c r="B817" s="12">
        <v>269.7</v>
      </c>
      <c r="C817" s="13">
        <v>1.1900000000000001E-2</v>
      </c>
      <c r="D817" s="7">
        <v>145</v>
      </c>
      <c r="E817" s="7">
        <v>7.4000000000000003E-3</v>
      </c>
      <c r="F817" s="7">
        <v>853</v>
      </c>
      <c r="G817" s="8">
        <f t="shared" si="50"/>
        <v>0.91823285551249179</v>
      </c>
      <c r="H817" s="9">
        <f t="shared" si="51"/>
        <v>1.0030908853676667E-3</v>
      </c>
      <c r="I817" s="10">
        <f>SUM($H$3:H817)</f>
        <v>0.84988308969616899</v>
      </c>
      <c r="J817" s="23">
        <v>7.4000000000000003E-3</v>
      </c>
      <c r="Q817" s="7">
        <f t="shared" si="49"/>
        <v>9.8580105447443117E-5</v>
      </c>
      <c r="R817" s="7">
        <f t="shared" si="48"/>
        <v>1.0744481897258203E-3</v>
      </c>
    </row>
    <row r="818" spans="1:18" x14ac:dyDescent="0.25">
      <c r="A818" s="22">
        <v>45769</v>
      </c>
      <c r="B818" s="12">
        <v>270.05</v>
      </c>
      <c r="C818" s="13">
        <v>1.2999999999999999E-3</v>
      </c>
      <c r="D818" s="7">
        <v>144</v>
      </c>
      <c r="E818" s="7">
        <v>7.4000000000000003E-3</v>
      </c>
      <c r="F818" s="7">
        <v>652</v>
      </c>
      <c r="G818" s="8">
        <f t="shared" si="50"/>
        <v>0.93687701419716818</v>
      </c>
      <c r="H818" s="9">
        <f t="shared" si="51"/>
        <v>1.0234580346475837E-3</v>
      </c>
      <c r="I818" s="10">
        <f>SUM($H$3:H818)</f>
        <v>0.85090654773081653</v>
      </c>
      <c r="J818" s="23">
        <v>7.4000000000000003E-3</v>
      </c>
      <c r="Q818" s="7">
        <f t="shared" si="49"/>
        <v>9.8589964443887505E-5</v>
      </c>
      <c r="R818" s="7">
        <f t="shared" si="48"/>
        <v>1.0745556452903492E-3</v>
      </c>
    </row>
    <row r="819" spans="1:18" x14ac:dyDescent="0.25">
      <c r="A819" s="22">
        <v>45770</v>
      </c>
      <c r="B819" s="12">
        <v>271.82</v>
      </c>
      <c r="C819" s="13">
        <v>6.6E-3</v>
      </c>
      <c r="D819" s="7">
        <v>143</v>
      </c>
      <c r="E819" s="7">
        <v>7.4000000000000003E-3</v>
      </c>
      <c r="F819" s="7">
        <v>441</v>
      </c>
      <c r="G819" s="8">
        <f t="shared" si="50"/>
        <v>0.9568561568510997</v>
      </c>
      <c r="H819" s="9">
        <f t="shared" si="51"/>
        <v>1.0452835397722438E-3</v>
      </c>
      <c r="I819" s="10">
        <f>SUM($H$3:H819)</f>
        <v>0.85195183127058882</v>
      </c>
      <c r="J819" s="23">
        <v>7.4000000000000003E-3</v>
      </c>
      <c r="Q819" s="7">
        <f t="shared" si="49"/>
        <v>9.8599824426330124E-5</v>
      </c>
      <c r="R819" s="7">
        <f t="shared" si="48"/>
        <v>1.0746631116015093E-3</v>
      </c>
    </row>
    <row r="820" spans="1:18" x14ac:dyDescent="0.25">
      <c r="A820" s="22">
        <v>45771</v>
      </c>
      <c r="B820" s="12">
        <v>270.95</v>
      </c>
      <c r="C820" s="13">
        <v>-3.2000000000000002E-3</v>
      </c>
      <c r="D820" s="7">
        <v>142</v>
      </c>
      <c r="E820" s="7">
        <v>7.4000000000000003E-3</v>
      </c>
      <c r="F820" s="7">
        <v>348</v>
      </c>
      <c r="G820" s="8">
        <f t="shared" si="50"/>
        <v>0.96579687605415498</v>
      </c>
      <c r="H820" s="9">
        <f t="shared" si="51"/>
        <v>1.0550505110664813E-3</v>
      </c>
      <c r="I820" s="10">
        <f>SUM($H$3:H820)</f>
        <v>0.85300688178165529</v>
      </c>
      <c r="J820" s="23">
        <v>7.4000000000000003E-3</v>
      </c>
      <c r="Q820" s="7">
        <f t="shared" si="49"/>
        <v>9.8609685394869607E-5</v>
      </c>
      <c r="R820" s="7">
        <f t="shared" si="48"/>
        <v>1.0747705886603753E-3</v>
      </c>
    </row>
    <row r="821" spans="1:18" x14ac:dyDescent="0.25">
      <c r="A821" s="22">
        <v>45772</v>
      </c>
      <c r="B821" s="12">
        <v>268.63</v>
      </c>
      <c r="C821" s="13">
        <v>-8.6E-3</v>
      </c>
      <c r="D821" s="7">
        <v>141</v>
      </c>
      <c r="E821" s="7">
        <v>7.4999999999999997E-3</v>
      </c>
      <c r="F821" s="7">
        <v>822</v>
      </c>
      <c r="G821" s="8">
        <f t="shared" si="50"/>
        <v>0.92108393681368284</v>
      </c>
      <c r="H821" s="9">
        <f t="shared" si="51"/>
        <v>1.006205447920616E-3</v>
      </c>
      <c r="I821" s="10">
        <f>SUM($H$3:H821)</f>
        <v>0.85401308722957592</v>
      </c>
      <c r="J821" s="23">
        <v>7.4999999999999997E-3</v>
      </c>
      <c r="Q821" s="7">
        <f t="shared" si="49"/>
        <v>9.8619547349604577E-5</v>
      </c>
      <c r="R821" s="7">
        <f t="shared" si="48"/>
        <v>1.0748780764680223E-3</v>
      </c>
    </row>
    <row r="822" spans="1:18" x14ac:dyDescent="0.25">
      <c r="A822" s="22">
        <v>45775</v>
      </c>
      <c r="B822" s="12">
        <v>271.89999999999998</v>
      </c>
      <c r="C822" s="13">
        <v>1.2200000000000001E-2</v>
      </c>
      <c r="D822" s="7">
        <v>140</v>
      </c>
      <c r="E822" s="7">
        <v>7.4999999999999997E-3</v>
      </c>
      <c r="F822" s="7">
        <v>806</v>
      </c>
      <c r="G822" s="8">
        <f t="shared" si="50"/>
        <v>0.92255892453870014</v>
      </c>
      <c r="H822" s="9">
        <f t="shared" si="51"/>
        <v>1.0078167458981518E-3</v>
      </c>
      <c r="I822" s="10">
        <f>SUM($H$3:H822)</f>
        <v>0.85502090397547403</v>
      </c>
      <c r="J822" s="23">
        <v>7.4999999999999997E-3</v>
      </c>
      <c r="Q822" s="7">
        <f t="shared" si="49"/>
        <v>9.8629410290633628E-5</v>
      </c>
      <c r="R822" s="7">
        <f t="shared" si="48"/>
        <v>1.0749855750255247E-3</v>
      </c>
    </row>
    <row r="823" spans="1:18" x14ac:dyDescent="0.25">
      <c r="A823" s="22">
        <v>45776</v>
      </c>
      <c r="B823" s="12">
        <v>271.91000000000003</v>
      </c>
      <c r="C823" s="13">
        <v>0</v>
      </c>
      <c r="D823" s="7">
        <v>139</v>
      </c>
      <c r="E823" s="7">
        <v>7.4999999999999997E-3</v>
      </c>
      <c r="F823" s="7">
        <v>722</v>
      </c>
      <c r="G823" s="8">
        <f t="shared" si="50"/>
        <v>0.93034144947882336</v>
      </c>
      <c r="H823" s="9">
        <f t="shared" si="51"/>
        <v>1.0163184889862131E-3</v>
      </c>
      <c r="I823" s="10">
        <f>SUM($H$3:H823)</f>
        <v>0.85603722246446023</v>
      </c>
      <c r="J823" s="23">
        <v>7.4999999999999997E-3</v>
      </c>
      <c r="Q823" s="7">
        <f t="shared" si="49"/>
        <v>9.8639274218055437E-5</v>
      </c>
      <c r="R823" s="7">
        <f t="shared" si="48"/>
        <v>1.0750930843339581E-3</v>
      </c>
    </row>
    <row r="824" spans="1:18" x14ac:dyDescent="0.25">
      <c r="A824" s="22">
        <v>45777</v>
      </c>
      <c r="B824" s="12">
        <v>271.99</v>
      </c>
      <c r="C824" s="13">
        <v>2.9999999999999997E-4</v>
      </c>
      <c r="D824" s="7">
        <v>138</v>
      </c>
      <c r="E824" s="7">
        <v>7.4999999999999997E-3</v>
      </c>
      <c r="F824" s="7">
        <v>521</v>
      </c>
      <c r="G824" s="8">
        <f t="shared" si="50"/>
        <v>0.94923146578665218</v>
      </c>
      <c r="H824" s="9">
        <f t="shared" si="51"/>
        <v>1.036954216698498E-3</v>
      </c>
      <c r="I824" s="10">
        <f>SUM($H$3:H824)</f>
        <v>0.85707417668115871</v>
      </c>
      <c r="J824" s="23">
        <v>7.4999999999999997E-3</v>
      </c>
      <c r="Q824" s="7">
        <f t="shared" si="49"/>
        <v>9.8649139131968625E-5</v>
      </c>
      <c r="R824" s="7">
        <f t="shared" si="48"/>
        <v>1.0752006043943973E-3</v>
      </c>
    </row>
    <row r="825" spans="1:18" x14ac:dyDescent="0.25">
      <c r="A825" s="22">
        <v>45779</v>
      </c>
      <c r="B825" s="12">
        <v>272.05</v>
      </c>
      <c r="C825" s="13">
        <v>2.0000000000000001E-4</v>
      </c>
      <c r="D825" s="7">
        <v>137</v>
      </c>
      <c r="E825" s="7">
        <v>7.7000000000000002E-3</v>
      </c>
      <c r="F825" s="7">
        <v>686</v>
      </c>
      <c r="G825" s="8">
        <f t="shared" si="50"/>
        <v>0.93369688262701866</v>
      </c>
      <c r="H825" s="9">
        <f t="shared" si="51"/>
        <v>1.0199840128097279E-3</v>
      </c>
      <c r="I825" s="10">
        <f>SUM($H$3:H825)</f>
        <v>0.85809416069396849</v>
      </c>
      <c r="J825" s="23">
        <v>7.7000000000000002E-3</v>
      </c>
      <c r="Q825" s="7">
        <f t="shared" si="49"/>
        <v>9.8659005032471867E-5</v>
      </c>
      <c r="R825" s="7">
        <f t="shared" si="48"/>
        <v>1.0753081352079181E-3</v>
      </c>
    </row>
    <row r="826" spans="1:18" x14ac:dyDescent="0.25">
      <c r="A826" s="22">
        <v>45782</v>
      </c>
      <c r="B826" s="12">
        <v>274.39</v>
      </c>
      <c r="C826" s="13">
        <v>8.6E-3</v>
      </c>
      <c r="D826" s="7">
        <v>136</v>
      </c>
      <c r="E826" s="7">
        <v>7.7000000000000002E-3</v>
      </c>
      <c r="F826" s="7">
        <v>522</v>
      </c>
      <c r="G826" s="8">
        <f t="shared" si="50"/>
        <v>0.94913654264007363</v>
      </c>
      <c r="H826" s="9">
        <f t="shared" si="51"/>
        <v>1.0368505212768283E-3</v>
      </c>
      <c r="I826" s="10">
        <f>SUM($H$3:H826)</f>
        <v>0.85913101121524527</v>
      </c>
      <c r="J826" s="23">
        <v>7.7000000000000002E-3</v>
      </c>
      <c r="Q826" s="7">
        <f t="shared" si="49"/>
        <v>9.8668871919663855E-5</v>
      </c>
      <c r="R826" s="7">
        <f t="shared" si="48"/>
        <v>1.075415676775596E-3</v>
      </c>
    </row>
    <row r="827" spans="1:18" x14ac:dyDescent="0.25">
      <c r="A827" s="22">
        <v>45783</v>
      </c>
      <c r="B827" s="12">
        <v>272.60000000000002</v>
      </c>
      <c r="C827" s="13">
        <v>-6.4999999999999997E-3</v>
      </c>
      <c r="D827" s="7">
        <v>135</v>
      </c>
      <c r="E827" s="7">
        <v>7.7000000000000002E-3</v>
      </c>
      <c r="F827" s="7">
        <v>53</v>
      </c>
      <c r="G827" s="8">
        <f t="shared" si="50"/>
        <v>0.99471375660325523</v>
      </c>
      <c r="H827" s="9">
        <f t="shared" si="51"/>
        <v>1.0866397306614161E-3</v>
      </c>
      <c r="I827" s="10">
        <f>SUM($H$3:H827)</f>
        <v>0.86021765094590663</v>
      </c>
      <c r="J827" s="23">
        <v>7.7000000000000002E-3</v>
      </c>
      <c r="Q827" s="7">
        <f t="shared" si="49"/>
        <v>9.8678739793643194E-5</v>
      </c>
      <c r="R827" s="7">
        <f t="shared" si="48"/>
        <v>1.0755232290985055E-3</v>
      </c>
    </row>
    <row r="828" spans="1:18" x14ac:dyDescent="0.25">
      <c r="A828" s="22">
        <v>45784</v>
      </c>
      <c r="B828" s="12">
        <v>272.79000000000002</v>
      </c>
      <c r="C828" s="13">
        <v>6.9999999999999999E-4</v>
      </c>
      <c r="D828" s="7">
        <v>134</v>
      </c>
      <c r="E828" s="7">
        <v>7.7999999999999996E-3</v>
      </c>
      <c r="F828" s="7">
        <v>953</v>
      </c>
      <c r="G828" s="8">
        <f t="shared" si="50"/>
        <v>0.90909583136483374</v>
      </c>
      <c r="H828" s="9">
        <f t="shared" si="51"/>
        <v>9.9310946770560259E-4</v>
      </c>
      <c r="I828" s="10">
        <f>SUM($H$3:H828)</f>
        <v>0.86121076041361222</v>
      </c>
      <c r="J828" s="23">
        <v>7.7999999999999996E-3</v>
      </c>
      <c r="Q828" s="7">
        <f t="shared" si="49"/>
        <v>9.8688608654508644E-5</v>
      </c>
      <c r="R828" s="7">
        <f t="shared" si="48"/>
        <v>1.0756307921777233E-3</v>
      </c>
    </row>
    <row r="829" spans="1:18" x14ac:dyDescent="0.25">
      <c r="A829" s="22">
        <v>45785</v>
      </c>
      <c r="B829" s="12">
        <v>271.04000000000002</v>
      </c>
      <c r="C829" s="13">
        <v>-6.4000000000000003E-3</v>
      </c>
      <c r="D829" s="7">
        <v>133</v>
      </c>
      <c r="E829" s="7">
        <v>7.7999999999999996E-3</v>
      </c>
      <c r="F829" s="7">
        <v>894</v>
      </c>
      <c r="G829" s="8">
        <f t="shared" si="50"/>
        <v>0.91447562053523668</v>
      </c>
      <c r="H829" s="9">
        <f t="shared" si="51"/>
        <v>9.9898642740012256E-4</v>
      </c>
      <c r="I829" s="10">
        <f>SUM($H$3:H829)</f>
        <v>0.86220974684101237</v>
      </c>
      <c r="J829" s="23">
        <v>7.7999999999999996E-3</v>
      </c>
      <c r="Q829" s="7">
        <f t="shared" si="49"/>
        <v>9.8698478502358893E-5</v>
      </c>
      <c r="R829" s="7">
        <f t="shared" si="48"/>
        <v>1.0757383660143249E-3</v>
      </c>
    </row>
    <row r="830" spans="1:18" x14ac:dyDescent="0.25">
      <c r="A830" s="22">
        <v>45786</v>
      </c>
      <c r="B830" s="12">
        <v>268.49</v>
      </c>
      <c r="C830" s="13">
        <v>-9.4000000000000004E-3</v>
      </c>
      <c r="D830" s="7">
        <v>132</v>
      </c>
      <c r="E830" s="7">
        <v>7.7999999999999996E-3</v>
      </c>
      <c r="F830" s="7">
        <v>286</v>
      </c>
      <c r="G830" s="8">
        <f t="shared" si="50"/>
        <v>0.97180371900311446</v>
      </c>
      <c r="H830" s="9">
        <f t="shared" si="51"/>
        <v>1.0616124734007233E-3</v>
      </c>
      <c r="I830" s="10">
        <f>SUM($H$3:H830)</f>
        <v>0.86327135931441312</v>
      </c>
      <c r="J830" s="23">
        <v>7.7999999999999996E-3</v>
      </c>
      <c r="Q830" s="7">
        <f t="shared" si="49"/>
        <v>9.8708349337292605E-5</v>
      </c>
      <c r="R830" s="7">
        <f t="shared" si="48"/>
        <v>1.0758459506093857E-3</v>
      </c>
    </row>
    <row r="831" spans="1:18" x14ac:dyDescent="0.25">
      <c r="A831" s="22">
        <v>45789</v>
      </c>
      <c r="B831" s="12">
        <v>278.94</v>
      </c>
      <c r="C831" s="13">
        <v>3.8899999999999997E-2</v>
      </c>
      <c r="D831" s="7">
        <v>131</v>
      </c>
      <c r="E831" s="7">
        <v>7.7999999999999996E-3</v>
      </c>
      <c r="F831" s="7">
        <v>66</v>
      </c>
      <c r="G831" s="8">
        <f t="shared" si="50"/>
        <v>0.99342140431198445</v>
      </c>
      <c r="H831" s="9">
        <f t="shared" si="51"/>
        <v>1.0852279462798453E-3</v>
      </c>
      <c r="I831" s="10">
        <f>SUM($H$3:H831)</f>
        <v>0.86435658726069298</v>
      </c>
      <c r="J831" s="23">
        <v>7.7999999999999996E-3</v>
      </c>
      <c r="Q831" s="7">
        <f t="shared" si="49"/>
        <v>9.8718221159408548E-5</v>
      </c>
      <c r="R831" s="7">
        <f t="shared" si="48"/>
        <v>1.0759535459639821E-3</v>
      </c>
    </row>
    <row r="832" spans="1:18" x14ac:dyDescent="0.25">
      <c r="A832" s="22">
        <v>45790</v>
      </c>
      <c r="B832" s="12">
        <v>275.64999999999998</v>
      </c>
      <c r="C832" s="13">
        <v>-1.18E-2</v>
      </c>
      <c r="D832" s="7">
        <v>130</v>
      </c>
      <c r="E832" s="7">
        <v>7.9000000000000008E-3</v>
      </c>
      <c r="F832" s="7">
        <v>580</v>
      </c>
      <c r="G832" s="8">
        <f t="shared" si="50"/>
        <v>0.9436472106734809</v>
      </c>
      <c r="H832" s="9">
        <f t="shared" si="51"/>
        <v>1.0308538954434242E-3</v>
      </c>
      <c r="I832" s="10">
        <f>SUM($H$3:H832)</f>
        <v>0.86538744115613642</v>
      </c>
      <c r="J832" s="23">
        <v>7.9000000000000008E-3</v>
      </c>
      <c r="Q832" s="7">
        <f t="shared" si="49"/>
        <v>9.8728093968805428E-5</v>
      </c>
      <c r="R832" s="7">
        <f t="shared" si="48"/>
        <v>1.0760611520791899E-3</v>
      </c>
    </row>
    <row r="833" spans="1:18" x14ac:dyDescent="0.25">
      <c r="A833" s="22">
        <v>45791</v>
      </c>
      <c r="B833" s="12">
        <v>276.57</v>
      </c>
      <c r="C833" s="13">
        <v>3.3E-3</v>
      </c>
      <c r="D833" s="7">
        <v>129</v>
      </c>
      <c r="E833" s="7">
        <v>7.9000000000000008E-3</v>
      </c>
      <c r="F833" s="7">
        <v>506</v>
      </c>
      <c r="G833" s="8">
        <f t="shared" si="50"/>
        <v>0.95065645270885879</v>
      </c>
      <c r="H833" s="9">
        <f t="shared" si="51"/>
        <v>1.0385108930740519E-3</v>
      </c>
      <c r="I833" s="10">
        <f>SUM($H$3:H833)</f>
        <v>0.86642595204921047</v>
      </c>
      <c r="J833" s="23">
        <v>7.9000000000000008E-3</v>
      </c>
      <c r="Q833" s="7">
        <f t="shared" si="49"/>
        <v>9.8737967765581987E-5</v>
      </c>
      <c r="R833" s="7">
        <f t="shared" si="48"/>
        <v>1.0761687689560856E-3</v>
      </c>
    </row>
    <row r="834" spans="1:18" x14ac:dyDescent="0.25">
      <c r="A834" s="22">
        <v>45792</v>
      </c>
      <c r="B834" s="12">
        <v>280.17</v>
      </c>
      <c r="C834" s="13">
        <v>1.2999999999999999E-2</v>
      </c>
      <c r="D834" s="7">
        <v>128</v>
      </c>
      <c r="E834" s="7">
        <v>7.9000000000000008E-3</v>
      </c>
      <c r="F834" s="7">
        <v>429</v>
      </c>
      <c r="G834" s="8">
        <f t="shared" si="50"/>
        <v>0.9580051309355494</v>
      </c>
      <c r="H834" s="9">
        <f t="shared" si="51"/>
        <v>1.046538695721757E-3</v>
      </c>
      <c r="I834" s="10">
        <f>SUM($H$3:H834)</f>
        <v>0.86747249074493227</v>
      </c>
      <c r="J834" s="23">
        <v>7.9000000000000008E-3</v>
      </c>
      <c r="Q834" s="7">
        <f t="shared" si="49"/>
        <v>9.8747842549836982E-5</v>
      </c>
      <c r="R834" s="7">
        <f t="shared" ref="R834:R897" si="52">Q834/$U$2</f>
        <v>1.0762763965957453E-3</v>
      </c>
    </row>
    <row r="835" spans="1:18" x14ac:dyDescent="0.25">
      <c r="A835" s="22">
        <v>45793</v>
      </c>
      <c r="B835" s="12">
        <v>280.20999999999998</v>
      </c>
      <c r="C835" s="13">
        <v>1E-4</v>
      </c>
      <c r="D835" s="7">
        <v>127</v>
      </c>
      <c r="E835" s="7">
        <v>7.9000000000000008E-3</v>
      </c>
      <c r="F835" s="7">
        <v>155</v>
      </c>
      <c r="G835" s="8">
        <f t="shared" si="50"/>
        <v>0.98461874362103907</v>
      </c>
      <c r="H835" s="9">
        <f t="shared" si="51"/>
        <v>1.0756117921060292E-3</v>
      </c>
      <c r="I835" s="10">
        <f>SUM($H$3:H835)</f>
        <v>0.86854810253703829</v>
      </c>
      <c r="J835" s="23">
        <v>7.9000000000000008E-3</v>
      </c>
      <c r="Q835" s="7">
        <f t="shared" ref="Q835:Q898" si="53">(1-$N$3) * $N$3^(D836-1)</f>
        <v>9.8757718321669118E-5</v>
      </c>
      <c r="R835" s="7">
        <f t="shared" si="52"/>
        <v>1.0763840349992447E-3</v>
      </c>
    </row>
    <row r="836" spans="1:18" x14ac:dyDescent="0.25">
      <c r="A836" s="22">
        <v>45796</v>
      </c>
      <c r="B836" s="12">
        <v>279.20999999999998</v>
      </c>
      <c r="C836" s="13">
        <v>-3.5999999999999999E-3</v>
      </c>
      <c r="D836" s="7">
        <v>126</v>
      </c>
      <c r="E836" s="7">
        <v>7.9000000000000008E-3</v>
      </c>
      <c r="F836" s="7">
        <v>15</v>
      </c>
      <c r="G836" s="8">
        <f t="shared" ref="G836:G899" si="54">$N$3^F836</f>
        <v>0.99850104954513685</v>
      </c>
      <c r="H836" s="9">
        <f t="shared" ref="H836:H899" si="55">G836/$N$4</f>
        <v>1.0907770243853466E-3</v>
      </c>
      <c r="I836" s="10">
        <f>SUM($H$3:H836)</f>
        <v>0.86963887956142361</v>
      </c>
      <c r="J836" s="23">
        <v>7.9000000000000008E-3</v>
      </c>
      <c r="Q836" s="7">
        <f t="shared" si="53"/>
        <v>9.8767595081177231E-5</v>
      </c>
      <c r="R836" s="7">
        <f t="shared" si="52"/>
        <v>1.0764916841676615E-3</v>
      </c>
    </row>
    <row r="837" spans="1:18" x14ac:dyDescent="0.25">
      <c r="A837" s="22">
        <v>45797</v>
      </c>
      <c r="B837" s="12">
        <v>276.89</v>
      </c>
      <c r="C837" s="13">
        <v>-8.3000000000000001E-3</v>
      </c>
      <c r="D837" s="7">
        <v>125</v>
      </c>
      <c r="E837" s="7">
        <v>8.0000000000000002E-3</v>
      </c>
      <c r="F837" s="7">
        <v>590</v>
      </c>
      <c r="G837" s="8">
        <f t="shared" si="54"/>
        <v>0.94270398799083466</v>
      </c>
      <c r="H837" s="9">
        <f t="shared" si="55"/>
        <v>1.0298235053085533E-3</v>
      </c>
      <c r="I837" s="10">
        <f>SUM($H$3:H837)</f>
        <v>0.87066870306673216</v>
      </c>
      <c r="J837" s="23">
        <v>8.0000000000000002E-3</v>
      </c>
      <c r="Q837" s="7">
        <f t="shared" si="53"/>
        <v>9.877747282846008E-5</v>
      </c>
      <c r="R837" s="7">
        <f t="shared" si="52"/>
        <v>1.0765993441020718E-3</v>
      </c>
    </row>
    <row r="838" spans="1:18" x14ac:dyDescent="0.25">
      <c r="A838" s="22">
        <v>45798</v>
      </c>
      <c r="B838" s="12">
        <v>277.55</v>
      </c>
      <c r="C838" s="13">
        <v>2.3999999999999998E-3</v>
      </c>
      <c r="D838" s="7">
        <v>124</v>
      </c>
      <c r="E838" s="7">
        <v>8.0000000000000002E-3</v>
      </c>
      <c r="F838" s="7">
        <v>198</v>
      </c>
      <c r="G838" s="8">
        <f t="shared" si="54"/>
        <v>0.98039376199168637</v>
      </c>
      <c r="H838" s="9">
        <f t="shared" si="55"/>
        <v>1.0709963609135957E-3</v>
      </c>
      <c r="I838" s="10">
        <f>SUM($H$3:H838)</f>
        <v>0.87173969942764573</v>
      </c>
      <c r="J838" s="23">
        <v>8.0000000000000002E-3</v>
      </c>
      <c r="Q838" s="7">
        <f t="shared" si="53"/>
        <v>9.878735156361645E-5</v>
      </c>
      <c r="R838" s="7">
        <f t="shared" si="52"/>
        <v>1.0767070148035521E-3</v>
      </c>
    </row>
    <row r="839" spans="1:18" x14ac:dyDescent="0.25">
      <c r="A839" s="22">
        <v>45799</v>
      </c>
      <c r="B839" s="12">
        <v>275.91000000000003</v>
      </c>
      <c r="C839" s="13">
        <v>-5.8999999999999999E-3</v>
      </c>
      <c r="D839" s="7">
        <v>123</v>
      </c>
      <c r="E839" s="7">
        <v>8.0999999999999996E-3</v>
      </c>
      <c r="F839" s="7">
        <v>811</v>
      </c>
      <c r="G839" s="8">
        <f t="shared" si="54"/>
        <v>0.92209773732309819</v>
      </c>
      <c r="H839" s="9">
        <f t="shared" si="55"/>
        <v>1.0073129382967996E-3</v>
      </c>
      <c r="I839" s="10">
        <f>SUM($H$3:H839)</f>
        <v>0.87274701236594254</v>
      </c>
      <c r="J839" s="23">
        <v>8.0999999999999996E-3</v>
      </c>
      <c r="Q839" s="7">
        <f t="shared" si="53"/>
        <v>9.879723128674511E-5</v>
      </c>
      <c r="R839" s="7">
        <f t="shared" si="52"/>
        <v>1.0768146962731795E-3</v>
      </c>
    </row>
    <row r="840" spans="1:18" x14ac:dyDescent="0.25">
      <c r="A840" s="22">
        <v>45800</v>
      </c>
      <c r="B840" s="12">
        <v>278.37</v>
      </c>
      <c r="C840" s="13">
        <v>8.8999999999999999E-3</v>
      </c>
      <c r="D840" s="7">
        <v>122</v>
      </c>
      <c r="E840" s="7">
        <v>8.0999999999999996E-3</v>
      </c>
      <c r="F840" s="7">
        <v>306</v>
      </c>
      <c r="G840" s="8">
        <f t="shared" si="54"/>
        <v>0.96986195688478927</v>
      </c>
      <c r="H840" s="9">
        <f t="shared" si="55"/>
        <v>1.0594912643078977E-3</v>
      </c>
      <c r="I840" s="10">
        <f>SUM($H$3:H840)</f>
        <v>0.87380650363025048</v>
      </c>
      <c r="J840" s="23">
        <v>8.0999999999999996E-3</v>
      </c>
      <c r="Q840" s="7">
        <f t="shared" si="53"/>
        <v>9.8807111997944899E-5</v>
      </c>
      <c r="R840" s="7">
        <f t="shared" si="52"/>
        <v>1.0769223885120306E-3</v>
      </c>
    </row>
    <row r="841" spans="1:18" x14ac:dyDescent="0.25">
      <c r="A841" s="22">
        <v>45803</v>
      </c>
      <c r="B841" s="12">
        <v>279.89</v>
      </c>
      <c r="C841" s="13">
        <v>5.4999999999999997E-3</v>
      </c>
      <c r="D841" s="7">
        <v>121</v>
      </c>
      <c r="E841" s="7">
        <v>8.2000000000000007E-3</v>
      </c>
      <c r="F841" s="7">
        <v>833</v>
      </c>
      <c r="G841" s="8">
        <f t="shared" si="54"/>
        <v>0.92007125092740483</v>
      </c>
      <c r="H841" s="9">
        <f t="shared" si="55"/>
        <v>1.0050991751749093E-3</v>
      </c>
      <c r="I841" s="10">
        <f>SUM($H$3:H841)</f>
        <v>0.87481160280542536</v>
      </c>
      <c r="J841" s="23">
        <v>8.2000000000000007E-3</v>
      </c>
      <c r="Q841" s="7">
        <f t="shared" si="53"/>
        <v>9.8816993697314629E-5</v>
      </c>
      <c r="R841" s="7">
        <f t="shared" si="52"/>
        <v>1.0770300915211826E-3</v>
      </c>
    </row>
    <row r="842" spans="1:18" x14ac:dyDescent="0.25">
      <c r="A842" s="22">
        <v>45804</v>
      </c>
      <c r="B842" s="12">
        <v>278.25</v>
      </c>
      <c r="C842" s="13">
        <v>-5.8999999999999999E-3</v>
      </c>
      <c r="D842" s="7">
        <v>120</v>
      </c>
      <c r="E842" s="7">
        <v>8.2000000000000007E-3</v>
      </c>
      <c r="F842" s="7">
        <v>484</v>
      </c>
      <c r="G842" s="8">
        <f t="shared" si="54"/>
        <v>0.95275030399097504</v>
      </c>
      <c r="H842" s="9">
        <f t="shared" si="55"/>
        <v>1.0407982465746341E-3</v>
      </c>
      <c r="I842" s="10">
        <f>SUM($H$3:H842)</f>
        <v>0.87585240105200002</v>
      </c>
      <c r="J842" s="23">
        <v>8.2000000000000007E-3</v>
      </c>
      <c r="Q842" s="7">
        <f t="shared" si="53"/>
        <v>9.8826876384953125E-5</v>
      </c>
      <c r="R842" s="7">
        <f t="shared" si="52"/>
        <v>1.0771378053017128E-3</v>
      </c>
    </row>
    <row r="843" spans="1:18" x14ac:dyDescent="0.25">
      <c r="A843" s="22">
        <v>45805</v>
      </c>
      <c r="B843" s="12">
        <v>277.69</v>
      </c>
      <c r="C843" s="13">
        <v>-2E-3</v>
      </c>
      <c r="D843" s="7">
        <v>119</v>
      </c>
      <c r="E843" s="7">
        <v>8.2000000000000007E-3</v>
      </c>
      <c r="F843" s="7">
        <v>405</v>
      </c>
      <c r="G843" s="8">
        <f t="shared" si="54"/>
        <v>0.96030721975768263</v>
      </c>
      <c r="H843" s="9">
        <f t="shared" si="55"/>
        <v>1.0490535309304143E-3</v>
      </c>
      <c r="I843" s="10">
        <f>SUM($H$3:H843)</f>
        <v>0.87690145458293045</v>
      </c>
      <c r="J843" s="23">
        <v>8.2000000000000007E-3</v>
      </c>
      <c r="Q843" s="7">
        <f t="shared" si="53"/>
        <v>9.8836760060959239E-5</v>
      </c>
      <c r="R843" s="7">
        <f t="shared" si="52"/>
        <v>1.0772455298546984E-3</v>
      </c>
    </row>
    <row r="844" spans="1:18" x14ac:dyDescent="0.25">
      <c r="A844" s="22">
        <v>45806</v>
      </c>
      <c r="B844" s="12">
        <v>278.54000000000002</v>
      </c>
      <c r="C844" s="13">
        <v>3.0999999999999999E-3</v>
      </c>
      <c r="D844" s="7">
        <v>118</v>
      </c>
      <c r="E844" s="7">
        <v>8.2000000000000007E-3</v>
      </c>
      <c r="F844" s="7">
        <v>240</v>
      </c>
      <c r="G844" s="8">
        <f t="shared" si="54"/>
        <v>0.97628453813765792</v>
      </c>
      <c r="H844" s="9">
        <f t="shared" si="55"/>
        <v>1.0665073851933676E-3</v>
      </c>
      <c r="I844" s="10">
        <f>SUM($H$3:H844)</f>
        <v>0.87796796196812377</v>
      </c>
      <c r="J844" s="23">
        <v>8.2000000000000007E-3</v>
      </c>
      <c r="Q844" s="7">
        <f t="shared" si="53"/>
        <v>9.8846644725431756E-5</v>
      </c>
      <c r="R844" s="7">
        <f t="shared" si="52"/>
        <v>1.0773532651812163E-3</v>
      </c>
    </row>
    <row r="845" spans="1:18" x14ac:dyDescent="0.25">
      <c r="A845" s="22">
        <v>45807</v>
      </c>
      <c r="B845" s="12">
        <v>277.97000000000003</v>
      </c>
      <c r="C845" s="13">
        <v>-2E-3</v>
      </c>
      <c r="D845" s="7">
        <v>117</v>
      </c>
      <c r="E845" s="7">
        <v>8.3000000000000001E-3</v>
      </c>
      <c r="F845" s="7">
        <v>863</v>
      </c>
      <c r="G845" s="8">
        <f t="shared" si="54"/>
        <v>0.91731503575159579</v>
      </c>
      <c r="H845" s="9">
        <f t="shared" si="55"/>
        <v>1.0020882457528479E-3</v>
      </c>
      <c r="I845" s="10">
        <f>SUM($H$3:H845)</f>
        <v>0.87897005021387664</v>
      </c>
      <c r="J845" s="23">
        <v>8.3000000000000001E-3</v>
      </c>
      <c r="Q845" s="7">
        <f t="shared" si="53"/>
        <v>9.8856530378469608E-5</v>
      </c>
      <c r="R845" s="7">
        <f t="shared" si="52"/>
        <v>1.0774610112823447E-3</v>
      </c>
    </row>
    <row r="846" spans="1:18" x14ac:dyDescent="0.25">
      <c r="A846" s="22">
        <v>45810</v>
      </c>
      <c r="B846" s="12">
        <v>277.60000000000002</v>
      </c>
      <c r="C846" s="13">
        <v>-1.2999999999999999E-3</v>
      </c>
      <c r="D846" s="7">
        <v>116</v>
      </c>
      <c r="E846" s="7">
        <v>8.3000000000000001E-3</v>
      </c>
      <c r="F846" s="7">
        <v>671</v>
      </c>
      <c r="G846" s="8">
        <f t="shared" si="54"/>
        <v>0.93509854902241762</v>
      </c>
      <c r="H846" s="9">
        <f t="shared" si="55"/>
        <v>1.0215152135036589E-3</v>
      </c>
      <c r="I846" s="10">
        <f>SUM($H$3:H846)</f>
        <v>0.87999156542738033</v>
      </c>
      <c r="J846" s="23">
        <v>8.3000000000000001E-3</v>
      </c>
      <c r="Q846" s="7">
        <f t="shared" si="53"/>
        <v>9.8866417020171635E-5</v>
      </c>
      <c r="R846" s="7">
        <f t="shared" si="52"/>
        <v>1.0775687681591605E-3</v>
      </c>
    </row>
    <row r="847" spans="1:18" x14ac:dyDescent="0.25">
      <c r="A847" s="22">
        <v>45811</v>
      </c>
      <c r="B847" s="12">
        <v>275.77</v>
      </c>
      <c r="C847" s="13">
        <v>-6.6E-3</v>
      </c>
      <c r="D847" s="7">
        <v>115</v>
      </c>
      <c r="E847" s="7">
        <v>8.3000000000000001E-3</v>
      </c>
      <c r="F847" s="7">
        <v>592</v>
      </c>
      <c r="G847" s="8">
        <f t="shared" si="54"/>
        <v>0.94251545662027636</v>
      </c>
      <c r="H847" s="9">
        <f t="shared" si="55"/>
        <v>1.0296175509057267E-3</v>
      </c>
      <c r="I847" s="10">
        <f>SUM($H$3:H847)</f>
        <v>0.88102118297828602</v>
      </c>
      <c r="J847" s="23">
        <v>8.3000000000000001E-3</v>
      </c>
      <c r="Q847" s="7">
        <f t="shared" si="53"/>
        <v>9.8876304650636688E-5</v>
      </c>
      <c r="R847" s="7">
        <f t="shared" si="52"/>
        <v>1.0776765358127417E-3</v>
      </c>
    </row>
    <row r="848" spans="1:18" x14ac:dyDescent="0.25">
      <c r="A848" s="22">
        <v>45812</v>
      </c>
      <c r="B848" s="12">
        <v>276.45999999999998</v>
      </c>
      <c r="C848" s="13">
        <v>2.5000000000000001E-3</v>
      </c>
      <c r="D848" s="7">
        <v>114</v>
      </c>
      <c r="E848" s="7">
        <v>8.3999999999999995E-3</v>
      </c>
      <c r="F848" s="7">
        <v>469</v>
      </c>
      <c r="G848" s="8">
        <f t="shared" si="54"/>
        <v>0.95418057339548779</v>
      </c>
      <c r="H848" s="9">
        <f t="shared" si="55"/>
        <v>1.0423606936104529E-3</v>
      </c>
      <c r="I848" s="10">
        <f>SUM($H$3:H848)</f>
        <v>0.88206354367189643</v>
      </c>
      <c r="J848" s="23">
        <v>8.3999999999999995E-3</v>
      </c>
      <c r="Q848" s="7">
        <f t="shared" si="53"/>
        <v>9.8886193269963674E-5</v>
      </c>
      <c r="R848" s="7">
        <f t="shared" si="52"/>
        <v>1.0777843142441661E-3</v>
      </c>
    </row>
    <row r="849" spans="1:18" x14ac:dyDescent="0.25">
      <c r="A849" s="22">
        <v>45813</v>
      </c>
      <c r="B849" s="12">
        <v>278.05</v>
      </c>
      <c r="C849" s="13">
        <v>5.7999999999999996E-3</v>
      </c>
      <c r="D849" s="7">
        <v>113</v>
      </c>
      <c r="E849" s="7">
        <v>8.3999999999999995E-3</v>
      </c>
      <c r="F849" s="7">
        <v>316</v>
      </c>
      <c r="G849" s="8">
        <f t="shared" si="54"/>
        <v>0.9688925312494221</v>
      </c>
      <c r="H849" s="9">
        <f t="shared" si="55"/>
        <v>1.0584322496875421E-3</v>
      </c>
      <c r="I849" s="10">
        <f>SUM($H$3:H849)</f>
        <v>0.88312197592158392</v>
      </c>
      <c r="J849" s="23">
        <v>8.3999999999999995E-3</v>
      </c>
      <c r="Q849" s="7">
        <f t="shared" si="53"/>
        <v>9.8896082878251499E-5</v>
      </c>
      <c r="R849" s="7">
        <f t="shared" si="52"/>
        <v>1.0778921034545115E-3</v>
      </c>
    </row>
    <row r="850" spans="1:18" x14ac:dyDescent="0.25">
      <c r="A850" s="22">
        <v>45814</v>
      </c>
      <c r="B850" s="12">
        <v>280.5</v>
      </c>
      <c r="C850" s="13">
        <v>8.8000000000000005E-3</v>
      </c>
      <c r="D850" s="7">
        <v>112</v>
      </c>
      <c r="E850" s="7">
        <v>8.3999999999999995E-3</v>
      </c>
      <c r="F850" s="7">
        <v>22</v>
      </c>
      <c r="G850" s="8">
        <f t="shared" si="54"/>
        <v>0.99780230846073181</v>
      </c>
      <c r="H850" s="9">
        <f t="shared" si="55"/>
        <v>1.0900137094932789E-3</v>
      </c>
      <c r="I850" s="10">
        <f>SUM($H$3:H850)</f>
        <v>0.88421198963107717</v>
      </c>
      <c r="J850" s="23">
        <v>8.3999999999999995E-3</v>
      </c>
      <c r="Q850" s="7">
        <f t="shared" si="53"/>
        <v>9.8905973475599057E-5</v>
      </c>
      <c r="R850" s="7">
        <f t="shared" si="52"/>
        <v>1.0779999034448559E-3</v>
      </c>
    </row>
    <row r="851" spans="1:18" x14ac:dyDescent="0.25">
      <c r="A851" s="22">
        <v>45817</v>
      </c>
      <c r="B851" s="12">
        <v>281.35000000000002</v>
      </c>
      <c r="C851" s="13">
        <v>3.0000000000000001E-3</v>
      </c>
      <c r="D851" s="7">
        <v>111</v>
      </c>
      <c r="E851" s="7">
        <v>8.5000000000000006E-3</v>
      </c>
      <c r="F851" s="7">
        <v>899</v>
      </c>
      <c r="G851" s="8">
        <f t="shared" si="54"/>
        <v>0.91401847416338677</v>
      </c>
      <c r="H851" s="9">
        <f t="shared" si="55"/>
        <v>9.9848703407507582E-4</v>
      </c>
      <c r="I851" s="10">
        <f>SUM($H$3:H851)</f>
        <v>0.88521047666515229</v>
      </c>
      <c r="J851" s="23">
        <v>8.5000000000000006E-3</v>
      </c>
      <c r="Q851" s="7">
        <f t="shared" si="53"/>
        <v>9.8915865062105266E-5</v>
      </c>
      <c r="R851" s="7">
        <f t="shared" si="52"/>
        <v>1.0781077142162775E-3</v>
      </c>
    </row>
    <row r="852" spans="1:18" x14ac:dyDescent="0.25">
      <c r="A852" s="22">
        <v>45818</v>
      </c>
      <c r="B852" s="12">
        <v>281.39</v>
      </c>
      <c r="C852" s="13">
        <v>1E-4</v>
      </c>
      <c r="D852" s="7">
        <v>110</v>
      </c>
      <c r="E852" s="7">
        <v>8.5000000000000006E-3</v>
      </c>
      <c r="F852" s="7">
        <v>842</v>
      </c>
      <c r="G852" s="8">
        <f t="shared" si="54"/>
        <v>0.91924351794994641</v>
      </c>
      <c r="H852" s="9">
        <f t="shared" si="55"/>
        <v>1.0041949476685397E-3</v>
      </c>
      <c r="I852" s="10">
        <f>SUM($H$3:H852)</f>
        <v>0.88621467161282086</v>
      </c>
      <c r="J852" s="23">
        <v>8.5000000000000006E-3</v>
      </c>
      <c r="Q852" s="7">
        <f t="shared" si="53"/>
        <v>9.8925757637869047E-5</v>
      </c>
      <c r="R852" s="7">
        <f t="shared" si="52"/>
        <v>1.0782155357698545E-3</v>
      </c>
    </row>
    <row r="853" spans="1:18" x14ac:dyDescent="0.25">
      <c r="A853" s="22">
        <v>45819</v>
      </c>
      <c r="B853" s="12">
        <v>281.87</v>
      </c>
      <c r="C853" s="13">
        <v>1.6999999999999999E-3</v>
      </c>
      <c r="D853" s="7">
        <v>109</v>
      </c>
      <c r="E853" s="7">
        <v>8.5000000000000006E-3</v>
      </c>
      <c r="F853" s="7">
        <v>841</v>
      </c>
      <c r="G853" s="8">
        <f t="shared" si="54"/>
        <v>0.91933545149509588</v>
      </c>
      <c r="H853" s="9">
        <f t="shared" si="55"/>
        <v>1.0042953772062603E-3</v>
      </c>
      <c r="I853" s="10">
        <f>SUM($H$3:H853)</f>
        <v>0.88721896699002711</v>
      </c>
      <c r="J853" s="23">
        <v>8.5000000000000006E-3</v>
      </c>
      <c r="Q853" s="7">
        <f t="shared" si="53"/>
        <v>9.8935651202989347E-5</v>
      </c>
      <c r="R853" s="7">
        <f t="shared" si="52"/>
        <v>1.0783233681066651E-3</v>
      </c>
    </row>
    <row r="854" spans="1:18" x14ac:dyDescent="0.25">
      <c r="A854" s="22">
        <v>45820</v>
      </c>
      <c r="B854" s="12">
        <v>278.95</v>
      </c>
      <c r="C854" s="13">
        <v>-1.04E-2</v>
      </c>
      <c r="D854" s="7">
        <v>108</v>
      </c>
      <c r="E854" s="7">
        <v>8.5000000000000006E-3</v>
      </c>
      <c r="F854" s="7">
        <v>791</v>
      </c>
      <c r="G854" s="8">
        <f t="shared" si="54"/>
        <v>0.92394387062383976</v>
      </c>
      <c r="H854" s="9">
        <f t="shared" si="55"/>
        <v>1.0093296810827176E-3</v>
      </c>
      <c r="I854" s="10">
        <f>SUM($H$3:H854)</f>
        <v>0.88822829667110981</v>
      </c>
      <c r="J854" s="23">
        <v>8.5000000000000006E-3</v>
      </c>
      <c r="Q854" s="7">
        <f t="shared" si="53"/>
        <v>9.8945545757565099E-5</v>
      </c>
      <c r="R854" s="7">
        <f t="shared" si="52"/>
        <v>1.078431211227788E-3</v>
      </c>
    </row>
    <row r="855" spans="1:18" x14ac:dyDescent="0.25">
      <c r="A855" s="22">
        <v>45821</v>
      </c>
      <c r="B855" s="12">
        <v>277.10000000000002</v>
      </c>
      <c r="C855" s="13">
        <v>-6.6E-3</v>
      </c>
      <c r="D855" s="7">
        <v>107</v>
      </c>
      <c r="E855" s="7">
        <v>8.6E-3</v>
      </c>
      <c r="F855" s="7">
        <v>760</v>
      </c>
      <c r="G855" s="8">
        <f t="shared" si="54"/>
        <v>0.92681268442969678</v>
      </c>
      <c r="H855" s="9">
        <f t="shared" si="55"/>
        <v>1.0124636148808781E-3</v>
      </c>
      <c r="I855" s="10">
        <f>SUM($H$3:H855)</f>
        <v>0.88924076028599064</v>
      </c>
      <c r="J855" s="23">
        <v>8.6E-3</v>
      </c>
      <c r="Q855" s="7">
        <f t="shared" si="53"/>
        <v>9.8955441301695263E-5</v>
      </c>
      <c r="R855" s="7">
        <f t="shared" si="52"/>
        <v>1.0785390651343013E-3</v>
      </c>
    </row>
    <row r="856" spans="1:18" x14ac:dyDescent="0.25">
      <c r="A856" s="22">
        <v>45824</v>
      </c>
      <c r="B856" s="12">
        <v>279.7</v>
      </c>
      <c r="C856" s="13">
        <v>9.4000000000000004E-3</v>
      </c>
      <c r="D856" s="7">
        <v>106</v>
      </c>
      <c r="E856" s="7">
        <v>8.6E-3</v>
      </c>
      <c r="F856" s="7">
        <v>649</v>
      </c>
      <c r="G856" s="8">
        <f t="shared" si="54"/>
        <v>0.93715813352341837</v>
      </c>
      <c r="H856" s="9">
        <f t="shared" si="55"/>
        <v>1.0237651334756963E-3</v>
      </c>
      <c r="I856" s="10">
        <f>SUM($H$3:H856)</f>
        <v>0.89026452541946632</v>
      </c>
      <c r="J856" s="23">
        <v>8.6E-3</v>
      </c>
      <c r="Q856" s="7">
        <f t="shared" si="53"/>
        <v>9.8965337835478815E-5</v>
      </c>
      <c r="R856" s="7">
        <f t="shared" si="52"/>
        <v>1.0786469298272841E-3</v>
      </c>
    </row>
    <row r="857" spans="1:18" x14ac:dyDescent="0.25">
      <c r="A857" s="22">
        <v>45825</v>
      </c>
      <c r="B857" s="12">
        <v>278.58999999999997</v>
      </c>
      <c r="C857" s="13">
        <v>-4.0000000000000001E-3</v>
      </c>
      <c r="D857" s="7">
        <v>105</v>
      </c>
      <c r="E857" s="7">
        <v>8.6E-3</v>
      </c>
      <c r="F857" s="7">
        <v>256</v>
      </c>
      <c r="G857" s="8">
        <f t="shared" si="54"/>
        <v>0.97472365387154214</v>
      </c>
      <c r="H857" s="9">
        <f t="shared" si="55"/>
        <v>1.0648022525888707E-3</v>
      </c>
      <c r="I857" s="10">
        <f>SUM($H$3:H857)</f>
        <v>0.89132932767205519</v>
      </c>
      <c r="J857" s="23">
        <v>8.6E-3</v>
      </c>
      <c r="Q857" s="7">
        <f t="shared" si="53"/>
        <v>9.8975235359014714E-5</v>
      </c>
      <c r="R857" s="7">
        <f t="shared" si="52"/>
        <v>1.0787548053078149E-3</v>
      </c>
    </row>
    <row r="858" spans="1:18" x14ac:dyDescent="0.25">
      <c r="A858" s="22">
        <v>45826</v>
      </c>
      <c r="B858" s="12">
        <v>278.24</v>
      </c>
      <c r="C858" s="13">
        <v>-1.2999999999999999E-3</v>
      </c>
      <c r="D858" s="7">
        <v>104</v>
      </c>
      <c r="E858" s="7">
        <v>8.6E-3</v>
      </c>
      <c r="F858" s="7">
        <v>136</v>
      </c>
      <c r="G858" s="8">
        <f t="shared" si="54"/>
        <v>0.98649139131979491</v>
      </c>
      <c r="H858" s="9">
        <f t="shared" si="55"/>
        <v>1.0776574996047858E-3</v>
      </c>
      <c r="I858" s="10">
        <f>SUM($H$3:H858)</f>
        <v>0.89240698517165995</v>
      </c>
      <c r="J858" s="23">
        <v>8.6E-3</v>
      </c>
      <c r="Q858" s="7">
        <f t="shared" si="53"/>
        <v>9.8985133872401949E-5</v>
      </c>
      <c r="R858" s="7">
        <f t="shared" si="52"/>
        <v>1.0788626915769724E-3</v>
      </c>
    </row>
    <row r="859" spans="1:18" x14ac:dyDescent="0.25">
      <c r="A859" s="22">
        <v>45827</v>
      </c>
      <c r="B859" s="12">
        <v>277.91000000000003</v>
      </c>
      <c r="C859" s="13">
        <v>-1.1999999999999999E-3</v>
      </c>
      <c r="D859" s="7">
        <v>103</v>
      </c>
      <c r="E859" s="7">
        <v>8.6999999999999994E-3</v>
      </c>
      <c r="F859" s="7">
        <v>862</v>
      </c>
      <c r="G859" s="8">
        <f t="shared" si="54"/>
        <v>0.91740677642923874</v>
      </c>
      <c r="H859" s="9">
        <f t="shared" si="55"/>
        <v>1.0021884645993078E-3</v>
      </c>
      <c r="I859" s="10">
        <f>SUM($H$3:H859)</f>
        <v>0.89340917363625927</v>
      </c>
      <c r="J859" s="23">
        <v>8.6999999999999994E-3</v>
      </c>
      <c r="Q859" s="7">
        <f t="shared" si="53"/>
        <v>9.8995033375739533E-5</v>
      </c>
      <c r="R859" s="7">
        <f t="shared" si="52"/>
        <v>1.0789705886358361E-3</v>
      </c>
    </row>
    <row r="860" spans="1:18" x14ac:dyDescent="0.25">
      <c r="A860" s="22">
        <v>45828</v>
      </c>
      <c r="B860" s="12">
        <v>281.5</v>
      </c>
      <c r="C860" s="13">
        <v>1.29E-2</v>
      </c>
      <c r="D860" s="7">
        <v>102</v>
      </c>
      <c r="E860" s="7">
        <v>8.6999999999999994E-3</v>
      </c>
      <c r="F860" s="7">
        <v>755</v>
      </c>
      <c r="G860" s="8">
        <f t="shared" si="54"/>
        <v>0.92727622982625912</v>
      </c>
      <c r="H860" s="9">
        <f t="shared" si="55"/>
        <v>1.012969998593304E-3</v>
      </c>
      <c r="I860" s="10">
        <f>SUM($H$3:H860)</f>
        <v>0.89442214363485262</v>
      </c>
      <c r="J860" s="23">
        <v>8.6999999999999994E-3</v>
      </c>
      <c r="Q860" s="7">
        <f t="shared" si="53"/>
        <v>9.9004933869126428E-5</v>
      </c>
      <c r="R860" s="7">
        <f t="shared" si="52"/>
        <v>1.0790784964854845E-3</v>
      </c>
    </row>
    <row r="861" spans="1:18" x14ac:dyDescent="0.25">
      <c r="A861" s="22">
        <v>45831</v>
      </c>
      <c r="B861" s="12">
        <v>280.86</v>
      </c>
      <c r="C861" s="13">
        <v>-2.3E-3</v>
      </c>
      <c r="D861" s="7">
        <v>101</v>
      </c>
      <c r="E861" s="7">
        <v>8.6999999999999994E-3</v>
      </c>
      <c r="F861" s="7">
        <v>386</v>
      </c>
      <c r="G861" s="8">
        <f t="shared" si="54"/>
        <v>0.96213362933685065</v>
      </c>
      <c r="H861" s="9">
        <f t="shared" si="55"/>
        <v>1.0510487272368991E-3</v>
      </c>
      <c r="I861" s="10">
        <f>SUM($H$3:H861)</f>
        <v>0.89547319236208955</v>
      </c>
      <c r="J861" s="23">
        <v>8.6999999999999994E-3</v>
      </c>
      <c r="Q861" s="7">
        <f t="shared" si="53"/>
        <v>9.9014835352661702E-5</v>
      </c>
      <c r="R861" s="7">
        <f t="shared" si="52"/>
        <v>1.0791864151269972E-3</v>
      </c>
    </row>
    <row r="862" spans="1:18" x14ac:dyDescent="0.25">
      <c r="A862" s="22">
        <v>45832</v>
      </c>
      <c r="B862" s="12">
        <v>281.43</v>
      </c>
      <c r="C862" s="13">
        <v>2E-3</v>
      </c>
      <c r="D862" s="7">
        <v>100</v>
      </c>
      <c r="E862" s="7">
        <v>8.8000000000000005E-3</v>
      </c>
      <c r="F862" s="7">
        <v>882</v>
      </c>
      <c r="G862" s="8">
        <f t="shared" si="54"/>
        <v>0.91557370490385659</v>
      </c>
      <c r="H862" s="9">
        <f t="shared" si="55"/>
        <v>1.0001859906861831E-3</v>
      </c>
      <c r="I862" s="10">
        <f>SUM($H$3:H862)</f>
        <v>0.89647337835277574</v>
      </c>
      <c r="J862" s="23">
        <v>8.8000000000000005E-3</v>
      </c>
      <c r="Q862" s="7">
        <f t="shared" si="53"/>
        <v>9.9024737826444343E-5</v>
      </c>
      <c r="R862" s="7">
        <f t="shared" si="52"/>
        <v>1.0792943445614533E-3</v>
      </c>
    </row>
    <row r="863" spans="1:18" x14ac:dyDescent="0.25">
      <c r="A863" s="22">
        <v>45833</v>
      </c>
      <c r="B863" s="12">
        <v>283.41000000000003</v>
      </c>
      <c r="C863" s="13">
        <v>7.0000000000000001E-3</v>
      </c>
      <c r="D863" s="7">
        <v>99</v>
      </c>
      <c r="E863" s="7">
        <v>8.8000000000000005E-3</v>
      </c>
      <c r="F863" s="7">
        <v>783</v>
      </c>
      <c r="G863" s="8">
        <f t="shared" si="54"/>
        <v>0.92468335845103578</v>
      </c>
      <c r="H863" s="9">
        <f t="shared" si="55"/>
        <v>1.0101375083074215E-3</v>
      </c>
      <c r="I863" s="10">
        <f>SUM($H$3:H863)</f>
        <v>0.89748351586108321</v>
      </c>
      <c r="J863" s="23">
        <v>8.8000000000000005E-3</v>
      </c>
      <c r="Q863" s="7">
        <f t="shared" si="53"/>
        <v>9.903464129057338E-5</v>
      </c>
      <c r="R863" s="7">
        <f t="shared" si="52"/>
        <v>1.0794022847899322E-3</v>
      </c>
    </row>
    <row r="864" spans="1:18" x14ac:dyDescent="0.25">
      <c r="A864" s="22">
        <v>45834</v>
      </c>
      <c r="B864" s="12">
        <v>286.39</v>
      </c>
      <c r="C864" s="13">
        <v>1.0500000000000001E-2</v>
      </c>
      <c r="D864" s="7">
        <v>98</v>
      </c>
      <c r="E864" s="7">
        <v>8.8000000000000005E-3</v>
      </c>
      <c r="F864" s="7">
        <v>510</v>
      </c>
      <c r="G864" s="8">
        <f t="shared" si="54"/>
        <v>0.95027624716336012</v>
      </c>
      <c r="H864" s="9">
        <f t="shared" si="55"/>
        <v>1.038095551023322E-3</v>
      </c>
      <c r="I864" s="10">
        <f>SUM($H$3:H864)</f>
        <v>0.89852161141210651</v>
      </c>
      <c r="J864" s="23">
        <v>8.8000000000000005E-3</v>
      </c>
      <c r="Q864" s="7">
        <f t="shared" si="53"/>
        <v>9.9044545745147894E-5</v>
      </c>
      <c r="R864" s="7">
        <f t="shared" si="52"/>
        <v>1.0795102358135136E-3</v>
      </c>
    </row>
    <row r="865" spans="1:18" x14ac:dyDescent="0.25">
      <c r="A865" s="22">
        <v>45835</v>
      </c>
      <c r="B865" s="12">
        <v>287.95999999999998</v>
      </c>
      <c r="C865" s="13">
        <v>5.4999999999999997E-3</v>
      </c>
      <c r="D865" s="7">
        <v>97</v>
      </c>
      <c r="E865" s="7">
        <v>8.8000000000000005E-3</v>
      </c>
      <c r="F865" s="7">
        <v>504</v>
      </c>
      <c r="G865" s="8">
        <f t="shared" si="54"/>
        <v>0.95084661252289715</v>
      </c>
      <c r="H865" s="9">
        <f t="shared" si="55"/>
        <v>1.0387186264121477E-3</v>
      </c>
      <c r="I865" s="10">
        <f>SUM($H$3:H865)</f>
        <v>0.89956033003851865</v>
      </c>
      <c r="J865" s="23">
        <v>8.8000000000000005E-3</v>
      </c>
      <c r="Q865" s="7">
        <f t="shared" si="53"/>
        <v>9.9054451190266928E-5</v>
      </c>
      <c r="R865" s="7">
        <f t="shared" si="52"/>
        <v>1.079618197633277E-3</v>
      </c>
    </row>
    <row r="866" spans="1:18" x14ac:dyDescent="0.25">
      <c r="A866" s="22">
        <v>45838</v>
      </c>
      <c r="B866" s="12">
        <v>286.51</v>
      </c>
      <c r="C866" s="13">
        <v>-5.0000000000000001E-3</v>
      </c>
      <c r="D866" s="7">
        <v>96</v>
      </c>
      <c r="E866" s="7">
        <v>8.8000000000000005E-3</v>
      </c>
      <c r="F866" s="7">
        <v>112</v>
      </c>
      <c r="G866" s="8">
        <f t="shared" si="54"/>
        <v>0.98886193269974565</v>
      </c>
      <c r="H866" s="9">
        <f t="shared" si="55"/>
        <v>1.0802471133801372E-3</v>
      </c>
      <c r="I866" s="10">
        <f>SUM($H$3:H866)</f>
        <v>0.90064057715189882</v>
      </c>
      <c r="J866" s="23">
        <v>8.8000000000000005E-3</v>
      </c>
      <c r="Q866" s="7">
        <f t="shared" si="53"/>
        <v>9.9064357626029538E-5</v>
      </c>
      <c r="R866" s="7">
        <f t="shared" si="52"/>
        <v>1.079726170250302E-3</v>
      </c>
    </row>
    <row r="867" spans="1:18" x14ac:dyDescent="0.25">
      <c r="A867" s="22">
        <v>45839</v>
      </c>
      <c r="B867" s="12">
        <v>286.83999999999997</v>
      </c>
      <c r="C867" s="13">
        <v>1.1999999999999999E-3</v>
      </c>
      <c r="D867" s="7">
        <v>95</v>
      </c>
      <c r="E867" s="7">
        <v>8.8999999999999999E-3</v>
      </c>
      <c r="F867" s="7">
        <v>631</v>
      </c>
      <c r="G867" s="8">
        <f t="shared" si="54"/>
        <v>0.93884662177308986</v>
      </c>
      <c r="H867" s="9">
        <f t="shared" si="55"/>
        <v>1.0256096625220355E-3</v>
      </c>
      <c r="I867" s="10">
        <f>SUM($H$3:H867)</f>
        <v>0.9016661868144209</v>
      </c>
      <c r="J867" s="23">
        <v>8.8999999999999999E-3</v>
      </c>
      <c r="Q867" s="7">
        <f t="shared" si="53"/>
        <v>9.9074265052534778E-5</v>
      </c>
      <c r="R867" s="7">
        <f t="shared" si="52"/>
        <v>1.0798341536656685E-3</v>
      </c>
    </row>
    <row r="868" spans="1:18" x14ac:dyDescent="0.25">
      <c r="A868" s="22">
        <v>45840</v>
      </c>
      <c r="B868" s="12">
        <v>285.77999999999997</v>
      </c>
      <c r="C868" s="13">
        <v>-3.7000000000000002E-3</v>
      </c>
      <c r="D868" s="7">
        <v>94</v>
      </c>
      <c r="E868" s="7">
        <v>8.8999999999999999E-3</v>
      </c>
      <c r="F868" s="7">
        <v>445</v>
      </c>
      <c r="G868" s="8">
        <f t="shared" si="54"/>
        <v>0.95647347179590148</v>
      </c>
      <c r="H868" s="9">
        <f t="shared" si="55"/>
        <v>1.0448654890691663E-3</v>
      </c>
      <c r="I868" s="10">
        <f>SUM($H$3:H868)</f>
        <v>0.90271105230349002</v>
      </c>
      <c r="J868" s="23">
        <v>8.8999999999999999E-3</v>
      </c>
      <c r="Q868" s="7">
        <f t="shared" si="53"/>
        <v>9.9084173469881758E-5</v>
      </c>
      <c r="R868" s="7">
        <f t="shared" si="52"/>
        <v>1.0799421478804563E-3</v>
      </c>
    </row>
    <row r="869" spans="1:18" x14ac:dyDescent="0.25">
      <c r="A869" s="22">
        <v>45841</v>
      </c>
      <c r="B869" s="12">
        <v>285.39</v>
      </c>
      <c r="C869" s="13">
        <v>-1.4E-3</v>
      </c>
      <c r="D869" s="7">
        <v>93</v>
      </c>
      <c r="E869" s="7">
        <v>8.8999999999999999E-3</v>
      </c>
      <c r="F869" s="7">
        <v>122</v>
      </c>
      <c r="G869" s="8">
        <f t="shared" si="54"/>
        <v>0.98787351563627324</v>
      </c>
      <c r="H869" s="9">
        <f t="shared" si="55"/>
        <v>1.0791673522483516E-3</v>
      </c>
      <c r="I869" s="10">
        <f>SUM($H$3:H869)</f>
        <v>0.90379021965573836</v>
      </c>
      <c r="J869" s="23">
        <v>8.8999999999999999E-3</v>
      </c>
      <c r="Q869" s="7">
        <f t="shared" si="53"/>
        <v>9.9094082878169575E-5</v>
      </c>
      <c r="R869" s="7">
        <f t="shared" si="52"/>
        <v>1.0800501528957459E-3</v>
      </c>
    </row>
    <row r="870" spans="1:18" x14ac:dyDescent="0.25">
      <c r="A870" s="22">
        <v>45842</v>
      </c>
      <c r="B870" s="12">
        <v>286.11</v>
      </c>
      <c r="C870" s="13">
        <v>2.5000000000000001E-3</v>
      </c>
      <c r="D870" s="7">
        <v>92</v>
      </c>
      <c r="E870" s="7">
        <v>8.9999999999999993E-3</v>
      </c>
      <c r="F870" s="7">
        <v>901</v>
      </c>
      <c r="G870" s="8">
        <f t="shared" si="54"/>
        <v>0.91383567960873879</v>
      </c>
      <c r="H870" s="9">
        <f t="shared" si="55"/>
        <v>9.9828734665313094E-4</v>
      </c>
      <c r="I870" s="10">
        <f>SUM($H$3:H870)</f>
        <v>0.90478850700239144</v>
      </c>
      <c r="J870" s="23">
        <v>8.9999999999999993E-3</v>
      </c>
      <c r="Q870" s="7">
        <f t="shared" si="53"/>
        <v>9.9103993277497324E-5</v>
      </c>
      <c r="R870" s="7">
        <f t="shared" si="52"/>
        <v>1.0801581687126173E-3</v>
      </c>
    </row>
    <row r="871" spans="1:18" x14ac:dyDescent="0.25">
      <c r="A871" s="22">
        <v>45845</v>
      </c>
      <c r="B871" s="12">
        <v>286.07</v>
      </c>
      <c r="C871" s="13">
        <v>-1E-4</v>
      </c>
      <c r="D871" s="7">
        <v>91</v>
      </c>
      <c r="E871" s="7">
        <v>8.9999999999999993E-3</v>
      </c>
      <c r="F871" s="7">
        <v>541</v>
      </c>
      <c r="G871" s="8">
        <f t="shared" si="54"/>
        <v>0.94733480531320036</v>
      </c>
      <c r="H871" s="9">
        <f t="shared" si="55"/>
        <v>1.0348822772964878E-3</v>
      </c>
      <c r="I871" s="10">
        <f>SUM($H$3:H871)</f>
        <v>0.90582338927968797</v>
      </c>
      <c r="J871" s="23">
        <v>8.9999999999999993E-3</v>
      </c>
      <c r="Q871" s="7">
        <f t="shared" si="53"/>
        <v>9.9113904667964115E-5</v>
      </c>
      <c r="R871" s="7">
        <f t="shared" si="52"/>
        <v>1.0802661953321505E-3</v>
      </c>
    </row>
    <row r="872" spans="1:18" x14ac:dyDescent="0.25">
      <c r="A872" s="22">
        <v>45846</v>
      </c>
      <c r="B872" s="12">
        <v>286.91000000000003</v>
      </c>
      <c r="C872" s="13">
        <v>2.8999999999999998E-3</v>
      </c>
      <c r="D872" s="7">
        <v>90</v>
      </c>
      <c r="E872" s="7">
        <v>9.1000000000000004E-3</v>
      </c>
      <c r="F872" s="7">
        <v>959</v>
      </c>
      <c r="G872" s="8">
        <f t="shared" si="54"/>
        <v>0.90855051021220923</v>
      </c>
      <c r="H872" s="9">
        <f t="shared" si="55"/>
        <v>9.9251375097153885E-4</v>
      </c>
      <c r="I872" s="10">
        <f>SUM($H$3:H872)</f>
        <v>0.90681590303065951</v>
      </c>
      <c r="J872" s="23">
        <v>9.1000000000000004E-3</v>
      </c>
      <c r="Q872" s="7">
        <f t="shared" si="53"/>
        <v>9.9123817049669085E-5</v>
      </c>
      <c r="R872" s="7">
        <f t="shared" si="52"/>
        <v>1.0803742327554259E-3</v>
      </c>
    </row>
    <row r="873" spans="1:18" x14ac:dyDescent="0.25">
      <c r="A873" s="22">
        <v>45847</v>
      </c>
      <c r="B873" s="12">
        <v>286.5</v>
      </c>
      <c r="C873" s="13">
        <v>-1.4E-3</v>
      </c>
      <c r="D873" s="7">
        <v>89</v>
      </c>
      <c r="E873" s="7">
        <v>9.1000000000000004E-3</v>
      </c>
      <c r="F873" s="7">
        <v>236</v>
      </c>
      <c r="G873" s="8">
        <f t="shared" si="54"/>
        <v>0.97667514960089574</v>
      </c>
      <c r="H873" s="9">
        <f t="shared" si="55"/>
        <v>1.0669340948195171E-3</v>
      </c>
      <c r="I873" s="10">
        <f>SUM($H$3:H873)</f>
        <v>0.90788283712547901</v>
      </c>
      <c r="J873" s="23">
        <v>9.1000000000000004E-3</v>
      </c>
      <c r="Q873" s="7">
        <f t="shared" si="53"/>
        <v>9.9133730422711343E-5</v>
      </c>
      <c r="R873" s="7">
        <f t="shared" si="52"/>
        <v>1.0804822809835242E-3</v>
      </c>
    </row>
    <row r="874" spans="1:18" x14ac:dyDescent="0.25">
      <c r="A874" s="22">
        <v>45848</v>
      </c>
      <c r="B874" s="12">
        <v>285.16000000000003</v>
      </c>
      <c r="C874" s="13">
        <v>-4.7000000000000002E-3</v>
      </c>
      <c r="D874" s="7">
        <v>88</v>
      </c>
      <c r="E874" s="7">
        <v>9.1000000000000004E-3</v>
      </c>
      <c r="F874" s="7">
        <v>172</v>
      </c>
      <c r="G874" s="8">
        <f t="shared" si="54"/>
        <v>0.98294623016906857</v>
      </c>
      <c r="H874" s="9">
        <f t="shared" si="55"/>
        <v>1.0737847141603265E-3</v>
      </c>
      <c r="I874" s="10">
        <f>SUM($H$3:H874)</f>
        <v>0.90895662183963932</v>
      </c>
      <c r="J874" s="23">
        <v>9.1000000000000004E-3</v>
      </c>
      <c r="Q874" s="7">
        <f t="shared" si="53"/>
        <v>9.9143644787190067E-5</v>
      </c>
      <c r="R874" s="7">
        <f t="shared" si="52"/>
        <v>1.080590340017526E-3</v>
      </c>
    </row>
    <row r="875" spans="1:18" x14ac:dyDescent="0.25">
      <c r="A875" s="22">
        <v>45849</v>
      </c>
      <c r="B875" s="12">
        <v>283.11</v>
      </c>
      <c r="C875" s="13">
        <v>-7.1999999999999998E-3</v>
      </c>
      <c r="D875" s="7">
        <v>87</v>
      </c>
      <c r="E875" s="7">
        <v>9.1999999999999998E-3</v>
      </c>
      <c r="F875" s="7">
        <v>21</v>
      </c>
      <c r="G875" s="8">
        <f t="shared" si="54"/>
        <v>0.99790209867059887</v>
      </c>
      <c r="H875" s="9">
        <f t="shared" si="55"/>
        <v>1.0901227217654556E-3</v>
      </c>
      <c r="I875" s="10">
        <f>SUM($H$3:H875)</f>
        <v>0.91004674456140477</v>
      </c>
      <c r="J875" s="23">
        <v>9.1999999999999998E-3</v>
      </c>
      <c r="Q875" s="7">
        <f t="shared" si="53"/>
        <v>9.9153560143204394E-5</v>
      </c>
      <c r="R875" s="7">
        <f t="shared" si="52"/>
        <v>1.0806984098585119E-3</v>
      </c>
    </row>
    <row r="876" spans="1:18" x14ac:dyDescent="0.25">
      <c r="A876" s="22">
        <v>45852</v>
      </c>
      <c r="B876" s="12">
        <v>282.70999999999998</v>
      </c>
      <c r="C876" s="13">
        <v>-1.4E-3</v>
      </c>
      <c r="D876" s="7">
        <v>86</v>
      </c>
      <c r="E876" s="7">
        <v>9.2999999999999992E-3</v>
      </c>
      <c r="F876" s="7">
        <v>824</v>
      </c>
      <c r="G876" s="8">
        <f t="shared" si="54"/>
        <v>0.92089972923715946</v>
      </c>
      <c r="H876" s="9">
        <f t="shared" si="55"/>
        <v>1.0060042168930864E-3</v>
      </c>
      <c r="I876" s="10">
        <f>SUM($H$3:H876)</f>
        <v>0.91105274877829789</v>
      </c>
      <c r="J876" s="23">
        <v>9.2999999999999992E-3</v>
      </c>
      <c r="Q876" s="7">
        <f t="shared" si="53"/>
        <v>9.9163476490853473E-5</v>
      </c>
      <c r="R876" s="7">
        <f t="shared" si="52"/>
        <v>1.0808064905075626E-3</v>
      </c>
    </row>
    <row r="877" spans="1:18" x14ac:dyDescent="0.25">
      <c r="A877" s="22">
        <v>45853</v>
      </c>
      <c r="B877" s="12">
        <v>283.69</v>
      </c>
      <c r="C877" s="13">
        <v>3.5000000000000001E-3</v>
      </c>
      <c r="D877" s="7">
        <v>85</v>
      </c>
      <c r="E877" s="7">
        <v>9.4000000000000004E-3</v>
      </c>
      <c r="F877" s="7">
        <v>819</v>
      </c>
      <c r="G877" s="8">
        <f t="shared" si="54"/>
        <v>0.92136031726897527</v>
      </c>
      <c r="H877" s="9">
        <f t="shared" si="55"/>
        <v>1.0065073699373826E-3</v>
      </c>
      <c r="I877" s="10">
        <f>SUM($H$3:H877)</f>
        <v>0.91205925614823524</v>
      </c>
      <c r="J877" s="23">
        <v>9.4000000000000004E-3</v>
      </c>
      <c r="Q877" s="7">
        <f t="shared" si="53"/>
        <v>9.9173393830236496E-5</v>
      </c>
      <c r="R877" s="7">
        <f t="shared" si="52"/>
        <v>1.0809145819657591E-3</v>
      </c>
    </row>
    <row r="878" spans="1:18" x14ac:dyDescent="0.25">
      <c r="A878" s="22">
        <v>45854</v>
      </c>
      <c r="B878" s="12">
        <v>283.64</v>
      </c>
      <c r="C878" s="13">
        <v>-2.0000000000000001E-4</v>
      </c>
      <c r="D878" s="7">
        <v>84</v>
      </c>
      <c r="E878" s="7">
        <v>9.4000000000000004E-3</v>
      </c>
      <c r="F878" s="7">
        <v>106</v>
      </c>
      <c r="G878" s="8">
        <f t="shared" si="54"/>
        <v>0.98945545757575992</v>
      </c>
      <c r="H878" s="9">
        <f t="shared" si="55"/>
        <v>1.0808954885605665E-3</v>
      </c>
      <c r="I878" s="10">
        <f>SUM($H$3:H878)</f>
        <v>0.91314015163679585</v>
      </c>
      <c r="J878" s="23">
        <v>9.4000000000000004E-3</v>
      </c>
      <c r="Q878" s="7">
        <f t="shared" si="53"/>
        <v>9.9183312161452627E-5</v>
      </c>
      <c r="R878" s="7">
        <f t="shared" si="52"/>
        <v>1.0810226842341824E-3</v>
      </c>
    </row>
    <row r="879" spans="1:18" x14ac:dyDescent="0.25">
      <c r="A879" s="22">
        <v>45855</v>
      </c>
      <c r="B879" s="12">
        <v>282.83</v>
      </c>
      <c r="C879" s="13">
        <v>-2.8999999999999998E-3</v>
      </c>
      <c r="D879" s="7">
        <v>83</v>
      </c>
      <c r="E879" s="7">
        <v>9.4999999999999998E-3</v>
      </c>
      <c r="F879" s="7">
        <v>629</v>
      </c>
      <c r="G879" s="8">
        <f t="shared" si="54"/>
        <v>0.93903441926659903</v>
      </c>
      <c r="H879" s="9">
        <f t="shared" si="55"/>
        <v>1.0258148152269327E-3</v>
      </c>
      <c r="I879" s="10">
        <f>SUM($H$3:H879)</f>
        <v>0.91416596645202275</v>
      </c>
      <c r="J879" s="23">
        <v>9.4999999999999998E-3</v>
      </c>
      <c r="Q879" s="7">
        <f t="shared" si="53"/>
        <v>9.9193231484601084E-5</v>
      </c>
      <c r="R879" s="7">
        <f t="shared" si="52"/>
        <v>1.0811307973139137E-3</v>
      </c>
    </row>
    <row r="880" spans="1:18" x14ac:dyDescent="0.25">
      <c r="A880" s="22">
        <v>45856</v>
      </c>
      <c r="B880" s="12">
        <v>281.43</v>
      </c>
      <c r="C880" s="13">
        <v>-4.8999999999999998E-3</v>
      </c>
      <c r="D880" s="7">
        <v>82</v>
      </c>
      <c r="E880" s="7">
        <v>9.5999999999999992E-3</v>
      </c>
      <c r="F880" s="7">
        <v>766</v>
      </c>
      <c r="G880" s="8">
        <f t="shared" si="54"/>
        <v>0.92625673582240708</v>
      </c>
      <c r="H880" s="9">
        <f t="shared" si="55"/>
        <v>1.0118562885612443E-3</v>
      </c>
      <c r="I880" s="10">
        <f>SUM($H$3:H880)</f>
        <v>0.91517782274058401</v>
      </c>
      <c r="J880" s="23">
        <v>9.5999999999999992E-3</v>
      </c>
      <c r="Q880" s="7">
        <f t="shared" si="53"/>
        <v>9.9203151799781057E-5</v>
      </c>
      <c r="R880" s="7">
        <f t="shared" si="52"/>
        <v>1.0812389212060344E-3</v>
      </c>
    </row>
    <row r="881" spans="1:18" x14ac:dyDescent="0.25">
      <c r="A881" s="22">
        <v>45859</v>
      </c>
      <c r="B881" s="12">
        <v>282.26</v>
      </c>
      <c r="C881" s="13">
        <v>2.8999999999999998E-3</v>
      </c>
      <c r="D881" s="7">
        <v>81</v>
      </c>
      <c r="E881" s="7">
        <v>9.5999999999999992E-3</v>
      </c>
      <c r="F881" s="7">
        <v>764</v>
      </c>
      <c r="G881" s="8">
        <f t="shared" si="54"/>
        <v>0.92644201496097878</v>
      </c>
      <c r="H881" s="9">
        <f t="shared" si="55"/>
        <v>1.0120586901786928E-3</v>
      </c>
      <c r="I881" s="10">
        <f>SUM($H$3:H881)</f>
        <v>0.91618988143076274</v>
      </c>
      <c r="J881" s="23">
        <v>9.5999999999999992E-3</v>
      </c>
      <c r="Q881" s="7">
        <f t="shared" si="53"/>
        <v>9.9213073107091778E-5</v>
      </c>
      <c r="R881" s="7">
        <f t="shared" si="52"/>
        <v>1.0813470559116257E-3</v>
      </c>
    </row>
    <row r="882" spans="1:18" x14ac:dyDescent="0.25">
      <c r="A882" s="22">
        <v>45860</v>
      </c>
      <c r="B882" s="12">
        <v>282.07</v>
      </c>
      <c r="C882" s="13">
        <v>-6.9999999999999999E-4</v>
      </c>
      <c r="D882" s="7">
        <v>80</v>
      </c>
      <c r="E882" s="7">
        <v>9.5999999999999992E-3</v>
      </c>
      <c r="F882" s="7">
        <v>488</v>
      </c>
      <c r="G882" s="8">
        <f t="shared" si="54"/>
        <v>0.95236926103058606</v>
      </c>
      <c r="H882" s="9">
        <f t="shared" si="55"/>
        <v>1.040381989719736E-3</v>
      </c>
      <c r="I882" s="10">
        <f>SUM($H$3:H882)</f>
        <v>0.91723026342048253</v>
      </c>
      <c r="J882" s="23">
        <v>9.5999999999999992E-3</v>
      </c>
      <c r="Q882" s="7">
        <f t="shared" si="53"/>
        <v>9.9222995406632439E-5</v>
      </c>
      <c r="R882" s="7">
        <f t="shared" si="52"/>
        <v>1.0814552014317689E-3</v>
      </c>
    </row>
    <row r="883" spans="1:18" x14ac:dyDescent="0.25">
      <c r="A883" s="22">
        <v>45861</v>
      </c>
      <c r="B883" s="12">
        <v>283.52999999999997</v>
      </c>
      <c r="C883" s="13">
        <v>5.1999999999999998E-3</v>
      </c>
      <c r="D883" s="7">
        <v>79</v>
      </c>
      <c r="E883" s="7">
        <v>9.7000000000000003E-3</v>
      </c>
      <c r="F883" s="7">
        <v>843</v>
      </c>
      <c r="G883" s="8">
        <f t="shared" si="54"/>
        <v>0.91915159359815146</v>
      </c>
      <c r="H883" s="9">
        <f t="shared" si="55"/>
        <v>1.0040945281737728E-3</v>
      </c>
      <c r="I883" s="10">
        <f>SUM($H$3:H883)</f>
        <v>0.91823435794865627</v>
      </c>
      <c r="J883" s="23">
        <v>9.7000000000000003E-3</v>
      </c>
      <c r="Q883" s="7">
        <f t="shared" si="53"/>
        <v>9.9232918698502284E-5</v>
      </c>
      <c r="R883" s="7">
        <f t="shared" si="52"/>
        <v>1.0815633577675454E-3</v>
      </c>
    </row>
    <row r="884" spans="1:18" x14ac:dyDescent="0.25">
      <c r="A884" s="22">
        <v>45862</v>
      </c>
      <c r="B884" s="12">
        <v>282.10000000000002</v>
      </c>
      <c r="C884" s="13">
        <v>-5.0000000000000001E-3</v>
      </c>
      <c r="D884" s="7">
        <v>78</v>
      </c>
      <c r="E884" s="7">
        <v>9.7000000000000003E-3</v>
      </c>
      <c r="F884" s="7">
        <v>456</v>
      </c>
      <c r="G884" s="8">
        <f t="shared" si="54"/>
        <v>0.95542187687954927</v>
      </c>
      <c r="H884" s="9">
        <f t="shared" si="55"/>
        <v>1.0437167115348413E-3</v>
      </c>
      <c r="I884" s="10">
        <f>SUM($H$3:H884)</f>
        <v>0.91927807466019107</v>
      </c>
      <c r="J884" s="23">
        <v>9.7000000000000003E-3</v>
      </c>
      <c r="Q884" s="7">
        <f t="shared" si="53"/>
        <v>9.9242842982800558E-5</v>
      </c>
      <c r="R884" s="7">
        <f t="shared" si="52"/>
        <v>1.0816715249200373E-3</v>
      </c>
    </row>
    <row r="885" spans="1:18" x14ac:dyDescent="0.25">
      <c r="A885" s="22">
        <v>45863</v>
      </c>
      <c r="B885" s="12">
        <v>280.02999999999997</v>
      </c>
      <c r="C885" s="13">
        <v>-7.3000000000000001E-3</v>
      </c>
      <c r="D885" s="7">
        <v>77</v>
      </c>
      <c r="E885" s="7">
        <v>0.01</v>
      </c>
      <c r="F885" s="7">
        <v>955</v>
      </c>
      <c r="G885" s="8">
        <f t="shared" si="54"/>
        <v>0.90891402128951915</v>
      </c>
      <c r="H885" s="9">
        <f t="shared" si="55"/>
        <v>9.9291085574315608E-4</v>
      </c>
      <c r="I885" s="10">
        <f>SUM($H$3:H885)</f>
        <v>0.92027098551593423</v>
      </c>
      <c r="J885" s="23">
        <v>0.01</v>
      </c>
      <c r="Q885" s="7">
        <f t="shared" si="53"/>
        <v>9.9252768259626534E-5</v>
      </c>
      <c r="R885" s="7">
        <f t="shared" si="52"/>
        <v>1.0817797028903266E-3</v>
      </c>
    </row>
    <row r="886" spans="1:18" x14ac:dyDescent="0.25">
      <c r="A886" s="22">
        <v>45866</v>
      </c>
      <c r="B886" s="12">
        <v>278.49</v>
      </c>
      <c r="C886" s="13">
        <v>-5.4999999999999997E-3</v>
      </c>
      <c r="D886" s="7">
        <v>76</v>
      </c>
      <c r="E886" s="7">
        <v>0.01</v>
      </c>
      <c r="F886" s="7">
        <v>409</v>
      </c>
      <c r="G886" s="8">
        <f t="shared" si="54"/>
        <v>0.9599231544843716</v>
      </c>
      <c r="H886" s="9">
        <f t="shared" si="55"/>
        <v>1.0486339724570578E-3</v>
      </c>
      <c r="I886" s="10">
        <f>SUM($H$3:H886)</f>
        <v>0.92131961948839125</v>
      </c>
      <c r="J886" s="23">
        <v>0.01</v>
      </c>
      <c r="Q886" s="7">
        <f t="shared" si="53"/>
        <v>9.926269452907943E-5</v>
      </c>
      <c r="R886" s="7">
        <f t="shared" si="52"/>
        <v>1.0818878916794945E-3</v>
      </c>
    </row>
    <row r="887" spans="1:18" x14ac:dyDescent="0.25">
      <c r="A887" s="22">
        <v>45867</v>
      </c>
      <c r="B887" s="12">
        <v>280.08999999999997</v>
      </c>
      <c r="C887" s="13">
        <v>5.7000000000000002E-3</v>
      </c>
      <c r="D887" s="7">
        <v>75</v>
      </c>
      <c r="E887" s="7">
        <v>1.0200000000000001E-2</v>
      </c>
      <c r="F887" s="7">
        <v>163</v>
      </c>
      <c r="G887" s="8">
        <f t="shared" si="54"/>
        <v>0.9838313242642589</v>
      </c>
      <c r="H887" s="9">
        <f t="shared" si="55"/>
        <v>1.0747516037834196E-3</v>
      </c>
      <c r="I887" s="10">
        <f>SUM($H$3:H887)</f>
        <v>0.9223943710921747</v>
      </c>
      <c r="J887" s="23">
        <v>1.0200000000000001E-2</v>
      </c>
      <c r="Q887" s="7">
        <f t="shared" si="53"/>
        <v>9.9272621791258545E-5</v>
      </c>
      <c r="R887" s="7">
        <f t="shared" si="52"/>
        <v>1.0819960912886231E-3</v>
      </c>
    </row>
    <row r="888" spans="1:18" x14ac:dyDescent="0.25">
      <c r="A888" s="22">
        <v>45868</v>
      </c>
      <c r="B888" s="12">
        <v>280.13</v>
      </c>
      <c r="C888" s="13">
        <v>1E-4</v>
      </c>
      <c r="D888" s="7">
        <v>74</v>
      </c>
      <c r="E888" s="7">
        <v>1.0200000000000001E-2</v>
      </c>
      <c r="F888" s="7">
        <v>62</v>
      </c>
      <c r="G888" s="8">
        <f t="shared" si="54"/>
        <v>0.99381887223572152</v>
      </c>
      <c r="H888" s="9">
        <f t="shared" si="55"/>
        <v>1.08566214600286E-3</v>
      </c>
      <c r="I888" s="10">
        <f>SUM($H$3:H888)</f>
        <v>0.92348003323817751</v>
      </c>
      <c r="J888" s="23">
        <v>1.0200000000000001E-2</v>
      </c>
      <c r="Q888" s="7">
        <f t="shared" si="53"/>
        <v>9.9282550046263178E-5</v>
      </c>
      <c r="R888" s="7">
        <f t="shared" si="52"/>
        <v>1.0821043017187951E-3</v>
      </c>
    </row>
    <row r="889" spans="1:18" x14ac:dyDescent="0.25">
      <c r="A889" s="22">
        <v>45869</v>
      </c>
      <c r="B889" s="12">
        <v>279.26</v>
      </c>
      <c r="C889" s="13">
        <v>-3.0999999999999999E-3</v>
      </c>
      <c r="D889" s="7">
        <v>73</v>
      </c>
      <c r="E889" s="7">
        <v>1.03E-2</v>
      </c>
      <c r="F889" s="7">
        <v>449</v>
      </c>
      <c r="G889" s="8">
        <f t="shared" si="54"/>
        <v>0.95609093979176574</v>
      </c>
      <c r="H889" s="9">
        <f t="shared" si="55"/>
        <v>1.0444476055612888E-3</v>
      </c>
      <c r="I889" s="10">
        <f>SUM($H$3:H889)</f>
        <v>0.92452448084373884</v>
      </c>
      <c r="J889" s="23">
        <v>1.03E-2</v>
      </c>
      <c r="Q889" s="7">
        <f t="shared" si="53"/>
        <v>9.9292479294192589E-5</v>
      </c>
      <c r="R889" s="7">
        <f t="shared" si="52"/>
        <v>1.0822125229710921E-3</v>
      </c>
    </row>
    <row r="890" spans="1:18" x14ac:dyDescent="0.25">
      <c r="A890" s="22">
        <v>45870</v>
      </c>
      <c r="B890" s="12">
        <v>277.35000000000002</v>
      </c>
      <c r="C890" s="13">
        <v>-6.7999999999999996E-3</v>
      </c>
      <c r="D890" s="7">
        <v>72</v>
      </c>
      <c r="E890" s="7">
        <v>1.0500000000000001E-2</v>
      </c>
      <c r="F890" s="7">
        <v>98</v>
      </c>
      <c r="G890" s="8">
        <f t="shared" si="54"/>
        <v>0.99024737826455245</v>
      </c>
      <c r="H890" s="9">
        <f t="shared" si="55"/>
        <v>1.0817605942035338E-3</v>
      </c>
      <c r="I890" s="10">
        <f>SUM($H$3:H890)</f>
        <v>0.92560624143794235</v>
      </c>
      <c r="J890" s="23">
        <v>1.0500000000000001E-2</v>
      </c>
      <c r="Q890" s="7">
        <f t="shared" si="53"/>
        <v>9.9302409535146103E-5</v>
      </c>
      <c r="R890" s="7">
        <f t="shared" si="52"/>
        <v>1.0823207550465968E-3</v>
      </c>
    </row>
    <row r="891" spans="1:18" x14ac:dyDescent="0.25">
      <c r="A891" s="22">
        <v>45873</v>
      </c>
      <c r="B891" s="12">
        <v>278.85000000000002</v>
      </c>
      <c r="C891" s="13">
        <v>5.4000000000000003E-3</v>
      </c>
      <c r="D891" s="7">
        <v>71</v>
      </c>
      <c r="E891" s="7">
        <v>1.06E-2</v>
      </c>
      <c r="F891" s="7">
        <v>907</v>
      </c>
      <c r="G891" s="8">
        <f t="shared" si="54"/>
        <v>0.91328751525805041</v>
      </c>
      <c r="H891" s="9">
        <f t="shared" si="55"/>
        <v>9.9768852396827723E-4</v>
      </c>
      <c r="I891" s="10">
        <f>SUM($H$3:H891)</f>
        <v>0.92660392996191066</v>
      </c>
      <c r="J891" s="23">
        <v>1.06E-2</v>
      </c>
      <c r="Q891" s="7">
        <f t="shared" si="53"/>
        <v>9.9312340769223021E-5</v>
      </c>
      <c r="R891" s="7">
        <f t="shared" si="52"/>
        <v>1.0824289979463914E-3</v>
      </c>
    </row>
    <row r="892" spans="1:18" x14ac:dyDescent="0.25">
      <c r="A892" s="22">
        <v>45874</v>
      </c>
      <c r="B892" s="12">
        <v>278.14</v>
      </c>
      <c r="C892" s="13">
        <v>-2.5000000000000001E-3</v>
      </c>
      <c r="D892" s="7">
        <v>70</v>
      </c>
      <c r="E892" s="7">
        <v>1.0699999999999999E-2</v>
      </c>
      <c r="F892" s="7">
        <v>717</v>
      </c>
      <c r="G892" s="8">
        <f t="shared" si="54"/>
        <v>0.9308067597873485</v>
      </c>
      <c r="H892" s="9">
        <f t="shared" si="55"/>
        <v>1.0168268007140575E-3</v>
      </c>
      <c r="I892" s="10">
        <f>SUM($H$3:H892)</f>
        <v>0.92762075676262468</v>
      </c>
      <c r="J892" s="23">
        <v>1.0699999999999999E-2</v>
      </c>
      <c r="Q892" s="7">
        <f t="shared" si="53"/>
        <v>9.9322272996522668E-5</v>
      </c>
      <c r="R892" s="7">
        <f t="shared" si="52"/>
        <v>1.0825372516715585E-3</v>
      </c>
    </row>
    <row r="893" spans="1:18" x14ac:dyDescent="0.25">
      <c r="A893" s="22">
        <v>45875</v>
      </c>
      <c r="B893" s="12">
        <v>277.31</v>
      </c>
      <c r="C893" s="13">
        <v>-3.0000000000000001E-3</v>
      </c>
      <c r="D893" s="7">
        <v>69</v>
      </c>
      <c r="E893" s="7">
        <v>1.0699999999999999E-2</v>
      </c>
      <c r="F893" s="7">
        <v>615</v>
      </c>
      <c r="G893" s="8">
        <f t="shared" si="54"/>
        <v>0.94035005396579496</v>
      </c>
      <c r="H893" s="9">
        <f t="shared" si="55"/>
        <v>1.0272520336485065E-3</v>
      </c>
      <c r="I893" s="10">
        <f>SUM($H$3:H893)</f>
        <v>0.92864800879627318</v>
      </c>
      <c r="J893" s="23">
        <v>1.0699999999999999E-2</v>
      </c>
      <c r="Q893" s="7">
        <f t="shared" si="53"/>
        <v>9.9332206217144384E-5</v>
      </c>
      <c r="R893" s="7">
        <f t="shared" si="52"/>
        <v>1.0826455162231809E-3</v>
      </c>
    </row>
    <row r="894" spans="1:18" x14ac:dyDescent="0.25">
      <c r="A894" s="22">
        <v>45876</v>
      </c>
      <c r="B894" s="12">
        <v>277.29000000000002</v>
      </c>
      <c r="C894" s="13">
        <v>-1E-4</v>
      </c>
      <c r="D894" s="7">
        <v>68</v>
      </c>
      <c r="E894" s="7">
        <v>1.0699999999999999E-2</v>
      </c>
      <c r="F894" s="7">
        <v>196</v>
      </c>
      <c r="G894" s="8">
        <f t="shared" si="54"/>
        <v>0.98058987015981958</v>
      </c>
      <c r="H894" s="9">
        <f t="shared" si="55"/>
        <v>1.0712105923199537E-3</v>
      </c>
      <c r="I894" s="10">
        <f>SUM($H$3:H894)</f>
        <v>0.92971921938859314</v>
      </c>
      <c r="J894" s="23">
        <v>1.0699999999999999E-2</v>
      </c>
      <c r="Q894" s="7">
        <f t="shared" si="53"/>
        <v>9.9342140431187497E-5</v>
      </c>
      <c r="R894" s="7">
        <f t="shared" si="52"/>
        <v>1.0827537916023411E-3</v>
      </c>
    </row>
    <row r="895" spans="1:18" x14ac:dyDescent="0.25">
      <c r="A895" s="22">
        <v>45877</v>
      </c>
      <c r="B895" s="12">
        <v>275.14</v>
      </c>
      <c r="C895" s="13">
        <v>-7.7999999999999996E-3</v>
      </c>
      <c r="D895" s="7">
        <v>67</v>
      </c>
      <c r="E895" s="7">
        <v>1.0800000000000001E-2</v>
      </c>
      <c r="F895" s="7">
        <v>31</v>
      </c>
      <c r="G895" s="8">
        <f t="shared" si="54"/>
        <v>0.99690464550814561</v>
      </c>
      <c r="H895" s="9">
        <f t="shared" si="55"/>
        <v>1.0890330894681233E-3</v>
      </c>
      <c r="I895" s="10">
        <f>SUM($H$3:H895)</f>
        <v>0.93080825247806132</v>
      </c>
      <c r="J895" s="23">
        <v>1.0800000000000001E-2</v>
      </c>
      <c r="Q895" s="7">
        <f t="shared" si="53"/>
        <v>9.9352075638751373E-5</v>
      </c>
      <c r="R895" s="7">
        <f t="shared" si="52"/>
        <v>1.082862077810122E-3</v>
      </c>
    </row>
    <row r="896" spans="1:18" x14ac:dyDescent="0.25">
      <c r="A896" s="22">
        <v>45880</v>
      </c>
      <c r="B896" s="12">
        <v>277.29000000000002</v>
      </c>
      <c r="C896" s="13">
        <v>7.7999999999999996E-3</v>
      </c>
      <c r="D896" s="7">
        <v>66</v>
      </c>
      <c r="E896" s="7">
        <v>1.0999999999999999E-2</v>
      </c>
      <c r="F896" s="7">
        <v>940</v>
      </c>
      <c r="G896" s="8">
        <f t="shared" si="54"/>
        <v>0.91027848363661845</v>
      </c>
      <c r="H896" s="9">
        <f t="shared" si="55"/>
        <v>9.9440141419528073E-4</v>
      </c>
      <c r="I896" s="10">
        <f>SUM($H$3:H896)</f>
        <v>0.93180265389225658</v>
      </c>
      <c r="J896" s="23">
        <v>1.0999999999999999E-2</v>
      </c>
      <c r="Q896" s="7">
        <f t="shared" si="53"/>
        <v>9.9362011839935365E-5</v>
      </c>
      <c r="R896" s="7">
        <f t="shared" si="52"/>
        <v>1.0829703748476067E-3</v>
      </c>
    </row>
    <row r="897" spans="1:18" x14ac:dyDescent="0.25">
      <c r="A897" s="22">
        <v>45881</v>
      </c>
      <c r="B897" s="12">
        <v>276.54000000000002</v>
      </c>
      <c r="C897" s="13">
        <v>-2.7000000000000001E-3</v>
      </c>
      <c r="D897" s="7">
        <v>65</v>
      </c>
      <c r="E897" s="7">
        <v>1.11E-2</v>
      </c>
      <c r="F897" s="7">
        <v>739</v>
      </c>
      <c r="G897" s="8">
        <f t="shared" si="54"/>
        <v>0.92876113364667034</v>
      </c>
      <c r="H897" s="9">
        <f t="shared" si="55"/>
        <v>1.0145921290572273E-3</v>
      </c>
      <c r="I897" s="10">
        <f>SUM($H$3:H897)</f>
        <v>0.93281724602131377</v>
      </c>
      <c r="J897" s="23">
        <v>1.11E-2</v>
      </c>
      <c r="Q897" s="7">
        <f t="shared" si="53"/>
        <v>9.9371949034838855E-5</v>
      </c>
      <c r="R897" s="7">
        <f t="shared" si="52"/>
        <v>1.0830786827158783E-3</v>
      </c>
    </row>
    <row r="898" spans="1:18" x14ac:dyDescent="0.25">
      <c r="A898" s="22">
        <v>45882</v>
      </c>
      <c r="B898" s="12">
        <v>278.02</v>
      </c>
      <c r="C898" s="13">
        <v>5.4000000000000003E-3</v>
      </c>
      <c r="D898" s="7">
        <v>64</v>
      </c>
      <c r="E898" s="7">
        <v>1.12E-2</v>
      </c>
      <c r="F898" s="7">
        <v>816</v>
      </c>
      <c r="G898" s="8">
        <f t="shared" si="54"/>
        <v>0.92163678065499</v>
      </c>
      <c r="H898" s="9">
        <f t="shared" si="55"/>
        <v>1.0068093825488726E-3</v>
      </c>
      <c r="I898" s="10">
        <f>SUM($H$3:H898)</f>
        <v>0.9338240554038626</v>
      </c>
      <c r="J898" s="23">
        <v>1.12E-2</v>
      </c>
      <c r="Q898" s="7">
        <f t="shared" si="53"/>
        <v>9.938188722356121E-5</v>
      </c>
      <c r="R898" s="7">
        <f t="shared" ref="R898:R961" si="56">Q898/$U$2</f>
        <v>1.0831870014160201E-3</v>
      </c>
    </row>
    <row r="899" spans="1:18" x14ac:dyDescent="0.25">
      <c r="A899" s="22">
        <v>45883</v>
      </c>
      <c r="B899" s="12">
        <v>278.23</v>
      </c>
      <c r="C899" s="13">
        <v>8.0000000000000004E-4</v>
      </c>
      <c r="D899" s="7">
        <v>63</v>
      </c>
      <c r="E899" s="7">
        <v>1.12E-2</v>
      </c>
      <c r="F899" s="7">
        <v>476</v>
      </c>
      <c r="G899" s="8">
        <f t="shared" si="54"/>
        <v>0.95351284733863839</v>
      </c>
      <c r="H899" s="9">
        <f t="shared" si="55"/>
        <v>1.0416312599841923E-3</v>
      </c>
      <c r="I899" s="10">
        <f>SUM($H$3:H899)</f>
        <v>0.93486568666384684</v>
      </c>
      <c r="J899" s="23">
        <v>1.12E-2</v>
      </c>
      <c r="Q899" s="7">
        <f t="shared" ref="Q899:Q962" si="57">(1-$N$3) * $N$3^(D900-1)</f>
        <v>9.9391826406201809E-5</v>
      </c>
      <c r="R899" s="7">
        <f t="shared" si="56"/>
        <v>1.0832953309491146E-3</v>
      </c>
    </row>
    <row r="900" spans="1:18" x14ac:dyDescent="0.25">
      <c r="A900" s="22">
        <v>45887</v>
      </c>
      <c r="B900" s="12">
        <v>281.07</v>
      </c>
      <c r="C900" s="13">
        <v>1.0200000000000001E-2</v>
      </c>
      <c r="D900" s="7">
        <v>62</v>
      </c>
      <c r="E900" s="7">
        <v>1.12E-2</v>
      </c>
      <c r="F900" s="7">
        <v>287</v>
      </c>
      <c r="G900" s="8">
        <f t="shared" ref="G900:G962" si="58">$N$3^F900</f>
        <v>0.97170653863121415</v>
      </c>
      <c r="H900" s="9">
        <f t="shared" ref="H900:H962" si="59">G900/$N$4</f>
        <v>1.061506312153383E-3</v>
      </c>
      <c r="I900" s="10">
        <f>SUM($H$3:H900)</f>
        <v>0.93592719297600024</v>
      </c>
      <c r="J900" s="23">
        <v>1.12E-2</v>
      </c>
      <c r="Q900" s="7">
        <f t="shared" si="57"/>
        <v>9.9401766582860089E-5</v>
      </c>
      <c r="R900" s="7">
        <f t="shared" si="56"/>
        <v>1.0834036713162462E-3</v>
      </c>
    </row>
    <row r="901" spans="1:18" x14ac:dyDescent="0.25">
      <c r="A901" s="22">
        <v>45888</v>
      </c>
      <c r="B901" s="12">
        <v>281.95999999999998</v>
      </c>
      <c r="C901" s="13">
        <v>3.2000000000000002E-3</v>
      </c>
      <c r="D901" s="7">
        <v>61</v>
      </c>
      <c r="E901" s="7">
        <v>1.1299999999999999E-2</v>
      </c>
      <c r="F901" s="7">
        <v>497</v>
      </c>
      <c r="G901" s="8">
        <f t="shared" si="58"/>
        <v>0.95151247146860563</v>
      </c>
      <c r="H901" s="9">
        <f t="shared" si="59"/>
        <v>1.0394460203791258E-3</v>
      </c>
      <c r="I901" s="10">
        <f>SUM($H$3:H901)</f>
        <v>0.93696663899637933</v>
      </c>
      <c r="J901" s="23">
        <v>1.1299999999999999E-2</v>
      </c>
      <c r="Q901" s="7">
        <f t="shared" si="57"/>
        <v>9.9411707753635457E-5</v>
      </c>
      <c r="R901" s="7">
        <f t="shared" si="56"/>
        <v>1.0835120225184982E-3</v>
      </c>
    </row>
    <row r="902" spans="1:18" x14ac:dyDescent="0.25">
      <c r="A902" s="22">
        <v>45889</v>
      </c>
      <c r="B902" s="12">
        <v>282.52</v>
      </c>
      <c r="C902" s="13">
        <v>2E-3</v>
      </c>
      <c r="D902" s="7">
        <v>60</v>
      </c>
      <c r="E902" s="7">
        <v>1.15E-2</v>
      </c>
      <c r="F902" s="7">
        <v>689</v>
      </c>
      <c r="G902" s="8">
        <f t="shared" si="58"/>
        <v>0.9334168015722033</v>
      </c>
      <c r="H902" s="9">
        <f t="shared" si="59"/>
        <v>1.0196780482043856E-3</v>
      </c>
      <c r="I902" s="10">
        <f>SUM($H$3:H902)</f>
        <v>0.93798631704458368</v>
      </c>
      <c r="J902" s="23">
        <v>1.15E-2</v>
      </c>
      <c r="Q902" s="7">
        <f t="shared" si="57"/>
        <v>9.9421649918627321E-5</v>
      </c>
      <c r="R902" s="7">
        <f t="shared" si="56"/>
        <v>1.0836203845569538E-3</v>
      </c>
    </row>
    <row r="903" spans="1:18" x14ac:dyDescent="0.25">
      <c r="A903" s="22">
        <v>45890</v>
      </c>
      <c r="B903" s="12">
        <v>283.06</v>
      </c>
      <c r="C903" s="13">
        <v>1.9E-3</v>
      </c>
      <c r="D903" s="7">
        <v>59</v>
      </c>
      <c r="E903" s="7">
        <v>1.15E-2</v>
      </c>
      <c r="F903" s="7">
        <v>255</v>
      </c>
      <c r="G903" s="8">
        <f t="shared" si="58"/>
        <v>0.97482113598514064</v>
      </c>
      <c r="H903" s="9">
        <f t="shared" si="59"/>
        <v>1.064908743463217E-3</v>
      </c>
      <c r="I903" s="10">
        <f>SUM($H$3:H903)</f>
        <v>0.93905122578804689</v>
      </c>
      <c r="J903" s="23">
        <v>1.15E-2</v>
      </c>
      <c r="Q903" s="7">
        <f t="shared" si="57"/>
        <v>9.9431593077935101E-5</v>
      </c>
      <c r="R903" s="7">
        <f t="shared" si="56"/>
        <v>1.083728757432697E-3</v>
      </c>
    </row>
    <row r="904" spans="1:18" x14ac:dyDescent="0.25">
      <c r="A904" s="22">
        <v>45891</v>
      </c>
      <c r="B904" s="12">
        <v>280.75</v>
      </c>
      <c r="C904" s="13">
        <v>-8.2000000000000007E-3</v>
      </c>
      <c r="D904" s="7">
        <v>58</v>
      </c>
      <c r="E904" s="7">
        <v>1.17E-2</v>
      </c>
      <c r="F904" s="7">
        <v>591</v>
      </c>
      <c r="G904" s="8">
        <f t="shared" si="58"/>
        <v>0.94260971759203549</v>
      </c>
      <c r="H904" s="9">
        <f t="shared" si="59"/>
        <v>1.0297205229580224E-3</v>
      </c>
      <c r="I904" s="10">
        <f>SUM($H$3:H904)</f>
        <v>0.94008094631100492</v>
      </c>
      <c r="J904" s="23">
        <v>1.17E-2</v>
      </c>
      <c r="Q904" s="7">
        <f t="shared" si="57"/>
        <v>9.9441537231658261E-5</v>
      </c>
      <c r="R904" s="7">
        <f t="shared" si="56"/>
        <v>1.0838371411468115E-3</v>
      </c>
    </row>
    <row r="905" spans="1:18" x14ac:dyDescent="0.25">
      <c r="A905" s="22">
        <v>45894</v>
      </c>
      <c r="B905" s="12">
        <v>281.68</v>
      </c>
      <c r="C905" s="13">
        <v>3.3E-3</v>
      </c>
      <c r="D905" s="7">
        <v>57</v>
      </c>
      <c r="E905" s="7">
        <v>1.1900000000000001E-2</v>
      </c>
      <c r="F905" s="7">
        <v>934</v>
      </c>
      <c r="G905" s="8">
        <f t="shared" si="58"/>
        <v>0.910824841936269</v>
      </c>
      <c r="H905" s="9">
        <f t="shared" si="59"/>
        <v>9.9499826392379382E-4</v>
      </c>
      <c r="I905" s="10">
        <f>SUM($H$3:H905)</f>
        <v>0.94107594457492871</v>
      </c>
      <c r="J905" s="23">
        <v>1.1900000000000001E-2</v>
      </c>
      <c r="Q905" s="7">
        <f t="shared" si="57"/>
        <v>9.9451482379896261E-5</v>
      </c>
      <c r="R905" s="7">
        <f t="shared" si="56"/>
        <v>1.0839455357003816E-3</v>
      </c>
    </row>
    <row r="906" spans="1:18" x14ac:dyDescent="0.25">
      <c r="A906" s="22">
        <v>45895</v>
      </c>
      <c r="B906" s="12">
        <v>279.05</v>
      </c>
      <c r="C906" s="13">
        <v>-9.2999999999999992E-3</v>
      </c>
      <c r="D906" s="7">
        <v>56</v>
      </c>
      <c r="E906" s="7">
        <v>1.1900000000000001E-2</v>
      </c>
      <c r="F906" s="7">
        <v>888</v>
      </c>
      <c r="G906" s="8">
        <f t="shared" si="58"/>
        <v>0.91502449799865992</v>
      </c>
      <c r="H906" s="9">
        <f t="shared" si="59"/>
        <v>9.9958602909966778E-4</v>
      </c>
      <c r="I906" s="10">
        <f>SUM($H$3:H906)</f>
        <v>0.94207553060402838</v>
      </c>
      <c r="J906" s="23">
        <v>1.1900000000000001E-2</v>
      </c>
      <c r="Q906" s="7">
        <f t="shared" si="57"/>
        <v>9.9461428522748538E-5</v>
      </c>
      <c r="R906" s="7">
        <f t="shared" si="56"/>
        <v>1.0840539410944912E-3</v>
      </c>
    </row>
    <row r="907" spans="1:18" x14ac:dyDescent="0.25">
      <c r="A907" s="22">
        <v>45897</v>
      </c>
      <c r="B907" s="12">
        <v>276.93</v>
      </c>
      <c r="C907" s="13">
        <v>-7.6E-3</v>
      </c>
      <c r="D907" s="7">
        <v>55</v>
      </c>
      <c r="E907" s="7">
        <v>1.1900000000000001E-2</v>
      </c>
      <c r="F907" s="7">
        <v>756</v>
      </c>
      <c r="G907" s="8">
        <f t="shared" si="58"/>
        <v>0.9271835022032765</v>
      </c>
      <c r="H907" s="9">
        <f t="shared" si="59"/>
        <v>1.0128687015934447E-3</v>
      </c>
      <c r="I907" s="10">
        <f>SUM($H$3:H907)</f>
        <v>0.94308839930562183</v>
      </c>
      <c r="J907" s="23">
        <v>1.1900000000000001E-2</v>
      </c>
      <c r="Q907" s="7">
        <f t="shared" si="57"/>
        <v>9.9471375660314566E-5</v>
      </c>
      <c r="R907" s="7">
        <f t="shared" si="56"/>
        <v>1.0841623573302243E-3</v>
      </c>
    </row>
    <row r="908" spans="1:18" x14ac:dyDescent="0.25">
      <c r="A908" s="22">
        <v>45898</v>
      </c>
      <c r="B908" s="12">
        <v>276.06</v>
      </c>
      <c r="C908" s="13">
        <v>-3.0999999999999999E-3</v>
      </c>
      <c r="D908" s="7">
        <v>54</v>
      </c>
      <c r="E908" s="7">
        <v>1.1900000000000001E-2</v>
      </c>
      <c r="F908" s="7">
        <v>145</v>
      </c>
      <c r="G908" s="8">
        <f t="shared" si="58"/>
        <v>0.98560390412165533</v>
      </c>
      <c r="H908" s="9">
        <f t="shared" si="59"/>
        <v>1.076687995721332E-3</v>
      </c>
      <c r="I908" s="10">
        <f>SUM($H$3:H908)</f>
        <v>0.94416508730134319</v>
      </c>
      <c r="J908" s="23">
        <v>1.1900000000000001E-2</v>
      </c>
      <c r="Q908" s="7">
        <f t="shared" si="57"/>
        <v>9.9481323792693821E-5</v>
      </c>
      <c r="R908" s="7">
        <f t="shared" si="56"/>
        <v>1.0842707844086648E-3</v>
      </c>
    </row>
    <row r="909" spans="1:18" x14ac:dyDescent="0.25">
      <c r="A909" s="22">
        <v>45901</v>
      </c>
      <c r="B909" s="12">
        <v>278.18</v>
      </c>
      <c r="C909" s="13">
        <v>7.7000000000000002E-3</v>
      </c>
      <c r="D909" s="7">
        <v>53</v>
      </c>
      <c r="E909" s="7">
        <v>1.2E-2</v>
      </c>
      <c r="F909" s="7">
        <v>457</v>
      </c>
      <c r="G909" s="8">
        <f t="shared" si="58"/>
        <v>0.95532633469186123</v>
      </c>
      <c r="H909" s="9">
        <f t="shared" si="59"/>
        <v>1.0436123398636877E-3</v>
      </c>
      <c r="I909" s="10">
        <f>SUM($H$3:H909)</f>
        <v>0.94520869964120691</v>
      </c>
      <c r="J909" s="23">
        <v>1.2E-2</v>
      </c>
      <c r="Q909" s="7">
        <f t="shared" si="57"/>
        <v>9.9491272919985819E-5</v>
      </c>
      <c r="R909" s="7">
        <f t="shared" si="56"/>
        <v>1.0843792223308979E-3</v>
      </c>
    </row>
    <row r="910" spans="1:18" x14ac:dyDescent="0.25">
      <c r="A910" s="22">
        <v>45902</v>
      </c>
      <c r="B910" s="12">
        <v>277.68</v>
      </c>
      <c r="C910" s="13">
        <v>-1.8E-3</v>
      </c>
      <c r="D910" s="7">
        <v>52</v>
      </c>
      <c r="E910" s="7">
        <v>1.21E-2</v>
      </c>
      <c r="F910" s="7">
        <v>887</v>
      </c>
      <c r="G910" s="8">
        <f t="shared" si="58"/>
        <v>0.91511600959961981</v>
      </c>
      <c r="H910" s="9">
        <f t="shared" si="59"/>
        <v>9.9968599769943755E-4</v>
      </c>
      <c r="I910" s="10">
        <f>SUM($H$3:H910)</f>
        <v>0.9462083856389063</v>
      </c>
      <c r="J910" s="23">
        <v>1.21E-2</v>
      </c>
      <c r="Q910" s="7">
        <f t="shared" si="57"/>
        <v>9.9501223042290049E-5</v>
      </c>
      <c r="R910" s="7">
        <f t="shared" si="56"/>
        <v>1.0844876710980078E-3</v>
      </c>
    </row>
    <row r="911" spans="1:18" x14ac:dyDescent="0.25">
      <c r="A911" s="22">
        <v>45903</v>
      </c>
      <c r="B911" s="12">
        <v>278.94</v>
      </c>
      <c r="C911" s="13">
        <v>4.4999999999999997E-3</v>
      </c>
      <c r="D911" s="7">
        <v>51</v>
      </c>
      <c r="E911" s="7">
        <v>1.21E-2</v>
      </c>
      <c r="F911" s="7">
        <v>834</v>
      </c>
      <c r="G911" s="8">
        <f t="shared" si="58"/>
        <v>0.91997924380231222</v>
      </c>
      <c r="H911" s="9">
        <f t="shared" si="59"/>
        <v>1.0049986652573919E-3</v>
      </c>
      <c r="I911" s="10">
        <f>SUM($H$3:H911)</f>
        <v>0.94721338430416369</v>
      </c>
      <c r="J911" s="23">
        <v>1.21E-2</v>
      </c>
      <c r="Q911" s="7">
        <f t="shared" si="57"/>
        <v>9.9511174159706015E-5</v>
      </c>
      <c r="R911" s="7">
        <f t="shared" si="56"/>
        <v>1.0845961307110789E-3</v>
      </c>
    </row>
    <row r="912" spans="1:18" x14ac:dyDescent="0.25">
      <c r="A912" s="22">
        <v>45904</v>
      </c>
      <c r="B912" s="12">
        <v>279.32</v>
      </c>
      <c r="C912" s="13">
        <v>1.4E-3</v>
      </c>
      <c r="D912" s="7">
        <v>50</v>
      </c>
      <c r="E912" s="7">
        <v>1.21E-2</v>
      </c>
      <c r="F912" s="7">
        <v>173</v>
      </c>
      <c r="G912" s="8">
        <f t="shared" si="58"/>
        <v>0.98284793554605165</v>
      </c>
      <c r="H912" s="9">
        <f t="shared" si="59"/>
        <v>1.0736773356889104E-3</v>
      </c>
      <c r="I912" s="10">
        <f>SUM($H$3:H912)</f>
        <v>0.94828706163985255</v>
      </c>
      <c r="J912" s="23">
        <v>1.21E-2</v>
      </c>
      <c r="Q912" s="7">
        <f t="shared" si="57"/>
        <v>9.9521126272333245E-5</v>
      </c>
      <c r="R912" s="7">
        <f t="shared" si="56"/>
        <v>1.0847046011711959E-3</v>
      </c>
    </row>
    <row r="913" spans="1:18" x14ac:dyDescent="0.25">
      <c r="A913" s="22">
        <v>45905</v>
      </c>
      <c r="B913" s="12">
        <v>279.60000000000002</v>
      </c>
      <c r="C913" s="13">
        <v>1E-3</v>
      </c>
      <c r="D913" s="7">
        <v>49</v>
      </c>
      <c r="E913" s="7">
        <v>1.2200000000000001E-2</v>
      </c>
      <c r="F913" s="7">
        <v>884</v>
      </c>
      <c r="G913" s="8">
        <f t="shared" si="58"/>
        <v>0.91539059931861277</v>
      </c>
      <c r="H913" s="9">
        <f t="shared" si="59"/>
        <v>9.9998596348990559E-4</v>
      </c>
      <c r="I913" s="10">
        <f>SUM($H$3:H913)</f>
        <v>0.94928704760334248</v>
      </c>
      <c r="J913" s="23">
        <v>1.2200000000000001E-2</v>
      </c>
      <c r="Q913" s="7">
        <f t="shared" si="57"/>
        <v>9.9531079380271283E-5</v>
      </c>
      <c r="R913" s="7">
        <f t="shared" si="56"/>
        <v>1.0848130824794441E-3</v>
      </c>
    </row>
    <row r="914" spans="1:18" x14ac:dyDescent="0.25">
      <c r="A914" s="22">
        <v>45908</v>
      </c>
      <c r="B914" s="12">
        <v>279.99</v>
      </c>
      <c r="C914" s="13">
        <v>1.4E-3</v>
      </c>
      <c r="D914" s="7">
        <v>48</v>
      </c>
      <c r="E914" s="7">
        <v>1.2200000000000001E-2</v>
      </c>
      <c r="F914" s="7">
        <v>140</v>
      </c>
      <c r="G914" s="8">
        <f t="shared" si="58"/>
        <v>0.98609685394880464</v>
      </c>
      <c r="H914" s="9">
        <f t="shared" si="59"/>
        <v>1.0772265012600835E-3</v>
      </c>
      <c r="I914" s="10">
        <f>SUM($H$3:H914)</f>
        <v>0.95036427410460256</v>
      </c>
      <c r="J914" s="23">
        <v>1.2200000000000001E-2</v>
      </c>
      <c r="Q914" s="7">
        <f t="shared" si="57"/>
        <v>9.9541033483619646E-5</v>
      </c>
      <c r="R914" s="7">
        <f t="shared" si="56"/>
        <v>1.0849215746369077E-3</v>
      </c>
    </row>
    <row r="915" spans="1:18" x14ac:dyDescent="0.25">
      <c r="A915" s="22">
        <v>45909</v>
      </c>
      <c r="B915" s="12">
        <v>280.54000000000002</v>
      </c>
      <c r="C915" s="13">
        <v>2E-3</v>
      </c>
      <c r="D915" s="7">
        <v>47</v>
      </c>
      <c r="E915" s="7">
        <v>1.23E-2</v>
      </c>
      <c r="F915" s="7">
        <v>477</v>
      </c>
      <c r="G915" s="8">
        <f t="shared" si="58"/>
        <v>0.95341749605390458</v>
      </c>
      <c r="H915" s="9">
        <f t="shared" si="59"/>
        <v>1.041527096858194E-3</v>
      </c>
      <c r="I915" s="10">
        <f>SUM($H$3:H915)</f>
        <v>0.95140580120146079</v>
      </c>
      <c r="J915" s="23">
        <v>1.23E-2</v>
      </c>
      <c r="Q915" s="7">
        <f t="shared" si="57"/>
        <v>9.9550988582477876E-5</v>
      </c>
      <c r="R915" s="7">
        <f t="shared" si="56"/>
        <v>1.085030077644672E-3</v>
      </c>
    </row>
    <row r="916" spans="1:18" x14ac:dyDescent="0.25">
      <c r="A916" s="22">
        <v>45910</v>
      </c>
      <c r="B916" s="12">
        <v>281.83999999999997</v>
      </c>
      <c r="C916" s="13">
        <v>4.5999999999999999E-3</v>
      </c>
      <c r="D916" s="7">
        <v>46</v>
      </c>
      <c r="E916" s="7">
        <v>1.2800000000000001E-2</v>
      </c>
      <c r="F916" s="7">
        <v>939</v>
      </c>
      <c r="G916" s="8">
        <f t="shared" si="58"/>
        <v>0.91036952058867737</v>
      </c>
      <c r="H916" s="9">
        <f t="shared" si="59"/>
        <v>9.9450086428170908E-4</v>
      </c>
      <c r="I916" s="10">
        <f>SUM($H$3:H916)</f>
        <v>0.95240030206574244</v>
      </c>
      <c r="J916" s="23">
        <v>1.2800000000000001E-2</v>
      </c>
      <c r="Q916" s="7">
        <f t="shared" si="57"/>
        <v>9.9560944676945572E-5</v>
      </c>
      <c r="R916" s="7">
        <f t="shared" si="56"/>
        <v>1.0851385915038223E-3</v>
      </c>
    </row>
    <row r="917" spans="1:18" x14ac:dyDescent="0.25">
      <c r="A917" s="22">
        <v>45911</v>
      </c>
      <c r="B917" s="12">
        <v>282.52999999999997</v>
      </c>
      <c r="C917" s="13">
        <v>2.3999999999999998E-3</v>
      </c>
      <c r="D917" s="7">
        <v>45</v>
      </c>
      <c r="E917" s="7">
        <v>1.2800000000000001E-2</v>
      </c>
      <c r="F917" s="7">
        <v>817</v>
      </c>
      <c r="G917" s="8">
        <f t="shared" si="58"/>
        <v>0.92154461697692447</v>
      </c>
      <c r="H917" s="9">
        <f t="shared" si="59"/>
        <v>1.0067087016106177E-3</v>
      </c>
      <c r="I917" s="10">
        <f>SUM($H$3:H917)</f>
        <v>0.95340701076735301</v>
      </c>
      <c r="J917" s="23">
        <v>1.2800000000000001E-2</v>
      </c>
      <c r="Q917" s="7">
        <f t="shared" si="57"/>
        <v>9.9570901767122275E-5</v>
      </c>
      <c r="R917" s="7">
        <f t="shared" si="56"/>
        <v>1.0852471162154439E-3</v>
      </c>
    </row>
    <row r="918" spans="1:18" x14ac:dyDescent="0.25">
      <c r="A918" s="22">
        <v>45912</v>
      </c>
      <c r="B918" s="12">
        <v>283.51</v>
      </c>
      <c r="C918" s="13">
        <v>3.5000000000000001E-3</v>
      </c>
      <c r="D918" s="7">
        <v>44</v>
      </c>
      <c r="E918" s="7">
        <v>1.29E-2</v>
      </c>
      <c r="F918" s="7">
        <v>102</v>
      </c>
      <c r="G918" s="8">
        <f t="shared" si="58"/>
        <v>0.98985133872412856</v>
      </c>
      <c r="H918" s="9">
        <f t="shared" si="59"/>
        <v>1.0813279548671612E-3</v>
      </c>
      <c r="I918" s="10">
        <f>SUM($H$3:H918)</f>
        <v>0.95448833872222016</v>
      </c>
      <c r="J918" s="23">
        <v>1.29E-2</v>
      </c>
      <c r="Q918" s="7">
        <f t="shared" si="57"/>
        <v>9.9580859853107585E-5</v>
      </c>
      <c r="R918" s="7">
        <f t="shared" si="56"/>
        <v>1.085355651780622E-3</v>
      </c>
    </row>
    <row r="919" spans="1:18" x14ac:dyDescent="0.25">
      <c r="A919" s="22">
        <v>45915</v>
      </c>
      <c r="B919" s="12">
        <v>283.12</v>
      </c>
      <c r="C919" s="13">
        <v>-1.4E-3</v>
      </c>
      <c r="D919" s="7">
        <v>43</v>
      </c>
      <c r="E919" s="7">
        <v>1.2999999999999999E-2</v>
      </c>
      <c r="F919" s="7">
        <v>318</v>
      </c>
      <c r="G919" s="8">
        <f t="shared" si="58"/>
        <v>0.96869876243209774</v>
      </c>
      <c r="H919" s="9">
        <f t="shared" si="59"/>
        <v>1.0582205738219274E-3</v>
      </c>
      <c r="I919" s="10">
        <f>SUM($H$3:H919)</f>
        <v>0.95554655929604204</v>
      </c>
      <c r="J919" s="23">
        <v>1.2999999999999999E-2</v>
      </c>
      <c r="Q919" s="7">
        <f t="shared" si="57"/>
        <v>9.9590818935001084E-5</v>
      </c>
      <c r="R919" s="7">
        <f t="shared" si="56"/>
        <v>1.0854641982004419E-3</v>
      </c>
    </row>
    <row r="920" spans="1:18" x14ac:dyDescent="0.25">
      <c r="A920" s="22">
        <v>45916</v>
      </c>
      <c r="B920" s="12">
        <v>284.89</v>
      </c>
      <c r="C920" s="13">
        <v>6.3E-3</v>
      </c>
      <c r="D920" s="7">
        <v>42</v>
      </c>
      <c r="E920" s="7">
        <v>1.2999999999999999E-2</v>
      </c>
      <c r="F920" s="7">
        <v>128</v>
      </c>
      <c r="G920" s="8">
        <f t="shared" si="58"/>
        <v>0.987280939688163</v>
      </c>
      <c r="H920" s="9">
        <f t="shared" si="59"/>
        <v>1.0785200136905239E-3</v>
      </c>
      <c r="I920" s="10">
        <f>SUM($H$3:H920)</f>
        <v>0.95662507930973262</v>
      </c>
      <c r="J920" s="23">
        <v>1.2999999999999999E-2</v>
      </c>
      <c r="Q920" s="7">
        <f t="shared" si="57"/>
        <v>9.9600779012902371E-5</v>
      </c>
      <c r="R920" s="7">
        <f t="shared" si="56"/>
        <v>1.0855727554759894E-3</v>
      </c>
    </row>
    <row r="921" spans="1:18" x14ac:dyDescent="0.25">
      <c r="A921" s="22">
        <v>45917</v>
      </c>
      <c r="B921" s="12">
        <v>285.98</v>
      </c>
      <c r="C921" s="13">
        <v>3.8E-3</v>
      </c>
      <c r="D921" s="7">
        <v>41</v>
      </c>
      <c r="E921" s="7">
        <v>1.3100000000000001E-2</v>
      </c>
      <c r="F921" s="7">
        <v>707</v>
      </c>
      <c r="G921" s="8">
        <f t="shared" si="58"/>
        <v>0.93173807869569769</v>
      </c>
      <c r="H921" s="9">
        <f t="shared" si="59"/>
        <v>1.0178441869932865E-3</v>
      </c>
      <c r="I921" s="10">
        <f>SUM($H$3:H921)</f>
        <v>0.95764292349672586</v>
      </c>
      <c r="J921" s="23">
        <v>1.3100000000000001E-2</v>
      </c>
      <c r="Q921" s="7">
        <f t="shared" si="57"/>
        <v>9.9610740086911057E-5</v>
      </c>
      <c r="R921" s="7">
        <f t="shared" si="56"/>
        <v>1.0856813236083502E-3</v>
      </c>
    </row>
    <row r="922" spans="1:18" x14ac:dyDescent="0.25">
      <c r="A922" s="22">
        <v>45918</v>
      </c>
      <c r="B922" s="12">
        <v>286.7</v>
      </c>
      <c r="C922" s="13">
        <v>2.5000000000000001E-3</v>
      </c>
      <c r="D922" s="7">
        <v>40</v>
      </c>
      <c r="E922" s="7">
        <v>1.35E-2</v>
      </c>
      <c r="F922" s="7">
        <v>826</v>
      </c>
      <c r="G922" s="8">
        <f t="shared" si="58"/>
        <v>0.92071555850030939</v>
      </c>
      <c r="H922" s="9">
        <f t="shared" si="59"/>
        <v>1.00580302610975E-3</v>
      </c>
      <c r="I922" s="10">
        <f>SUM($H$3:H922)</f>
        <v>0.95864872652283561</v>
      </c>
      <c r="J922" s="23">
        <v>1.35E-2</v>
      </c>
      <c r="Q922" s="7">
        <f t="shared" si="57"/>
        <v>9.9620702157126779E-5</v>
      </c>
      <c r="R922" s="7">
        <f t="shared" si="56"/>
        <v>1.0857899025986102E-3</v>
      </c>
    </row>
    <row r="923" spans="1:18" x14ac:dyDescent="0.25">
      <c r="A923" s="22">
        <v>45919</v>
      </c>
      <c r="B923" s="12">
        <v>285.89999999999998</v>
      </c>
      <c r="C923" s="13">
        <v>-2.8E-3</v>
      </c>
      <c r="D923" s="7">
        <v>39</v>
      </c>
      <c r="E923" s="7">
        <v>1.3599999999999999E-2</v>
      </c>
      <c r="F923" s="7">
        <v>669</v>
      </c>
      <c r="G923" s="8">
        <f t="shared" si="58"/>
        <v>0.93528559678891943</v>
      </c>
      <c r="H923" s="9">
        <f t="shared" si="59"/>
        <v>1.0217195471959027E-3</v>
      </c>
      <c r="I923" s="10">
        <f>SUM($H$3:H923)</f>
        <v>0.95967044607003149</v>
      </c>
      <c r="J923" s="23">
        <v>1.3599999999999999E-2</v>
      </c>
      <c r="Q923" s="7">
        <f t="shared" si="57"/>
        <v>9.9630665223649135E-5</v>
      </c>
      <c r="R923" s="7">
        <f t="shared" si="56"/>
        <v>1.0858984924478549E-3</v>
      </c>
    </row>
    <row r="924" spans="1:18" x14ac:dyDescent="0.25">
      <c r="A924" s="22">
        <v>45922</v>
      </c>
      <c r="B924" s="12">
        <v>284.49</v>
      </c>
      <c r="C924" s="13">
        <v>-4.8999999999999998E-3</v>
      </c>
      <c r="D924" s="7">
        <v>38</v>
      </c>
      <c r="E924" s="7">
        <v>1.37E-2</v>
      </c>
      <c r="F924" s="7">
        <v>941</v>
      </c>
      <c r="G924" s="8">
        <f t="shared" si="58"/>
        <v>0.91018745578825477</v>
      </c>
      <c r="H924" s="9">
        <f t="shared" si="59"/>
        <v>9.9430197405386118E-4</v>
      </c>
      <c r="I924" s="10">
        <f>SUM($H$3:H924)</f>
        <v>0.9606647480440853</v>
      </c>
      <c r="J924" s="23">
        <v>1.37E-2</v>
      </c>
      <c r="Q924" s="7">
        <f t="shared" si="57"/>
        <v>9.9640629286577791E-5</v>
      </c>
      <c r="R924" s="7">
        <f t="shared" si="56"/>
        <v>1.0860070931571705E-3</v>
      </c>
    </row>
    <row r="925" spans="1:18" x14ac:dyDescent="0.25">
      <c r="A925" s="22">
        <v>45923</v>
      </c>
      <c r="B925" s="12">
        <v>284.35000000000002</v>
      </c>
      <c r="C925" s="13">
        <v>-5.0000000000000001E-4</v>
      </c>
      <c r="D925" s="7">
        <v>37</v>
      </c>
      <c r="E925" s="7">
        <v>1.37E-2</v>
      </c>
      <c r="F925" s="7">
        <v>193</v>
      </c>
      <c r="G925" s="8">
        <f t="shared" si="58"/>
        <v>0.98088410596606701</v>
      </c>
      <c r="H925" s="9">
        <f t="shared" si="59"/>
        <v>1.0715320197809989E-3</v>
      </c>
      <c r="I925" s="10">
        <f>SUM($H$3:H925)</f>
        <v>0.96173628006386636</v>
      </c>
      <c r="J925" s="23">
        <v>1.37E-2</v>
      </c>
      <c r="Q925" s="7">
        <f t="shared" si="57"/>
        <v>9.9650594346012398E-5</v>
      </c>
      <c r="R925" s="7">
        <f t="shared" si="56"/>
        <v>1.0861157047276433E-3</v>
      </c>
    </row>
    <row r="926" spans="1:18" x14ac:dyDescent="0.25">
      <c r="A926" s="22">
        <v>45924</v>
      </c>
      <c r="B926" s="12">
        <v>282.88</v>
      </c>
      <c r="C926" s="13">
        <v>-5.1999999999999998E-3</v>
      </c>
      <c r="D926" s="7">
        <v>36</v>
      </c>
      <c r="E926" s="7">
        <v>1.4E-2</v>
      </c>
      <c r="F926" s="7">
        <v>922</v>
      </c>
      <c r="G926" s="8">
        <f t="shared" si="58"/>
        <v>0.91191854252163351</v>
      </c>
      <c r="H926" s="9">
        <f t="shared" si="59"/>
        <v>9.9619303830146316E-4</v>
      </c>
      <c r="I926" s="10">
        <f>SUM($H$3:H926)</f>
        <v>0.96273247310216781</v>
      </c>
      <c r="J926" s="23">
        <v>1.4E-2</v>
      </c>
      <c r="Q926" s="7">
        <f t="shared" si="57"/>
        <v>9.9660560402052594E-5</v>
      </c>
      <c r="R926" s="7">
        <f t="shared" si="56"/>
        <v>1.0862243271603594E-3</v>
      </c>
    </row>
    <row r="927" spans="1:18" x14ac:dyDescent="0.25">
      <c r="A927" s="22">
        <v>45925</v>
      </c>
      <c r="B927" s="12">
        <v>281.24</v>
      </c>
      <c r="C927" s="13">
        <v>-5.7999999999999996E-3</v>
      </c>
      <c r="D927" s="7">
        <v>35</v>
      </c>
      <c r="E927" s="7">
        <v>1.4200000000000001E-2</v>
      </c>
      <c r="F927" s="7">
        <v>818</v>
      </c>
      <c r="G927" s="8">
        <f t="shared" si="58"/>
        <v>0.92145246251522683</v>
      </c>
      <c r="H927" s="9">
        <f t="shared" si="59"/>
        <v>1.0066080307404566E-3</v>
      </c>
      <c r="I927" s="10">
        <f>SUM($H$3:H927)</f>
        <v>0.96373908113290829</v>
      </c>
      <c r="J927" s="23">
        <v>1.4200000000000001E-2</v>
      </c>
      <c r="Q927" s="7">
        <f t="shared" si="57"/>
        <v>9.9670527454798072E-5</v>
      </c>
      <c r="R927" s="7">
        <f t="shared" si="56"/>
        <v>1.0863329604564049E-3</v>
      </c>
    </row>
    <row r="928" spans="1:18" x14ac:dyDescent="0.25">
      <c r="A928" s="22">
        <v>45926</v>
      </c>
      <c r="B928" s="12">
        <v>278.74</v>
      </c>
      <c r="C928" s="13">
        <v>-8.8999999999999999E-3</v>
      </c>
      <c r="D928" s="7">
        <v>34</v>
      </c>
      <c r="E928" s="7">
        <v>1.44E-2</v>
      </c>
      <c r="F928" s="7">
        <v>165</v>
      </c>
      <c r="G928" s="8">
        <f t="shared" si="58"/>
        <v>0.9836345678377193</v>
      </c>
      <c r="H928" s="9">
        <f t="shared" si="59"/>
        <v>1.0745366642101789E-3</v>
      </c>
      <c r="I928" s="10">
        <f>SUM($H$3:H928)</f>
        <v>0.96481361779711849</v>
      </c>
      <c r="J928" s="23">
        <v>1.44E-2</v>
      </c>
      <c r="Q928" s="7">
        <f t="shared" si="57"/>
        <v>9.9680495504348498E-5</v>
      </c>
      <c r="R928" s="7">
        <f t="shared" si="56"/>
        <v>1.0864416046168666E-3</v>
      </c>
    </row>
    <row r="929" spans="1:18" x14ac:dyDescent="0.25">
      <c r="A929" s="22">
        <v>45929</v>
      </c>
      <c r="B929" s="12">
        <v>278.54000000000002</v>
      </c>
      <c r="C929" s="13">
        <v>-6.9999999999999999E-4</v>
      </c>
      <c r="D929" s="7">
        <v>33</v>
      </c>
      <c r="E929" s="7">
        <v>1.4500000000000001E-2</v>
      </c>
      <c r="F929" s="7">
        <v>244</v>
      </c>
      <c r="G929" s="8">
        <f t="shared" si="58"/>
        <v>0.97589408289557011</v>
      </c>
      <c r="H929" s="9">
        <f t="shared" si="59"/>
        <v>1.0660808462254674E-3</v>
      </c>
      <c r="I929" s="10">
        <f>SUM($H$3:H929)</f>
        <v>0.965879698643344</v>
      </c>
      <c r="J929" s="23">
        <v>1.4500000000000001E-2</v>
      </c>
      <c r="Q929" s="7">
        <f t="shared" si="57"/>
        <v>9.9690464550803576E-5</v>
      </c>
      <c r="R929" s="7">
        <f t="shared" si="56"/>
        <v>1.0865502596428308E-3</v>
      </c>
    </row>
    <row r="930" spans="1:18" x14ac:dyDescent="0.25">
      <c r="A930" s="22">
        <v>45930</v>
      </c>
      <c r="B930" s="12">
        <v>277.52</v>
      </c>
      <c r="C930" s="13">
        <v>-3.7000000000000002E-3</v>
      </c>
      <c r="D930" s="7">
        <v>32</v>
      </c>
      <c r="E930" s="7">
        <v>1.4500000000000001E-2</v>
      </c>
      <c r="F930" s="7">
        <v>151</v>
      </c>
      <c r="G930" s="8">
        <f t="shared" si="58"/>
        <v>0.9850126896000575</v>
      </c>
      <c r="H930" s="9">
        <f t="shared" si="59"/>
        <v>1.0760421444055664E-3</v>
      </c>
      <c r="I930" s="10">
        <f>SUM($H$3:H930)</f>
        <v>0.9669557407877496</v>
      </c>
      <c r="J930" s="23">
        <v>1.4500000000000001E-2</v>
      </c>
      <c r="Q930" s="7">
        <f t="shared" si="57"/>
        <v>9.9700434594263013E-5</v>
      </c>
      <c r="R930" s="7">
        <f t="shared" si="56"/>
        <v>1.0866589255353846E-3</v>
      </c>
    </row>
    <row r="931" spans="1:18" x14ac:dyDescent="0.25">
      <c r="A931" s="22">
        <v>45931</v>
      </c>
      <c r="B931" s="12">
        <v>280.51</v>
      </c>
      <c r="C931" s="13">
        <v>1.0800000000000001E-2</v>
      </c>
      <c r="D931" s="7">
        <v>31</v>
      </c>
      <c r="E931" s="7">
        <v>1.46E-2</v>
      </c>
      <c r="F931" s="7">
        <v>912</v>
      </c>
      <c r="G931" s="8">
        <f t="shared" si="58"/>
        <v>0.91283096282004061</v>
      </c>
      <c r="H931" s="9">
        <f t="shared" si="59"/>
        <v>9.9718977946516916E-4</v>
      </c>
      <c r="I931" s="10">
        <f>SUM($H$3:H931)</f>
        <v>0.96795293056721476</v>
      </c>
      <c r="J931" s="23">
        <v>1.46E-2</v>
      </c>
      <c r="Q931" s="7">
        <f t="shared" si="57"/>
        <v>9.9710405634826474E-5</v>
      </c>
      <c r="R931" s="7">
        <f t="shared" si="56"/>
        <v>1.0867676022956138E-3</v>
      </c>
    </row>
    <row r="932" spans="1:18" x14ac:dyDescent="0.25">
      <c r="A932" s="22">
        <v>45933</v>
      </c>
      <c r="B932" s="12">
        <v>281.16000000000003</v>
      </c>
      <c r="C932" s="13">
        <v>2.3E-3</v>
      </c>
      <c r="D932" s="7">
        <v>30</v>
      </c>
      <c r="E932" s="7">
        <v>1.46E-2</v>
      </c>
      <c r="F932" s="7">
        <v>161</v>
      </c>
      <c r="G932" s="8">
        <f t="shared" si="58"/>
        <v>0.98402812004798723</v>
      </c>
      <c r="H932" s="9">
        <f t="shared" si="59"/>
        <v>1.0749665863510238E-3</v>
      </c>
      <c r="I932" s="10">
        <f>SUM($H$3:H932)</f>
        <v>0.96902789715356574</v>
      </c>
      <c r="J932" s="23">
        <v>1.46E-2</v>
      </c>
      <c r="Q932" s="7">
        <f t="shared" si="57"/>
        <v>9.9720377672593734E-5</v>
      </c>
      <c r="R932" s="7">
        <f t="shared" si="56"/>
        <v>1.0868762899246063E-3</v>
      </c>
    </row>
    <row r="933" spans="1:18" x14ac:dyDescent="0.25">
      <c r="A933" s="22">
        <v>45936</v>
      </c>
      <c r="B933" s="12">
        <v>283.07</v>
      </c>
      <c r="C933" s="13">
        <v>6.7999999999999996E-3</v>
      </c>
      <c r="D933" s="7">
        <v>29</v>
      </c>
      <c r="E933" s="7">
        <v>1.4800000000000001E-2</v>
      </c>
      <c r="F933" s="7">
        <v>651</v>
      </c>
      <c r="G933" s="8">
        <f t="shared" si="58"/>
        <v>0.93697071126829512</v>
      </c>
      <c r="H933" s="9">
        <f t="shared" si="59"/>
        <v>1.0235603906866525E-3</v>
      </c>
      <c r="I933" s="10">
        <f>SUM($H$3:H933)</f>
        <v>0.97005145754425237</v>
      </c>
      <c r="J933" s="23">
        <v>1.4800000000000001E-2</v>
      </c>
      <c r="Q933" s="7">
        <f t="shared" si="57"/>
        <v>9.9730350707664497E-5</v>
      </c>
      <c r="R933" s="7">
        <f t="shared" si="56"/>
        <v>1.0869849884234486E-3</v>
      </c>
    </row>
    <row r="934" spans="1:18" x14ac:dyDescent="0.25">
      <c r="A934" s="22">
        <v>45937</v>
      </c>
      <c r="B934" s="12">
        <v>283.41000000000003</v>
      </c>
      <c r="C934" s="13">
        <v>1.1999999999999999E-3</v>
      </c>
      <c r="D934" s="7">
        <v>28</v>
      </c>
      <c r="E934" s="7">
        <v>1.4800000000000001E-2</v>
      </c>
      <c r="F934" s="7">
        <v>423</v>
      </c>
      <c r="G934" s="8">
        <f t="shared" si="58"/>
        <v>0.95858013524884844</v>
      </c>
      <c r="H934" s="9">
        <f t="shared" si="59"/>
        <v>1.0471668387709355E-3</v>
      </c>
      <c r="I934" s="10">
        <f>SUM($H$3:H934)</f>
        <v>0.9710986243830233</v>
      </c>
      <c r="J934" s="23">
        <v>1.4800000000000001E-2</v>
      </c>
      <c r="Q934" s="7">
        <f t="shared" si="57"/>
        <v>9.9740324740138511E-5</v>
      </c>
      <c r="R934" s="7">
        <f t="shared" si="56"/>
        <v>1.0870936977932278E-3</v>
      </c>
    </row>
    <row r="935" spans="1:18" x14ac:dyDescent="0.25">
      <c r="A935" s="22">
        <v>45938</v>
      </c>
      <c r="B935" s="12">
        <v>282.38</v>
      </c>
      <c r="C935" s="13">
        <v>-3.5999999999999999E-3</v>
      </c>
      <c r="D935" s="7">
        <v>27</v>
      </c>
      <c r="E935" s="7">
        <v>1.4999999999999999E-2</v>
      </c>
      <c r="F935" s="7">
        <v>775</v>
      </c>
      <c r="G935" s="8">
        <f t="shared" si="58"/>
        <v>0.92542343813479799</v>
      </c>
      <c r="H935" s="9">
        <f t="shared" si="59"/>
        <v>1.01094598208482E-3</v>
      </c>
      <c r="I935" s="10">
        <f>SUM($H$3:H935)</f>
        <v>0.97210957036510814</v>
      </c>
      <c r="J935" s="23">
        <v>1.4999999999999999E-2</v>
      </c>
      <c r="Q935" s="7">
        <f t="shared" si="57"/>
        <v>9.9750299770115522E-5</v>
      </c>
      <c r="R935" s="7">
        <f t="shared" si="56"/>
        <v>1.0872024180350313E-3</v>
      </c>
    </row>
    <row r="936" spans="1:18" x14ac:dyDescent="0.25">
      <c r="A936" s="22">
        <v>45939</v>
      </c>
      <c r="B936" s="12">
        <v>284.05</v>
      </c>
      <c r="C936" s="13">
        <v>5.8999999999999999E-3</v>
      </c>
      <c r="D936" s="7">
        <v>26</v>
      </c>
      <c r="E936" s="7">
        <v>1.5100000000000001E-2</v>
      </c>
      <c r="F936" s="7">
        <v>914</v>
      </c>
      <c r="G936" s="8">
        <f t="shared" si="58"/>
        <v>0.91264840575578621</v>
      </c>
      <c r="H936" s="9">
        <f t="shared" si="59"/>
        <v>9.9699035148117393E-4</v>
      </c>
      <c r="I936" s="10">
        <f>SUM($H$3:H936)</f>
        <v>0.9731065607165893</v>
      </c>
      <c r="J936" s="23">
        <v>1.5100000000000001E-2</v>
      </c>
      <c r="Q936" s="7">
        <f t="shared" si="57"/>
        <v>9.976027579769529E-5</v>
      </c>
      <c r="R936" s="7">
        <f t="shared" si="56"/>
        <v>1.0873111491499464E-3</v>
      </c>
    </row>
    <row r="937" spans="1:18" x14ac:dyDescent="0.25">
      <c r="A937" s="22">
        <v>45940</v>
      </c>
      <c r="B937" s="12">
        <v>285.52</v>
      </c>
      <c r="C937" s="13">
        <v>5.1999999999999998E-3</v>
      </c>
      <c r="D937" s="7">
        <v>25</v>
      </c>
      <c r="E937" s="7">
        <v>1.52E-2</v>
      </c>
      <c r="F937" s="7">
        <v>326</v>
      </c>
      <c r="G937" s="8">
        <f t="shared" si="58"/>
        <v>0.96792407460356544</v>
      </c>
      <c r="H937" s="9">
        <f t="shared" si="59"/>
        <v>1.0573742936053779E-3</v>
      </c>
      <c r="I937" s="10">
        <f>SUM($H$3:H937)</f>
        <v>0.97416393501019471</v>
      </c>
      <c r="J937" s="23">
        <v>1.52E-2</v>
      </c>
      <c r="Q937" s="7">
        <f t="shared" si="57"/>
        <v>9.9770252822977575E-5</v>
      </c>
      <c r="R937" s="7">
        <f t="shared" si="56"/>
        <v>1.0874198911390602E-3</v>
      </c>
    </row>
    <row r="938" spans="1:18" x14ac:dyDescent="0.25">
      <c r="A938" s="22">
        <v>45943</v>
      </c>
      <c r="B938" s="12">
        <v>284.64</v>
      </c>
      <c r="C938" s="13">
        <v>-3.0999999999999999E-3</v>
      </c>
      <c r="D938" s="7">
        <v>24</v>
      </c>
      <c r="E938" s="7">
        <v>1.5699999999999999E-2</v>
      </c>
      <c r="F938" s="7">
        <v>370</v>
      </c>
      <c r="G938" s="8">
        <f t="shared" si="58"/>
        <v>0.9636743524309993</v>
      </c>
      <c r="H938" s="9">
        <f t="shared" si="59"/>
        <v>1.0527318354848101E-3</v>
      </c>
      <c r="I938" s="10">
        <f>SUM($H$3:H938)</f>
        <v>0.97521666684567954</v>
      </c>
      <c r="J938" s="23">
        <v>1.5699999999999999E-2</v>
      </c>
      <c r="Q938" s="7">
        <f t="shared" si="57"/>
        <v>9.9780230846062193E-5</v>
      </c>
      <c r="R938" s="7">
        <f t="shared" si="56"/>
        <v>1.0875286440034605E-3</v>
      </c>
    </row>
    <row r="939" spans="1:18" x14ac:dyDescent="0.25">
      <c r="A939" s="22">
        <v>45944</v>
      </c>
      <c r="B939" s="12">
        <v>283.69</v>
      </c>
      <c r="C939" s="13">
        <v>-3.3E-3</v>
      </c>
      <c r="D939" s="7">
        <v>23</v>
      </c>
      <c r="E939" s="7">
        <v>1.6199999999999999E-2</v>
      </c>
      <c r="F939" s="7">
        <v>217</v>
      </c>
      <c r="G939" s="8">
        <f t="shared" si="58"/>
        <v>0.97853268936761395</v>
      </c>
      <c r="H939" s="9">
        <f t="shared" si="59"/>
        <v>1.0689632981942571E-3</v>
      </c>
      <c r="I939" s="10">
        <f>SUM($H$3:H939)</f>
        <v>0.97628563014387382</v>
      </c>
      <c r="J939" s="23">
        <v>1.6199999999999999E-2</v>
      </c>
      <c r="Q939" s="7">
        <f t="shared" si="57"/>
        <v>9.9790209867048902E-5</v>
      </c>
      <c r="R939" s="7">
        <f t="shared" si="56"/>
        <v>1.0876374077442351E-3</v>
      </c>
    </row>
    <row r="940" spans="1:18" x14ac:dyDescent="0.25">
      <c r="A940" s="22">
        <v>45945</v>
      </c>
      <c r="B940" s="12">
        <v>286.07</v>
      </c>
      <c r="C940" s="13">
        <v>8.3999999999999995E-3</v>
      </c>
      <c r="D940" s="7">
        <v>22</v>
      </c>
      <c r="E940" s="7">
        <v>1.6500000000000001E-2</v>
      </c>
      <c r="F940" s="7">
        <v>447</v>
      </c>
      <c r="G940" s="8">
        <f t="shared" si="58"/>
        <v>0.95628218666627718</v>
      </c>
      <c r="H940" s="9">
        <f t="shared" si="59"/>
        <v>1.0446565264200076E-3</v>
      </c>
      <c r="I940" s="10">
        <f>SUM($H$3:H940)</f>
        <v>0.97733028667029387</v>
      </c>
      <c r="J940" s="23">
        <v>1.6500000000000001E-2</v>
      </c>
      <c r="Q940" s="7">
        <f t="shared" si="57"/>
        <v>9.980018988603749E-5</v>
      </c>
      <c r="R940" s="7">
        <f t="shared" si="56"/>
        <v>1.0877461823624712E-3</v>
      </c>
    </row>
    <row r="941" spans="1:18" x14ac:dyDescent="0.25">
      <c r="A941" s="22">
        <v>45946</v>
      </c>
      <c r="B941" s="12">
        <v>288.7</v>
      </c>
      <c r="C941" s="13">
        <v>9.1999999999999998E-3</v>
      </c>
      <c r="D941" s="7">
        <v>21</v>
      </c>
      <c r="E941" s="7">
        <v>1.66E-2</v>
      </c>
      <c r="F941" s="7">
        <v>909</v>
      </c>
      <c r="G941" s="8">
        <f t="shared" si="58"/>
        <v>0.91310486688787385</v>
      </c>
      <c r="H941" s="9">
        <f t="shared" si="59"/>
        <v>9.9748899624036856E-4</v>
      </c>
      <c r="I941" s="10">
        <f>SUM($H$3:H941)</f>
        <v>0.97832777566653428</v>
      </c>
      <c r="J941" s="23">
        <v>1.66E-2</v>
      </c>
      <c r="Q941" s="7">
        <f t="shared" si="57"/>
        <v>9.9810170903127799E-5</v>
      </c>
      <c r="R941" s="7">
        <f t="shared" si="56"/>
        <v>1.087854967859257E-3</v>
      </c>
    </row>
    <row r="942" spans="1:18" x14ac:dyDescent="0.25">
      <c r="A942" s="22">
        <v>45947</v>
      </c>
      <c r="B942" s="12">
        <v>290.17</v>
      </c>
      <c r="C942" s="13">
        <v>5.1000000000000004E-3</v>
      </c>
      <c r="D942" s="7">
        <v>20</v>
      </c>
      <c r="E942" s="7">
        <v>1.66E-2</v>
      </c>
      <c r="F942" s="7">
        <v>312</v>
      </c>
      <c r="G942" s="8">
        <f t="shared" si="58"/>
        <v>0.96928018517055614</v>
      </c>
      <c r="H942" s="9">
        <f t="shared" si="59"/>
        <v>1.0588557284518143E-3</v>
      </c>
      <c r="I942" s="10">
        <f>SUM($H$3:H942)</f>
        <v>0.97938663139498605</v>
      </c>
      <c r="J942" s="23">
        <v>1.66E-2</v>
      </c>
      <c r="Q942" s="7">
        <f t="shared" si="57"/>
        <v>9.9820152918419643E-5</v>
      </c>
      <c r="R942" s="7">
        <f t="shared" si="56"/>
        <v>1.0879637642356805E-3</v>
      </c>
    </row>
    <row r="943" spans="1:18" x14ac:dyDescent="0.25">
      <c r="A943" s="22">
        <v>45950</v>
      </c>
      <c r="B943" s="12">
        <v>291.86</v>
      </c>
      <c r="C943" s="13">
        <v>5.7999999999999996E-3</v>
      </c>
      <c r="D943" s="7">
        <v>19</v>
      </c>
      <c r="E943" s="7">
        <v>1.6899999999999998E-2</v>
      </c>
      <c r="F943" s="7">
        <v>910</v>
      </c>
      <c r="G943" s="8">
        <f t="shared" si="58"/>
        <v>0.9130135564011852</v>
      </c>
      <c r="H943" s="9">
        <f t="shared" si="59"/>
        <v>9.9738924734074468E-4</v>
      </c>
      <c r="I943" s="10">
        <f>SUM($H$3:H943)</f>
        <v>0.98038402064232677</v>
      </c>
      <c r="J943" s="23">
        <v>1.6899999999999998E-2</v>
      </c>
      <c r="Q943" s="7">
        <f t="shared" si="57"/>
        <v>9.9830135932012836E-5</v>
      </c>
      <c r="R943" s="7">
        <f t="shared" si="56"/>
        <v>1.0880725714928299E-3</v>
      </c>
    </row>
    <row r="944" spans="1:18" x14ac:dyDescent="0.25">
      <c r="A944" s="22">
        <v>45951</v>
      </c>
      <c r="B944" s="12">
        <v>291.87</v>
      </c>
      <c r="C944" s="13">
        <v>0</v>
      </c>
      <c r="D944" s="7">
        <v>18</v>
      </c>
      <c r="E944" s="7">
        <v>1.7100000000000001E-2</v>
      </c>
      <c r="F944" s="7">
        <v>748</v>
      </c>
      <c r="G944" s="8">
        <f t="shared" si="58"/>
        <v>0.92792558290239235</v>
      </c>
      <c r="H944" s="9">
        <f t="shared" si="59"/>
        <v>1.0136793613090295E-3</v>
      </c>
      <c r="I944" s="10">
        <f>SUM($H$3:H944)</f>
        <v>0.9813977000036358</v>
      </c>
      <c r="J944" s="23">
        <v>1.7100000000000001E-2</v>
      </c>
      <c r="Q944" s="7">
        <f t="shared" si="57"/>
        <v>9.9840119944007234E-5</v>
      </c>
      <c r="R944" s="7">
        <f t="shared" si="56"/>
        <v>1.0881813896317929E-3</v>
      </c>
    </row>
    <row r="945" spans="1:18" x14ac:dyDescent="0.25">
      <c r="A945" s="22">
        <v>45953</v>
      </c>
      <c r="B945" s="12">
        <v>292.39</v>
      </c>
      <c r="C945" s="13">
        <v>1.8E-3</v>
      </c>
      <c r="D945" s="7">
        <v>17</v>
      </c>
      <c r="E945" s="7">
        <v>1.7600000000000001E-2</v>
      </c>
      <c r="F945" s="7">
        <v>845</v>
      </c>
      <c r="G945" s="8">
        <f t="shared" si="58"/>
        <v>0.91896777247094774</v>
      </c>
      <c r="H945" s="9">
        <f t="shared" si="59"/>
        <v>1.0038937193090833E-3</v>
      </c>
      <c r="I945" s="10">
        <f>SUM($H$3:H945)</f>
        <v>0.98240159372294489</v>
      </c>
      <c r="J945" s="23">
        <v>1.7600000000000001E-2</v>
      </c>
      <c r="Q945" s="7">
        <f t="shared" si="57"/>
        <v>9.9850104954502691E-5</v>
      </c>
      <c r="R945" s="7">
        <f t="shared" si="56"/>
        <v>1.0882902186536583E-3</v>
      </c>
    </row>
    <row r="946" spans="1:18" x14ac:dyDescent="0.25">
      <c r="A946" s="22">
        <v>45954</v>
      </c>
      <c r="B946" s="12">
        <v>291.04000000000002</v>
      </c>
      <c r="C946" s="13">
        <v>-4.5999999999999999E-3</v>
      </c>
      <c r="D946" s="7">
        <v>16</v>
      </c>
      <c r="E946" s="7">
        <v>1.77E-2</v>
      </c>
      <c r="F946" s="7">
        <v>146</v>
      </c>
      <c r="G946" s="8">
        <f t="shared" si="58"/>
        <v>0.98550534373124321</v>
      </c>
      <c r="H946" s="9">
        <f t="shared" si="59"/>
        <v>1.0765803269217598E-3</v>
      </c>
      <c r="I946" s="10">
        <f>SUM($H$3:H946)</f>
        <v>0.98347817404986659</v>
      </c>
      <c r="J946" s="23">
        <v>1.77E-2</v>
      </c>
      <c r="Q946" s="7">
        <f t="shared" si="57"/>
        <v>9.9860090963599049E-5</v>
      </c>
      <c r="R946" s="7">
        <f t="shared" si="56"/>
        <v>1.0883990585595143E-3</v>
      </c>
    </row>
    <row r="947" spans="1:18" x14ac:dyDescent="0.25">
      <c r="A947" s="22">
        <v>45957</v>
      </c>
      <c r="B947" s="12">
        <v>293.35000000000002</v>
      </c>
      <c r="C947" s="13">
        <v>7.9000000000000008E-3</v>
      </c>
      <c r="D947" s="7">
        <v>15</v>
      </c>
      <c r="E947" s="7">
        <v>1.8599999999999998E-2</v>
      </c>
      <c r="F947" s="7">
        <v>293</v>
      </c>
      <c r="G947" s="8">
        <f t="shared" si="58"/>
        <v>0.97112366044458365</v>
      </c>
      <c r="H947" s="9">
        <f t="shared" si="59"/>
        <v>1.0608695675708095E-3</v>
      </c>
      <c r="I947" s="10">
        <f>SUM($H$3:H947)</f>
        <v>0.98453904361743738</v>
      </c>
      <c r="J947" s="23">
        <v>1.8599999999999998E-2</v>
      </c>
      <c r="Q947" s="7">
        <f t="shared" si="57"/>
        <v>9.9870077971396176E-5</v>
      </c>
      <c r="R947" s="7">
        <f t="shared" si="56"/>
        <v>1.0885079093504492E-3</v>
      </c>
    </row>
    <row r="948" spans="1:18" x14ac:dyDescent="0.25">
      <c r="A948" s="22">
        <v>45958</v>
      </c>
      <c r="B948" s="12">
        <v>293.10000000000002</v>
      </c>
      <c r="C948" s="13">
        <v>-8.9999999999999998E-4</v>
      </c>
      <c r="D948" s="7">
        <v>14</v>
      </c>
      <c r="E948" s="7">
        <v>1.8800000000000001E-2</v>
      </c>
      <c r="F948" s="7">
        <v>861</v>
      </c>
      <c r="G948" s="8">
        <f t="shared" si="58"/>
        <v>0.91749852628186679</v>
      </c>
      <c r="H948" s="9">
        <f t="shared" si="59"/>
        <v>1.0022886934686545E-3</v>
      </c>
      <c r="I948" s="10">
        <f>SUM($H$3:H948)</f>
        <v>0.98554133231090602</v>
      </c>
      <c r="J948" s="23">
        <v>1.8800000000000001E-2</v>
      </c>
      <c r="Q948" s="7">
        <f t="shared" si="57"/>
        <v>9.9880065977993969E-5</v>
      </c>
      <c r="R948" s="7">
        <f t="shared" si="56"/>
        <v>1.0886167710275519E-3</v>
      </c>
    </row>
    <row r="949" spans="1:18" x14ac:dyDescent="0.25">
      <c r="A949" s="22">
        <v>45959</v>
      </c>
      <c r="B949" s="12">
        <v>294.5</v>
      </c>
      <c r="C949" s="13">
        <v>4.7999999999999996E-3</v>
      </c>
      <c r="D949" s="7">
        <v>13</v>
      </c>
      <c r="E949" s="7">
        <v>1.9099999999999999E-2</v>
      </c>
      <c r="F949" s="7">
        <v>148</v>
      </c>
      <c r="G949" s="8">
        <f t="shared" si="58"/>
        <v>0.9853082525175505</v>
      </c>
      <c r="H949" s="9">
        <f t="shared" si="59"/>
        <v>1.0763650216221788E-3</v>
      </c>
      <c r="I949" s="10">
        <f>SUM($H$3:H949)</f>
        <v>0.98661769733252824</v>
      </c>
      <c r="J949" s="23">
        <v>1.9099999999999999E-2</v>
      </c>
      <c r="Q949" s="7">
        <f t="shared" si="57"/>
        <v>9.9890054983492322E-5</v>
      </c>
      <c r="R949" s="7">
        <f t="shared" si="56"/>
        <v>1.0887256435919111E-3</v>
      </c>
    </row>
    <row r="950" spans="1:18" x14ac:dyDescent="0.25">
      <c r="A950" s="22">
        <v>45960</v>
      </c>
      <c r="B950" s="12">
        <v>292.58</v>
      </c>
      <c r="C950" s="13">
        <v>-6.4999999999999997E-3</v>
      </c>
      <c r="D950" s="7">
        <v>12</v>
      </c>
      <c r="E950" s="7">
        <v>1.9699999999999999E-2</v>
      </c>
      <c r="F950" s="7">
        <v>149</v>
      </c>
      <c r="G950" s="8">
        <f t="shared" si="58"/>
        <v>0.98520972169229881</v>
      </c>
      <c r="H950" s="9">
        <f t="shared" si="59"/>
        <v>1.0762573851200168E-3</v>
      </c>
      <c r="I950" s="10">
        <f>SUM($H$3:H950)</f>
        <v>0.98769395471764831</v>
      </c>
      <c r="J950" s="23">
        <v>1.9699999999999999E-2</v>
      </c>
      <c r="Q950" s="7">
        <f t="shared" si="57"/>
        <v>9.9900044987991118E-5</v>
      </c>
      <c r="R950" s="7">
        <f t="shared" si="56"/>
        <v>1.0888345270446155E-3</v>
      </c>
    </row>
    <row r="951" spans="1:18" x14ac:dyDescent="0.25">
      <c r="A951" s="22">
        <v>45961</v>
      </c>
      <c r="B951" s="12">
        <v>291.08</v>
      </c>
      <c r="C951" s="13">
        <v>-5.1000000000000004E-3</v>
      </c>
      <c r="D951" s="7">
        <v>11</v>
      </c>
      <c r="E951" s="7">
        <v>1.9800000000000002E-2</v>
      </c>
      <c r="F951" s="7">
        <v>485</v>
      </c>
      <c r="G951" s="8">
        <f t="shared" si="58"/>
        <v>0.95265502896057597</v>
      </c>
      <c r="H951" s="9">
        <f t="shared" si="59"/>
        <v>1.0406941667499767E-3</v>
      </c>
      <c r="I951" s="10">
        <f>SUM($H$3:H951)</f>
        <v>0.98873464888439833</v>
      </c>
      <c r="J951" s="23">
        <v>1.9800000000000002E-2</v>
      </c>
      <c r="Q951" s="7">
        <f t="shared" si="57"/>
        <v>9.9910035991590266E-5</v>
      </c>
      <c r="R951" s="7">
        <f t="shared" si="56"/>
        <v>1.0889434213867543E-3</v>
      </c>
    </row>
    <row r="952" spans="1:18" x14ac:dyDescent="0.25">
      <c r="A952" s="22">
        <v>45964</v>
      </c>
      <c r="B952" s="12">
        <v>291.35000000000002</v>
      </c>
      <c r="C952" s="13">
        <v>8.9999999999999998E-4</v>
      </c>
      <c r="D952" s="7">
        <v>10</v>
      </c>
      <c r="E952" s="7">
        <v>2.06E-2</v>
      </c>
      <c r="F952" s="7">
        <v>915</v>
      </c>
      <c r="G952" s="8">
        <f t="shared" si="58"/>
        <v>0.91255714091521067</v>
      </c>
      <c r="H952" s="9">
        <f t="shared" si="59"/>
        <v>9.9689065244602587E-4</v>
      </c>
      <c r="I952" s="10">
        <f>SUM($H$3:H952)</f>
        <v>0.98973153953684434</v>
      </c>
      <c r="J952" s="23">
        <v>2.06E-2</v>
      </c>
      <c r="Q952" s="7">
        <f t="shared" si="57"/>
        <v>9.9920027994389717E-5</v>
      </c>
      <c r="R952" s="7">
        <f t="shared" si="56"/>
        <v>1.0890523266194163E-3</v>
      </c>
    </row>
    <row r="953" spans="1:18" x14ac:dyDescent="0.25">
      <c r="A953" s="22">
        <v>45965</v>
      </c>
      <c r="B953" s="12">
        <v>289.58999999999997</v>
      </c>
      <c r="C953" s="13">
        <v>-6.0000000000000001E-3</v>
      </c>
      <c r="D953" s="7">
        <v>9</v>
      </c>
      <c r="E953" s="7">
        <v>2.1299999999999999E-2</v>
      </c>
      <c r="F953" s="7">
        <v>245</v>
      </c>
      <c r="G953" s="8">
        <f t="shared" si="58"/>
        <v>0.97579649348728081</v>
      </c>
      <c r="H953" s="9">
        <f t="shared" si="59"/>
        <v>1.0659742381408451E-3</v>
      </c>
      <c r="I953" s="10">
        <f>SUM($H$3:H953)</f>
        <v>0.99079751377498515</v>
      </c>
      <c r="J953" s="23">
        <v>2.1299999999999999E-2</v>
      </c>
      <c r="Q953" s="7">
        <f t="shared" si="57"/>
        <v>9.9930020996489365E-5</v>
      </c>
      <c r="R953" s="7">
        <f t="shared" si="56"/>
        <v>1.0891612427436905E-3</v>
      </c>
    </row>
    <row r="954" spans="1:18" x14ac:dyDescent="0.25">
      <c r="A954" s="22">
        <v>45967</v>
      </c>
      <c r="B954" s="12">
        <v>288.24</v>
      </c>
      <c r="C954" s="13">
        <v>-4.7000000000000002E-3</v>
      </c>
      <c r="D954" s="7">
        <v>8</v>
      </c>
      <c r="E954" s="7">
        <v>2.1499999999999998E-2</v>
      </c>
      <c r="F954" s="7">
        <v>359</v>
      </c>
      <c r="G954" s="8">
        <f t="shared" si="58"/>
        <v>0.96473503051945297</v>
      </c>
      <c r="H954" s="9">
        <f t="shared" si="59"/>
        <v>1.0538905356080412E-3</v>
      </c>
      <c r="I954" s="10">
        <f>SUM($H$3:H954)</f>
        <v>0.99185140431059315</v>
      </c>
      <c r="J954" s="23">
        <v>2.1499999999999998E-2</v>
      </c>
      <c r="Q954" s="7">
        <f t="shared" si="57"/>
        <v>9.994001499798916E-5</v>
      </c>
      <c r="R954" s="7">
        <f t="shared" si="56"/>
        <v>1.0892701697606667E-3</v>
      </c>
    </row>
    <row r="955" spans="1:18" x14ac:dyDescent="0.25">
      <c r="A955" s="22">
        <v>45968</v>
      </c>
      <c r="B955" s="12">
        <v>288.44</v>
      </c>
      <c r="C955" s="13">
        <v>6.9999999999999999E-4</v>
      </c>
      <c r="D955" s="7">
        <v>7</v>
      </c>
      <c r="E955" s="7">
        <v>2.1899999999999999E-2</v>
      </c>
      <c r="F955" s="7">
        <v>773</v>
      </c>
      <c r="G955" s="8">
        <f t="shared" si="58"/>
        <v>0.92560855058883018</v>
      </c>
      <c r="H955" s="9">
        <f t="shared" si="59"/>
        <v>1.0111482016136608E-3</v>
      </c>
      <c r="I955" s="10">
        <f>SUM($H$3:H955)</f>
        <v>0.99286255251220679</v>
      </c>
      <c r="J955" s="23">
        <v>2.1899999999999999E-2</v>
      </c>
      <c r="Q955" s="7">
        <f t="shared" si="57"/>
        <v>9.9950009998989054E-5</v>
      </c>
      <c r="R955" s="7">
        <f t="shared" si="56"/>
        <v>1.0893791076714337E-3</v>
      </c>
    </row>
    <row r="956" spans="1:18" x14ac:dyDescent="0.25">
      <c r="A956" s="22">
        <v>45971</v>
      </c>
      <c r="B956" s="12">
        <v>289.49</v>
      </c>
      <c r="C956" s="13">
        <v>3.5999999999999999E-3</v>
      </c>
      <c r="D956" s="7">
        <v>6</v>
      </c>
      <c r="E956" s="7">
        <v>2.3599999999999999E-2</v>
      </c>
      <c r="F956" s="7">
        <v>797</v>
      </c>
      <c r="G956" s="8">
        <f t="shared" si="58"/>
        <v>0.92338964287456859</v>
      </c>
      <c r="H956" s="9">
        <f t="shared" si="59"/>
        <v>1.0087242346533351E-3</v>
      </c>
      <c r="I956" s="10">
        <f>SUM($H$3:H956)</f>
        <v>0.99387127674686015</v>
      </c>
      <c r="J956" s="23">
        <v>2.3599999999999999E-2</v>
      </c>
      <c r="Q956" s="7">
        <f t="shared" si="57"/>
        <v>9.9960005999589008E-5</v>
      </c>
      <c r="R956" s="7">
        <f t="shared" si="56"/>
        <v>1.0894880564770813E-3</v>
      </c>
    </row>
    <row r="957" spans="1:18" x14ac:dyDescent="0.25">
      <c r="A957" s="22">
        <v>45972</v>
      </c>
      <c r="B957" s="12">
        <v>290.82</v>
      </c>
      <c r="C957" s="13">
        <v>4.5999999999999999E-3</v>
      </c>
      <c r="D957" s="7">
        <v>5</v>
      </c>
      <c r="E957" s="7">
        <v>2.46E-2</v>
      </c>
      <c r="F957" s="7">
        <v>867</v>
      </c>
      <c r="G957" s="8">
        <f t="shared" si="58"/>
        <v>0.91694816477252827</v>
      </c>
      <c r="H957" s="9">
        <f t="shared" si="59"/>
        <v>1.0016874705758333E-3</v>
      </c>
      <c r="I957" s="10">
        <f>SUM($H$3:H957)</f>
        <v>0.99487296421743598</v>
      </c>
      <c r="J957" s="23">
        <v>2.46E-2</v>
      </c>
      <c r="Q957" s="7">
        <f t="shared" si="57"/>
        <v>9.9970002999889E-5</v>
      </c>
      <c r="R957" s="7">
        <f t="shared" si="56"/>
        <v>1.0895970161786993E-3</v>
      </c>
    </row>
    <row r="958" spans="1:18" x14ac:dyDescent="0.25">
      <c r="A958" s="22">
        <v>45973</v>
      </c>
      <c r="B958" s="12">
        <v>292.72000000000003</v>
      </c>
      <c r="C958" s="13">
        <v>6.4999999999999997E-3</v>
      </c>
      <c r="D958" s="7">
        <v>4</v>
      </c>
      <c r="E958" s="7">
        <v>2.4799999999999999E-2</v>
      </c>
      <c r="F958" s="7">
        <v>898</v>
      </c>
      <c r="G958" s="8">
        <f t="shared" si="58"/>
        <v>0.91410988515190195</v>
      </c>
      <c r="H958" s="9">
        <f t="shared" si="59"/>
        <v>9.9858689276435212E-4</v>
      </c>
      <c r="I958" s="10">
        <f>SUM($H$3:H958)</f>
        <v>0.99587155111020031</v>
      </c>
      <c r="J958" s="23">
        <v>2.4799999999999999E-2</v>
      </c>
      <c r="Q958" s="7">
        <f t="shared" si="57"/>
        <v>9.9980000999988993E-5</v>
      </c>
      <c r="R958" s="7">
        <f t="shared" si="56"/>
        <v>1.0897059867773769E-3</v>
      </c>
    </row>
    <row r="959" spans="1:18" x14ac:dyDescent="0.25">
      <c r="A959" s="22">
        <v>45974</v>
      </c>
      <c r="B959" s="12">
        <v>292.39</v>
      </c>
      <c r="C959" s="13">
        <v>-1.1000000000000001E-3</v>
      </c>
      <c r="D959" s="7">
        <v>3</v>
      </c>
      <c r="E959" s="7">
        <v>2.5000000000000001E-2</v>
      </c>
      <c r="F959" s="7">
        <v>870</v>
      </c>
      <c r="G959" s="8">
        <f t="shared" si="58"/>
        <v>0.9166731078306245</v>
      </c>
      <c r="H959" s="9">
        <f t="shared" si="59"/>
        <v>1.001386994384283E-3</v>
      </c>
      <c r="I959" s="10">
        <f>SUM($H$3:H959)</f>
        <v>0.99687293810458455</v>
      </c>
      <c r="J959" s="23">
        <v>2.5000000000000001E-2</v>
      </c>
      <c r="Q959" s="7">
        <f t="shared" si="57"/>
        <v>9.9989999999988992E-5</v>
      </c>
      <c r="R959" s="7">
        <f t="shared" si="56"/>
        <v>1.0898149682742045E-3</v>
      </c>
    </row>
    <row r="960" spans="1:18" x14ac:dyDescent="0.25">
      <c r="A960" s="22">
        <v>45975</v>
      </c>
      <c r="B960" s="12">
        <v>292.83</v>
      </c>
      <c r="C960" s="13">
        <v>1.5E-3</v>
      </c>
      <c r="D960" s="7">
        <v>2</v>
      </c>
      <c r="E960" s="7">
        <v>2.7400000000000001E-2</v>
      </c>
      <c r="F960" s="7">
        <v>930</v>
      </c>
      <c r="G960" s="8">
        <f t="shared" si="58"/>
        <v>0.91118926297374714</v>
      </c>
      <c r="H960" s="9">
        <f t="shared" si="59"/>
        <v>9.9539636274909287E-4</v>
      </c>
      <c r="I960" s="10">
        <f>SUM($H$3:H960)</f>
        <v>0.9978683344673337</v>
      </c>
      <c r="J960" s="23">
        <v>2.7400000000000001E-2</v>
      </c>
      <c r="Q960" s="7">
        <f t="shared" si="57"/>
        <v>9.9999999999988987E-5</v>
      </c>
      <c r="R960" s="7">
        <f t="shared" si="56"/>
        <v>1.0899239606702714E-3</v>
      </c>
    </row>
    <row r="961" spans="1:18" x14ac:dyDescent="0.25">
      <c r="A961" s="22">
        <v>45978</v>
      </c>
      <c r="B961" s="12">
        <v>293.97000000000003</v>
      </c>
      <c r="C961" s="13">
        <v>3.8999999999999998E-3</v>
      </c>
      <c r="D961" s="7">
        <v>1</v>
      </c>
      <c r="E961" s="7">
        <v>2.7799999999999998E-2</v>
      </c>
      <c r="F961" s="7">
        <v>363</v>
      </c>
      <c r="G961" s="8">
        <f t="shared" si="58"/>
        <v>0.96434919438748834</v>
      </c>
      <c r="H961" s="9">
        <f t="shared" si="59"/>
        <v>1.0534690426230149E-3</v>
      </c>
      <c r="I961" s="10">
        <f>SUM($H$3:H961)</f>
        <v>0.99892180350995674</v>
      </c>
      <c r="J961" s="23">
        <v>2.7799999999999998E-2</v>
      </c>
      <c r="Q961" s="7">
        <f t="shared" si="57"/>
        <v>1.0001000100008898E-4</v>
      </c>
      <c r="R961" s="7">
        <f t="shared" si="56"/>
        <v>1.0900329639666679E-3</v>
      </c>
    </row>
    <row r="962" spans="1:18" ht="15.75" thickBot="1" x14ac:dyDescent="0.3">
      <c r="A962" s="24">
        <v>45979</v>
      </c>
      <c r="B962" s="25">
        <v>292.97000000000003</v>
      </c>
      <c r="C962" s="26">
        <v>-3.3999999999999998E-3</v>
      </c>
      <c r="D962" s="27">
        <v>0</v>
      </c>
      <c r="E962" s="27">
        <v>3.8899999999999997E-2</v>
      </c>
      <c r="F962" s="27">
        <v>131</v>
      </c>
      <c r="G962" s="28">
        <f t="shared" si="58"/>
        <v>0.98698478502369758</v>
      </c>
      <c r="H962" s="29">
        <f t="shared" si="59"/>
        <v>1.0781964900409386E-3</v>
      </c>
      <c r="I962" s="30">
        <f>SUM($H$3:H962)</f>
        <v>0.99999999999999767</v>
      </c>
      <c r="J962" s="31">
        <v>3.8899999999999997E-2</v>
      </c>
      <c r="Q962" s="7">
        <f t="shared" si="57"/>
        <v>1.0001000100008898E-4</v>
      </c>
      <c r="R962" s="7">
        <f t="shared" ref="R962:R1025" si="60">Q962/$U$2</f>
        <v>1.0900329639666679E-3</v>
      </c>
    </row>
    <row r="963" spans="1:18" x14ac:dyDescent="0.25">
      <c r="Q963" s="7">
        <f t="shared" ref="Q963" si="61">(1-$N$3) * $N$3^(D964-1)</f>
        <v>1.0001000100008898E-4</v>
      </c>
      <c r="R963" s="7">
        <f t="shared" si="60"/>
        <v>1.0900329639666679E-3</v>
      </c>
    </row>
  </sheetData>
  <mergeCells count="2">
    <mergeCell ref="M14:O14"/>
    <mergeCell ref="M15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7A8B-ED3F-496B-8E3F-5952915B0202}">
  <dimension ref="A1:U963"/>
  <sheetViews>
    <sheetView tabSelected="1" topLeftCell="K1" workbookViewId="0">
      <selection activeCell="U11" sqref="U11"/>
    </sheetView>
  </sheetViews>
  <sheetFormatPr defaultRowHeight="15" x14ac:dyDescent="0.25"/>
  <cols>
    <col min="1" max="1" width="13.140625" customWidth="1"/>
    <col min="2" max="2" width="9.85546875" bestFit="1" customWidth="1"/>
    <col min="3" max="3" width="16.140625" bestFit="1" customWidth="1"/>
    <col min="4" max="4" width="7.5703125" bestFit="1" customWidth="1"/>
    <col min="5" max="5" width="31.140625" bestFit="1" customWidth="1"/>
    <col min="6" max="6" width="30.85546875" bestFit="1" customWidth="1"/>
    <col min="7" max="7" width="15.140625" bestFit="1" customWidth="1"/>
    <col min="8" max="9" width="11.85546875" bestFit="1" customWidth="1"/>
    <col min="10" max="10" width="31.7109375" bestFit="1" customWidth="1"/>
    <col min="11" max="11" width="14.140625" customWidth="1"/>
    <col min="12" max="12" width="14.85546875" bestFit="1" customWidth="1"/>
    <col min="13" max="13" width="21.140625" bestFit="1" customWidth="1"/>
    <col min="14" max="14" width="12" bestFit="1" customWidth="1"/>
    <col min="15" max="15" width="12.140625" customWidth="1"/>
    <col min="17" max="17" width="11.85546875" bestFit="1" customWidth="1"/>
    <col min="18" max="18" width="18.140625" bestFit="1" customWidth="1"/>
    <col min="20" max="20" width="25.140625" bestFit="1" customWidth="1"/>
  </cols>
  <sheetData>
    <row r="1" spans="1:21" ht="15.75" thickBot="1" x14ac:dyDescent="0.3">
      <c r="A1" s="17" t="s">
        <v>0</v>
      </c>
      <c r="B1" s="18" t="s">
        <v>524</v>
      </c>
      <c r="C1" s="18" t="s">
        <v>525</v>
      </c>
      <c r="D1" s="18" t="s">
        <v>506</v>
      </c>
      <c r="E1" s="18" t="s">
        <v>512</v>
      </c>
      <c r="F1" s="18" t="s">
        <v>513</v>
      </c>
      <c r="G1" s="18" t="s">
        <v>507</v>
      </c>
      <c r="H1" s="18" t="s">
        <v>508</v>
      </c>
      <c r="I1" s="18" t="s">
        <v>509</v>
      </c>
      <c r="J1" s="19" t="s">
        <v>512</v>
      </c>
      <c r="K1" s="6"/>
      <c r="Q1" s="11" t="s">
        <v>520</v>
      </c>
      <c r="R1" s="11" t="s">
        <v>521</v>
      </c>
    </row>
    <row r="2" spans="1:21" ht="15.75" thickBot="1" x14ac:dyDescent="0.3">
      <c r="A2" s="20">
        <v>44564</v>
      </c>
      <c r="B2" s="14">
        <v>190.72</v>
      </c>
      <c r="C2" s="15"/>
      <c r="D2" s="16"/>
      <c r="E2" s="16"/>
      <c r="F2" s="16"/>
      <c r="G2" s="16"/>
      <c r="H2" s="16"/>
      <c r="I2" s="16"/>
      <c r="J2" s="21"/>
      <c r="Q2" s="7">
        <f>(1-$N$3) * $N$3^(D3-1)</f>
        <v>6.374449454519729E-15</v>
      </c>
      <c r="R2" s="7">
        <f t="shared" ref="R2:R65" si="0">Q2/$U$2</f>
        <v>5.8332226140427355E-15</v>
      </c>
      <c r="T2" s="11" t="s">
        <v>522</v>
      </c>
      <c r="U2" s="7">
        <f>SUM(Q2:Q963)</f>
        <v>1.0927835051544337</v>
      </c>
    </row>
    <row r="3" spans="1:21" x14ac:dyDescent="0.25">
      <c r="A3" s="22">
        <v>44565</v>
      </c>
      <c r="B3" s="12">
        <v>192.46</v>
      </c>
      <c r="C3" s="13">
        <v>9.1000000000000004E-3</v>
      </c>
      <c r="D3" s="7">
        <v>959</v>
      </c>
      <c r="E3" s="7">
        <v>-3.6200000000000003E-2</v>
      </c>
      <c r="F3" s="7">
        <v>923</v>
      </c>
      <c r="G3" s="8">
        <f>$N$3^F3</f>
        <v>6.170363193050222E-13</v>
      </c>
      <c r="H3" s="9">
        <f>G3/$N$4</f>
        <v>1.8511089579154367E-14</v>
      </c>
      <c r="I3" s="10">
        <f>SUM($H$3:H3)</f>
        <v>1.8511089579154367E-14</v>
      </c>
      <c r="J3" s="23">
        <v>-3.6200000000000003E-2</v>
      </c>
      <c r="M3" s="34" t="s">
        <v>519</v>
      </c>
      <c r="N3" s="37">
        <v>0.97</v>
      </c>
      <c r="Q3" s="7">
        <f t="shared" ref="Q3:Q66" si="1">(1-$N$3) * $N$3^(D4-1)</f>
        <v>6.5715973757935359E-15</v>
      </c>
      <c r="R3" s="7">
        <f t="shared" si="0"/>
        <v>6.0136315608688005E-15</v>
      </c>
      <c r="T3" s="11" t="s">
        <v>523</v>
      </c>
      <c r="U3" s="7">
        <f>SUM(R2:R963)</f>
        <v>0.99999999999999989</v>
      </c>
    </row>
    <row r="4" spans="1:21" x14ac:dyDescent="0.25">
      <c r="A4" s="22">
        <v>44566</v>
      </c>
      <c r="B4" s="12">
        <v>193.34</v>
      </c>
      <c r="C4" s="13">
        <v>4.5999999999999999E-3</v>
      </c>
      <c r="D4" s="7">
        <v>958</v>
      </c>
      <c r="E4" s="7">
        <v>-3.1300000000000001E-2</v>
      </c>
      <c r="F4" s="7">
        <v>152</v>
      </c>
      <c r="G4" s="8">
        <f t="shared" ref="G4:G67" si="2">$N$3^F4</f>
        <v>9.7567147600368317E-3</v>
      </c>
      <c r="H4" s="9">
        <f>G4/$N$4</f>
        <v>2.9270144280116344E-4</v>
      </c>
      <c r="I4" s="10">
        <f>SUM($H$3:H4)</f>
        <v>2.9270144281967451E-4</v>
      </c>
      <c r="J4" s="23">
        <v>-3.1300000000000001E-2</v>
      </c>
      <c r="M4" s="35" t="s">
        <v>518</v>
      </c>
      <c r="N4" s="38">
        <f>SUM(G3:G962)</f>
        <v>33.333333333326671</v>
      </c>
      <c r="Q4" s="7">
        <f t="shared" si="1"/>
        <v>6.7748426554572527E-15</v>
      </c>
      <c r="R4" s="7">
        <f t="shared" si="0"/>
        <v>6.1996201658441233E-15</v>
      </c>
    </row>
    <row r="5" spans="1:21" ht="15.75" thickBot="1" x14ac:dyDescent="0.3">
      <c r="A5" s="22">
        <v>44567</v>
      </c>
      <c r="B5" s="12">
        <v>191.92</v>
      </c>
      <c r="C5" s="13">
        <v>-7.3000000000000001E-3</v>
      </c>
      <c r="D5" s="7">
        <v>957</v>
      </c>
      <c r="E5" s="7">
        <v>-2.9700000000000001E-2</v>
      </c>
      <c r="F5" s="7">
        <v>362</v>
      </c>
      <c r="G5" s="8">
        <f t="shared" si="2"/>
        <v>1.6269260175484912E-5</v>
      </c>
      <c r="H5" s="9">
        <f t="shared" ref="H5:H68" si="3">G5/$N$4</f>
        <v>4.8807780526464495E-7</v>
      </c>
      <c r="I5" s="10">
        <f>SUM($H$3:H5)</f>
        <v>2.9318952062493917E-4</v>
      </c>
      <c r="J5" s="23">
        <v>-2.9700000000000001E-2</v>
      </c>
      <c r="M5" s="36" t="s">
        <v>517</v>
      </c>
      <c r="N5" s="39">
        <f>SUM(H3:H962)</f>
        <v>0.999999999999999</v>
      </c>
      <c r="Q5" s="7">
        <f t="shared" si="1"/>
        <v>6.9843738716054152E-15</v>
      </c>
      <c r="R5" s="7">
        <f t="shared" si="0"/>
        <v>6.3913609957155911E-15</v>
      </c>
    </row>
    <row r="6" spans="1:21" ht="15.75" thickBot="1" x14ac:dyDescent="0.3">
      <c r="A6" s="22">
        <v>44568</v>
      </c>
      <c r="B6" s="12">
        <v>192.42</v>
      </c>
      <c r="C6" s="13">
        <v>2.5999999999999999E-3</v>
      </c>
      <c r="D6" s="7">
        <v>956</v>
      </c>
      <c r="E6" s="7">
        <v>-2.8799999999999999E-2</v>
      </c>
      <c r="F6" s="7">
        <v>931</v>
      </c>
      <c r="G6" s="8">
        <f t="shared" si="2"/>
        <v>4.8359811778718903E-13</v>
      </c>
      <c r="H6" s="9">
        <f t="shared" si="3"/>
        <v>1.450794353361857E-14</v>
      </c>
      <c r="I6" s="10">
        <f>SUM($H$3:H6)</f>
        <v>2.931895206394471E-4</v>
      </c>
      <c r="J6" s="23">
        <v>-2.8799999999999999E-2</v>
      </c>
      <c r="Q6" s="7">
        <f t="shared" si="1"/>
        <v>7.2003854346447596E-15</v>
      </c>
      <c r="R6" s="7">
        <f t="shared" si="0"/>
        <v>6.5890319543459721E-15</v>
      </c>
    </row>
    <row r="7" spans="1:21" x14ac:dyDescent="0.25">
      <c r="A7" s="22">
        <v>44571</v>
      </c>
      <c r="B7" s="12">
        <v>194.35</v>
      </c>
      <c r="C7" s="13">
        <v>0.01</v>
      </c>
      <c r="D7" s="7">
        <v>955</v>
      </c>
      <c r="E7" s="7">
        <v>-2.5999999999999999E-2</v>
      </c>
      <c r="F7" s="7">
        <v>851</v>
      </c>
      <c r="G7" s="8">
        <f t="shared" si="2"/>
        <v>5.5302639582169292E-12</v>
      </c>
      <c r="H7" s="9">
        <f t="shared" si="3"/>
        <v>1.6590791874654104E-13</v>
      </c>
      <c r="I7" s="10">
        <f>SUM($H$3:H7)</f>
        <v>2.9318952080535502E-4</v>
      </c>
      <c r="J7" s="23">
        <v>-2.5999999999999999E-2</v>
      </c>
      <c r="M7" s="40" t="s">
        <v>516</v>
      </c>
      <c r="N7" s="34" t="s">
        <v>510</v>
      </c>
      <c r="O7" s="43" t="s">
        <v>511</v>
      </c>
      <c r="Q7" s="7">
        <f t="shared" si="1"/>
        <v>7.4230777676750087E-15</v>
      </c>
      <c r="R7" s="7">
        <f t="shared" si="0"/>
        <v>6.7928164477793515E-15</v>
      </c>
    </row>
    <row r="8" spans="1:21" x14ac:dyDescent="0.25">
      <c r="A8" s="22">
        <v>44572</v>
      </c>
      <c r="B8" s="12">
        <v>194.69</v>
      </c>
      <c r="C8" s="13">
        <v>1.6999999999999999E-3</v>
      </c>
      <c r="D8" s="7">
        <v>954</v>
      </c>
      <c r="E8" s="7">
        <v>-2.5399999999999999E-2</v>
      </c>
      <c r="F8" s="7">
        <v>945</v>
      </c>
      <c r="G8" s="8">
        <f t="shared" si="2"/>
        <v>3.1571039500314485E-13</v>
      </c>
      <c r="H8" s="9">
        <f t="shared" si="3"/>
        <v>9.471311850096238E-15</v>
      </c>
      <c r="I8" s="10">
        <f>SUM($H$3:H8)</f>
        <v>2.9318952081482634E-4</v>
      </c>
      <c r="J8" s="23">
        <v>-2.5399999999999999E-2</v>
      </c>
      <c r="L8" s="32">
        <v>0.05</v>
      </c>
      <c r="M8" s="41">
        <f>100%-L8</f>
        <v>0.95</v>
      </c>
      <c r="N8" s="46">
        <f>_xlfn.PERCENTILE.INC($C$3:$C$962,L8)</f>
        <v>-1.2704999999999999E-2</v>
      </c>
      <c r="O8" s="44">
        <f>VLOOKUP(L8,$I$3:$J$962,2,1)</f>
        <v>-6.4999999999999997E-3</v>
      </c>
      <c r="Q8" s="7">
        <f t="shared" si="1"/>
        <v>7.6526574924484638E-15</v>
      </c>
      <c r="R8" s="7">
        <f t="shared" si="0"/>
        <v>7.0029035544117034E-15</v>
      </c>
    </row>
    <row r="9" spans="1:21" x14ac:dyDescent="0.25">
      <c r="A9" s="22">
        <v>44573</v>
      </c>
      <c r="B9" s="12">
        <v>196.2</v>
      </c>
      <c r="C9" s="13">
        <v>7.7999999999999996E-3</v>
      </c>
      <c r="D9" s="7">
        <v>953</v>
      </c>
      <c r="E9" s="7">
        <v>-2.47E-2</v>
      </c>
      <c r="F9" s="7">
        <v>868</v>
      </c>
      <c r="G9" s="8">
        <f t="shared" si="2"/>
        <v>3.2950752957193289E-12</v>
      </c>
      <c r="H9" s="9">
        <f t="shared" si="3"/>
        <v>9.8852258871599629E-14</v>
      </c>
      <c r="I9" s="10">
        <f>SUM($H$3:H9)</f>
        <v>2.9318952091367858E-4</v>
      </c>
      <c r="J9" s="23">
        <v>-2.47E-2</v>
      </c>
      <c r="L9" s="32">
        <v>2.5000000000000001E-2</v>
      </c>
      <c r="M9" s="41">
        <f>100%-L9</f>
        <v>0.97499999999999998</v>
      </c>
      <c r="N9" s="46">
        <f>_xlfn.PERCENTILE.INC($C$3:$C$962,L9)</f>
        <v>-1.58125E-2</v>
      </c>
      <c r="O9" s="44">
        <f>VLOOKUP(L9,$I$3:$J$962,2,1)</f>
        <v>-8.2000000000000007E-3</v>
      </c>
      <c r="Q9" s="7">
        <f t="shared" si="1"/>
        <v>7.8893376210808887E-15</v>
      </c>
      <c r="R9" s="7">
        <f t="shared" si="0"/>
        <v>7.2194882004244344E-15</v>
      </c>
    </row>
    <row r="10" spans="1:21" x14ac:dyDescent="0.25">
      <c r="A10" s="22">
        <v>44574</v>
      </c>
      <c r="B10" s="12">
        <v>197</v>
      </c>
      <c r="C10" s="13">
        <v>4.1000000000000003E-3</v>
      </c>
      <c r="D10" s="7">
        <v>952</v>
      </c>
      <c r="E10" s="7">
        <v>-2.2499999999999999E-2</v>
      </c>
      <c r="F10" s="7">
        <v>320</v>
      </c>
      <c r="G10" s="8">
        <f t="shared" si="2"/>
        <v>5.8472944662519343E-5</v>
      </c>
      <c r="H10" s="9">
        <f t="shared" si="3"/>
        <v>1.754188339875931E-6</v>
      </c>
      <c r="I10" s="10">
        <f>SUM($H$3:H10)</f>
        <v>2.9494370925355453E-4</v>
      </c>
      <c r="J10" s="23">
        <v>-2.2499999999999999E-2</v>
      </c>
      <c r="L10" s="32">
        <v>0.01</v>
      </c>
      <c r="M10" s="41">
        <f>100%-L10</f>
        <v>0.99</v>
      </c>
      <c r="N10" s="46">
        <f>_xlfn.PERCENTILE.INC($C$3:$C$962,L10)</f>
        <v>-2.1232999999999998E-2</v>
      </c>
      <c r="O10" s="44">
        <f>VLOOKUP(L10,$I$3:$J$962,2,1)</f>
        <v>-8.9999999999999993E-3</v>
      </c>
      <c r="Q10" s="7">
        <f t="shared" si="1"/>
        <v>8.1333377536916396E-15</v>
      </c>
      <c r="R10" s="7">
        <f t="shared" si="0"/>
        <v>7.442771340643749E-15</v>
      </c>
    </row>
    <row r="11" spans="1:21" ht="15.75" thickBot="1" x14ac:dyDescent="0.3">
      <c r="A11" s="22">
        <v>44575</v>
      </c>
      <c r="B11" s="12">
        <v>197.36</v>
      </c>
      <c r="C11" s="13">
        <v>1.8E-3</v>
      </c>
      <c r="D11" s="7">
        <v>951</v>
      </c>
      <c r="E11" s="7">
        <v>-2.23E-2</v>
      </c>
      <c r="F11" s="7">
        <v>917</v>
      </c>
      <c r="G11" s="8">
        <f t="shared" si="2"/>
        <v>7.4076477439072705E-13</v>
      </c>
      <c r="H11" s="9">
        <f t="shared" si="3"/>
        <v>2.2222943231726252E-14</v>
      </c>
      <c r="I11" s="10">
        <f>SUM($H$3:H11)</f>
        <v>2.9494370927577747E-4</v>
      </c>
      <c r="J11" s="23">
        <v>-2.23E-2</v>
      </c>
      <c r="L11" s="33">
        <v>1E-3</v>
      </c>
      <c r="M11" s="42">
        <f>100%-L11</f>
        <v>0.999</v>
      </c>
      <c r="N11" s="47">
        <f>_xlfn.PERCENTILE.INC($C$3:$C$962,L11)</f>
        <v>-3.1500899999999998E-2</v>
      </c>
      <c r="O11" s="45">
        <f>VLOOKUP(L11,$I$3:$J$962,2,1)</f>
        <v>-1.2800000000000001E-2</v>
      </c>
      <c r="Q11" s="7">
        <f t="shared" si="1"/>
        <v>8.3848842821563299E-15</v>
      </c>
      <c r="R11" s="7">
        <f t="shared" si="0"/>
        <v>7.6729601449935565E-15</v>
      </c>
    </row>
    <row r="12" spans="1:21" x14ac:dyDescent="0.25">
      <c r="A12" s="22">
        <v>44578</v>
      </c>
      <c r="B12" s="12">
        <v>198.03</v>
      </c>
      <c r="C12" s="13">
        <v>3.3999999999999998E-3</v>
      </c>
      <c r="D12" s="7">
        <v>950</v>
      </c>
      <c r="E12" s="7">
        <v>-2.1999999999999999E-2</v>
      </c>
      <c r="F12" s="7">
        <v>879</v>
      </c>
      <c r="G12" s="8">
        <f t="shared" si="2"/>
        <v>2.356971982308907E-12</v>
      </c>
      <c r="H12" s="9">
        <f t="shared" si="3"/>
        <v>7.0709159469281339E-14</v>
      </c>
      <c r="I12" s="10">
        <f>SUM($H$3:H12)</f>
        <v>2.9494370934648664E-4</v>
      </c>
      <c r="J12" s="23">
        <v>-2.1999999999999999E-2</v>
      </c>
      <c r="Q12" s="7">
        <f t="shared" si="1"/>
        <v>8.6442106001611651E-15</v>
      </c>
      <c r="R12" s="7">
        <f t="shared" si="0"/>
        <v>7.9102681907150063E-15</v>
      </c>
    </row>
    <row r="13" spans="1:21" ht="15.75" thickBot="1" x14ac:dyDescent="0.3">
      <c r="A13" s="22">
        <v>44579</v>
      </c>
      <c r="B13" s="12">
        <v>195.97</v>
      </c>
      <c r="C13" s="13">
        <v>-1.04E-2</v>
      </c>
      <c r="D13" s="7">
        <v>949</v>
      </c>
      <c r="E13" s="7">
        <v>-2.07E-2</v>
      </c>
      <c r="F13" s="7">
        <v>848</v>
      </c>
      <c r="G13" s="8">
        <f t="shared" si="2"/>
        <v>6.0594144433076582E-12</v>
      </c>
      <c r="H13" s="9">
        <f t="shared" si="3"/>
        <v>1.8178243329926608E-13</v>
      </c>
      <c r="I13" s="10">
        <f>SUM($H$3:H13)</f>
        <v>2.9494370952826908E-4</v>
      </c>
      <c r="J13" s="23">
        <v>-2.07E-2</v>
      </c>
      <c r="Q13" s="7">
        <f t="shared" si="1"/>
        <v>8.9115573197537796E-15</v>
      </c>
      <c r="R13" s="7">
        <f t="shared" si="0"/>
        <v>8.1549156605309353E-15</v>
      </c>
    </row>
    <row r="14" spans="1:21" x14ac:dyDescent="0.25">
      <c r="A14" s="22">
        <v>44580</v>
      </c>
      <c r="B14" s="12">
        <v>194.18</v>
      </c>
      <c r="C14" s="13">
        <v>-9.1000000000000004E-3</v>
      </c>
      <c r="D14" s="7">
        <v>948</v>
      </c>
      <c r="E14" s="7">
        <v>-2.06E-2</v>
      </c>
      <c r="F14" s="7">
        <v>873</v>
      </c>
      <c r="G14" s="8">
        <f t="shared" si="2"/>
        <v>2.8295932736776772E-12</v>
      </c>
      <c r="H14" s="9">
        <f t="shared" si="3"/>
        <v>8.4887798210347284E-14</v>
      </c>
      <c r="I14" s="10">
        <f>SUM($H$3:H14)</f>
        <v>2.9494370961315685E-4</v>
      </c>
      <c r="J14" s="23">
        <v>-2.06E-2</v>
      </c>
      <c r="M14" s="50" t="s">
        <v>514</v>
      </c>
      <c r="N14" s="51"/>
      <c r="O14" s="52"/>
      <c r="Q14" s="7">
        <f t="shared" si="1"/>
        <v>9.1871724945915232E-15</v>
      </c>
      <c r="R14" s="7">
        <f t="shared" si="0"/>
        <v>8.4071295469391076E-15</v>
      </c>
    </row>
    <row r="15" spans="1:21" ht="15.75" thickBot="1" x14ac:dyDescent="0.3">
      <c r="A15" s="22">
        <v>44581</v>
      </c>
      <c r="B15" s="12">
        <v>192.18</v>
      </c>
      <c r="C15" s="13">
        <v>-1.03E-2</v>
      </c>
      <c r="D15" s="7">
        <v>947</v>
      </c>
      <c r="E15" s="7">
        <v>-0.02</v>
      </c>
      <c r="F15" s="7">
        <v>454</v>
      </c>
      <c r="G15" s="8">
        <f t="shared" si="2"/>
        <v>9.8711410325733693E-7</v>
      </c>
      <c r="H15" s="9">
        <f t="shared" si="3"/>
        <v>2.9613423097726027E-8</v>
      </c>
      <c r="I15" s="10">
        <f>SUM($H$3:H15)</f>
        <v>2.9497332303625456E-4</v>
      </c>
      <c r="J15" s="23">
        <v>-0.02</v>
      </c>
      <c r="M15" s="53" t="s">
        <v>515</v>
      </c>
      <c r="N15" s="54"/>
      <c r="O15" s="55"/>
      <c r="Q15" s="7">
        <f t="shared" si="1"/>
        <v>9.4713118500943542E-15</v>
      </c>
      <c r="R15" s="7">
        <f t="shared" si="0"/>
        <v>8.6671438628238214E-15</v>
      </c>
    </row>
    <row r="16" spans="1:21" x14ac:dyDescent="0.25">
      <c r="A16" s="22">
        <v>44582</v>
      </c>
      <c r="B16" s="12">
        <v>190.64</v>
      </c>
      <c r="C16" s="13">
        <v>-8.0000000000000002E-3</v>
      </c>
      <c r="D16" s="7">
        <v>946</v>
      </c>
      <c r="E16" s="7">
        <v>-1.9400000000000001E-2</v>
      </c>
      <c r="F16" s="7">
        <v>785</v>
      </c>
      <c r="G16" s="8">
        <f t="shared" si="2"/>
        <v>4.1286816685780075E-11</v>
      </c>
      <c r="H16" s="9">
        <f t="shared" si="3"/>
        <v>1.2386045005736497E-12</v>
      </c>
      <c r="I16" s="10">
        <f>SUM($H$3:H16)</f>
        <v>2.9497332427485905E-4</v>
      </c>
      <c r="J16" s="23">
        <v>-1.9400000000000001E-2</v>
      </c>
      <c r="Q16" s="7">
        <f t="shared" si="1"/>
        <v>9.7642390207158294E-15</v>
      </c>
      <c r="R16" s="7">
        <f t="shared" si="0"/>
        <v>8.9351998585812594E-15</v>
      </c>
    </row>
    <row r="17" spans="1:18" x14ac:dyDescent="0.25">
      <c r="A17" s="22">
        <v>44585</v>
      </c>
      <c r="B17" s="12">
        <v>185.79</v>
      </c>
      <c r="C17" s="13">
        <v>-2.5399999999999999E-2</v>
      </c>
      <c r="D17" s="7">
        <v>945</v>
      </c>
      <c r="E17" s="7">
        <v>-1.9400000000000001E-2</v>
      </c>
      <c r="F17" s="7">
        <v>279</v>
      </c>
      <c r="G17" s="8">
        <f t="shared" si="2"/>
        <v>2.0385147597419973E-4</v>
      </c>
      <c r="H17" s="9">
        <f t="shared" si="3"/>
        <v>6.1155442792272144E-6</v>
      </c>
      <c r="I17" s="10">
        <f>SUM($H$3:H17)</f>
        <v>3.0108886855408627E-4</v>
      </c>
      <c r="J17" s="23">
        <v>-1.9400000000000001E-2</v>
      </c>
      <c r="Q17" s="7">
        <f t="shared" si="1"/>
        <v>1.0066225794552401E-14</v>
      </c>
      <c r="R17" s="7">
        <f t="shared" si="0"/>
        <v>9.2115462459600605E-15</v>
      </c>
    </row>
    <row r="18" spans="1:18" x14ac:dyDescent="0.25">
      <c r="A18" s="22">
        <v>44586</v>
      </c>
      <c r="B18" s="12">
        <v>187.07</v>
      </c>
      <c r="C18" s="13">
        <v>6.8999999999999999E-3</v>
      </c>
      <c r="D18" s="7">
        <v>944</v>
      </c>
      <c r="E18" s="7">
        <v>-1.8100000000000002E-2</v>
      </c>
      <c r="F18" s="7">
        <v>779</v>
      </c>
      <c r="G18" s="8">
        <f t="shared" si="2"/>
        <v>4.9565671404886226E-11</v>
      </c>
      <c r="H18" s="9">
        <f t="shared" si="3"/>
        <v>1.4869701421468839E-12</v>
      </c>
      <c r="I18" s="10">
        <f>SUM($H$3:H18)</f>
        <v>3.0108887004105643E-4</v>
      </c>
      <c r="J18" s="23">
        <v>-1.8100000000000002E-2</v>
      </c>
      <c r="Q18" s="7">
        <f t="shared" si="1"/>
        <v>1.037755236551794E-14</v>
      </c>
      <c r="R18" s="7">
        <f t="shared" si="0"/>
        <v>9.4964394288248065E-15</v>
      </c>
    </row>
    <row r="19" spans="1:18" x14ac:dyDescent="0.25">
      <c r="A19" s="22">
        <v>44588</v>
      </c>
      <c r="B19" s="12">
        <v>185.33</v>
      </c>
      <c r="C19" s="13">
        <v>-9.2999999999999992E-3</v>
      </c>
      <c r="D19" s="7">
        <v>943</v>
      </c>
      <c r="E19" s="7">
        <v>-1.7500000000000002E-2</v>
      </c>
      <c r="F19" s="7">
        <v>890</v>
      </c>
      <c r="G19" s="8">
        <f t="shared" si="2"/>
        <v>1.6859453659848556E-12</v>
      </c>
      <c r="H19" s="9">
        <f t="shared" si="3"/>
        <v>5.0578360979555776E-14</v>
      </c>
      <c r="I19" s="10">
        <f>SUM($H$3:H19)</f>
        <v>3.0108887009163478E-4</v>
      </c>
      <c r="J19" s="23">
        <v>-1.7500000000000002E-2</v>
      </c>
      <c r="Q19" s="7">
        <f t="shared" si="1"/>
        <v>1.0698507593317465E-14</v>
      </c>
      <c r="R19" s="7">
        <f t="shared" si="0"/>
        <v>9.790143741056502E-15</v>
      </c>
    </row>
    <row r="20" spans="1:18" x14ac:dyDescent="0.25">
      <c r="A20" s="22">
        <v>44589</v>
      </c>
      <c r="B20" s="12">
        <v>185.1</v>
      </c>
      <c r="C20" s="13">
        <v>-1.1999999999999999E-3</v>
      </c>
      <c r="D20" s="7">
        <v>942</v>
      </c>
      <c r="E20" s="7">
        <v>-1.7100000000000001E-2</v>
      </c>
      <c r="F20" s="7">
        <v>936</v>
      </c>
      <c r="G20" s="8">
        <f t="shared" si="2"/>
        <v>4.1528215850833556E-13</v>
      </c>
      <c r="H20" s="9">
        <f t="shared" si="3"/>
        <v>1.2458464755252556E-14</v>
      </c>
      <c r="I20" s="10">
        <f>SUM($H$3:H20)</f>
        <v>3.0108887010409324E-4</v>
      </c>
      <c r="J20" s="23">
        <v>-1.7100000000000001E-2</v>
      </c>
      <c r="Q20" s="7">
        <f t="shared" si="1"/>
        <v>1.1029389271461303E-14</v>
      </c>
      <c r="R20" s="7">
        <f t="shared" si="0"/>
        <v>1.0092931691810826E-14</v>
      </c>
    </row>
    <row r="21" spans="1:18" x14ac:dyDescent="0.25">
      <c r="A21" s="22">
        <v>44592</v>
      </c>
      <c r="B21" s="12">
        <v>187.63</v>
      </c>
      <c r="C21" s="13">
        <v>1.37E-2</v>
      </c>
      <c r="D21" s="7">
        <v>941</v>
      </c>
      <c r="E21" s="7">
        <v>-1.7100000000000001E-2</v>
      </c>
      <c r="F21" s="7">
        <v>718</v>
      </c>
      <c r="G21" s="8">
        <f t="shared" si="2"/>
        <v>3.1776437274165144E-10</v>
      </c>
      <c r="H21" s="9">
        <f t="shared" si="3"/>
        <v>9.5329311822514495E-12</v>
      </c>
      <c r="I21" s="10">
        <f>SUM($H$3:H21)</f>
        <v>3.0108887963702444E-4</v>
      </c>
      <c r="J21" s="23">
        <v>-1.7100000000000001E-2</v>
      </c>
      <c r="Q21" s="7">
        <f t="shared" si="1"/>
        <v>1.1370504403568353E-14</v>
      </c>
      <c r="R21" s="7">
        <f t="shared" si="0"/>
        <v>1.0405084218361676E-14</v>
      </c>
    </row>
    <row r="22" spans="1:18" x14ac:dyDescent="0.25">
      <c r="A22" s="22">
        <v>44593</v>
      </c>
      <c r="B22" s="12">
        <v>189.7</v>
      </c>
      <c r="C22" s="13">
        <v>1.0999999999999999E-2</v>
      </c>
      <c r="D22" s="7">
        <v>940</v>
      </c>
      <c r="E22" s="7">
        <v>-1.7100000000000001E-2</v>
      </c>
      <c r="F22" s="7">
        <v>450</v>
      </c>
      <c r="G22" s="8">
        <f t="shared" si="2"/>
        <v>1.1150142552918023E-6</v>
      </c>
      <c r="H22" s="9">
        <f t="shared" si="3"/>
        <v>3.3450427658760756E-8</v>
      </c>
      <c r="I22" s="10">
        <f>SUM($H$3:H22)</f>
        <v>3.0112233006468318E-4</v>
      </c>
      <c r="J22" s="23">
        <v>-1.7100000000000001E-2</v>
      </c>
      <c r="Q22" s="7">
        <f t="shared" si="1"/>
        <v>1.1722169488214799E-14</v>
      </c>
      <c r="R22" s="7">
        <f t="shared" si="0"/>
        <v>1.0726890946764616E-14</v>
      </c>
    </row>
    <row r="23" spans="1:18" x14ac:dyDescent="0.25">
      <c r="A23" s="22">
        <v>44594</v>
      </c>
      <c r="B23" s="12">
        <v>192.12</v>
      </c>
      <c r="C23" s="13">
        <v>1.2800000000000001E-2</v>
      </c>
      <c r="D23" s="7">
        <v>939</v>
      </c>
      <c r="E23" s="7">
        <v>-1.7000000000000001E-2</v>
      </c>
      <c r="F23" s="7">
        <v>877</v>
      </c>
      <c r="G23" s="8">
        <f t="shared" si="2"/>
        <v>2.5050185804112097E-12</v>
      </c>
      <c r="H23" s="9">
        <f t="shared" si="3"/>
        <v>7.515055741235131E-14</v>
      </c>
      <c r="I23" s="10">
        <f>SUM($H$3:H23)</f>
        <v>3.0112233013983373E-4</v>
      </c>
      <c r="J23" s="23">
        <v>-1.7000000000000001E-2</v>
      </c>
      <c r="Q23" s="7">
        <f t="shared" si="1"/>
        <v>1.2084710812592575E-14</v>
      </c>
      <c r="R23" s="7">
        <f t="shared" si="0"/>
        <v>1.1058650460582077E-14</v>
      </c>
    </row>
    <row r="24" spans="1:18" x14ac:dyDescent="0.25">
      <c r="A24" s="22">
        <v>44595</v>
      </c>
      <c r="B24" s="12">
        <v>190.01</v>
      </c>
      <c r="C24" s="13">
        <v>-1.0999999999999999E-2</v>
      </c>
      <c r="D24" s="7">
        <v>938</v>
      </c>
      <c r="E24" s="7">
        <v>-1.7000000000000001E-2</v>
      </c>
      <c r="F24" s="7">
        <v>780</v>
      </c>
      <c r="G24" s="8">
        <f t="shared" si="2"/>
        <v>4.8078701262739637E-11</v>
      </c>
      <c r="H24" s="9">
        <f t="shared" si="3"/>
        <v>1.4423610378824774E-12</v>
      </c>
      <c r="I24" s="10">
        <f>SUM($H$3:H24)</f>
        <v>3.0112233158219477E-4</v>
      </c>
      <c r="J24" s="23">
        <v>-1.7000000000000001E-2</v>
      </c>
      <c r="Q24" s="7">
        <f t="shared" si="1"/>
        <v>1.2458464755250078E-14</v>
      </c>
      <c r="R24" s="7">
        <f t="shared" si="0"/>
        <v>1.1400670577919668E-14</v>
      </c>
    </row>
    <row r="25" spans="1:18" x14ac:dyDescent="0.25">
      <c r="A25" s="22">
        <v>44596</v>
      </c>
      <c r="B25" s="12">
        <v>189.59</v>
      </c>
      <c r="C25" s="13">
        <v>-2.2000000000000001E-3</v>
      </c>
      <c r="D25" s="7">
        <v>937</v>
      </c>
      <c r="E25" s="7">
        <v>-1.6400000000000001E-2</v>
      </c>
      <c r="F25" s="7">
        <v>852</v>
      </c>
      <c r="G25" s="8">
        <f t="shared" si="2"/>
        <v>5.3643560394704211E-12</v>
      </c>
      <c r="H25" s="9">
        <f t="shared" si="3"/>
        <v>1.609306811841448E-13</v>
      </c>
      <c r="I25" s="10">
        <f>SUM($H$3:H25)</f>
        <v>3.0112233174312545E-4</v>
      </c>
      <c r="J25" s="23">
        <v>-1.6400000000000001E-2</v>
      </c>
      <c r="Q25" s="7">
        <f t="shared" si="1"/>
        <v>1.2843778098195956E-14</v>
      </c>
      <c r="R25" s="7">
        <f t="shared" si="0"/>
        <v>1.1753268637030584E-14</v>
      </c>
    </row>
    <row r="26" spans="1:18" x14ac:dyDescent="0.25">
      <c r="A26" s="22">
        <v>44599</v>
      </c>
      <c r="B26" s="12">
        <v>186.34</v>
      </c>
      <c r="C26" s="13">
        <v>-1.7100000000000001E-2</v>
      </c>
      <c r="D26" s="7">
        <v>936</v>
      </c>
      <c r="E26" s="7">
        <v>-1.6299999999999999E-2</v>
      </c>
      <c r="F26" s="7">
        <v>176</v>
      </c>
      <c r="G26" s="8">
        <f t="shared" si="2"/>
        <v>4.6970505147620406E-3</v>
      </c>
      <c r="H26" s="9">
        <f t="shared" si="3"/>
        <v>1.4091151544288937E-4</v>
      </c>
      <c r="I26" s="10">
        <f>SUM($H$3:H26)</f>
        <v>4.420338471860148E-4</v>
      </c>
      <c r="J26" s="23">
        <v>-1.6299999999999999E-2</v>
      </c>
      <c r="Q26" s="7">
        <f t="shared" si="1"/>
        <v>1.3241008348655624E-14</v>
      </c>
      <c r="R26" s="7">
        <f t="shared" si="0"/>
        <v>1.2116771790753179E-14</v>
      </c>
    </row>
    <row r="27" spans="1:18" x14ac:dyDescent="0.25">
      <c r="A27" s="22">
        <v>44600</v>
      </c>
      <c r="B27" s="12">
        <v>186.81</v>
      </c>
      <c r="C27" s="13">
        <v>2.5000000000000001E-3</v>
      </c>
      <c r="D27" s="7">
        <v>935</v>
      </c>
      <c r="E27" s="7">
        <v>-1.5800000000000002E-2</v>
      </c>
      <c r="F27" s="7">
        <v>225</v>
      </c>
      <c r="G27" s="8">
        <f t="shared" si="2"/>
        <v>1.0559423541518743E-3</v>
      </c>
      <c r="H27" s="9">
        <f t="shared" si="3"/>
        <v>3.1678270624562558E-5</v>
      </c>
      <c r="I27" s="10">
        <f>SUM($H$3:H27)</f>
        <v>4.7371211781057737E-4</v>
      </c>
      <c r="J27" s="23">
        <v>-1.5800000000000002E-2</v>
      </c>
      <c r="Q27" s="7">
        <f t="shared" si="1"/>
        <v>1.3650524070778995E-14</v>
      </c>
      <c r="R27" s="7">
        <f t="shared" si="0"/>
        <v>1.2491517310054825E-14</v>
      </c>
    </row>
    <row r="28" spans="1:18" x14ac:dyDescent="0.25">
      <c r="A28" s="22">
        <v>44601</v>
      </c>
      <c r="B28" s="12">
        <v>189.03</v>
      </c>
      <c r="C28" s="13">
        <v>1.1900000000000001E-2</v>
      </c>
      <c r="D28" s="7">
        <v>934</v>
      </c>
      <c r="E28" s="7">
        <v>-1.55E-2</v>
      </c>
      <c r="F28" s="7">
        <v>694</v>
      </c>
      <c r="G28" s="8">
        <f t="shared" si="2"/>
        <v>6.6006025185347277E-10</v>
      </c>
      <c r="H28" s="9">
        <f t="shared" si="3"/>
        <v>1.9801807555608143E-11</v>
      </c>
      <c r="I28" s="10">
        <f>SUM($H$3:H28)</f>
        <v>4.7371213761238491E-4</v>
      </c>
      <c r="J28" s="23">
        <v>-1.55E-2</v>
      </c>
      <c r="Q28" s="7">
        <f t="shared" si="1"/>
        <v>1.4072705227607214E-14</v>
      </c>
      <c r="R28" s="7">
        <f t="shared" si="0"/>
        <v>1.287785289696374E-14</v>
      </c>
    </row>
    <row r="29" spans="1:18" x14ac:dyDescent="0.25">
      <c r="A29" s="22">
        <v>44602</v>
      </c>
      <c r="B29" s="12">
        <v>190.11</v>
      </c>
      <c r="C29" s="13">
        <v>5.7000000000000002E-3</v>
      </c>
      <c r="D29" s="7">
        <v>933</v>
      </c>
      <c r="E29" s="7">
        <v>-1.5299999999999999E-2</v>
      </c>
      <c r="F29" s="7">
        <v>769</v>
      </c>
      <c r="G29" s="8">
        <f t="shared" si="2"/>
        <v>6.7214604997523481E-11</v>
      </c>
      <c r="H29" s="9">
        <f t="shared" si="3"/>
        <v>2.0164381499261075E-12</v>
      </c>
      <c r="I29" s="10">
        <f>SUM($H$3:H29)</f>
        <v>4.7371213962882304E-4</v>
      </c>
      <c r="J29" s="23">
        <v>-1.5299999999999999E-2</v>
      </c>
      <c r="Q29" s="7">
        <f t="shared" si="1"/>
        <v>1.4507943533615683E-14</v>
      </c>
      <c r="R29" s="7">
        <f t="shared" si="0"/>
        <v>1.3276137007179112E-14</v>
      </c>
    </row>
    <row r="30" spans="1:18" x14ac:dyDescent="0.25">
      <c r="A30" s="22">
        <v>44603</v>
      </c>
      <c r="B30" s="12">
        <v>188</v>
      </c>
      <c r="C30" s="13">
        <v>-1.11E-2</v>
      </c>
      <c r="D30" s="7">
        <v>932</v>
      </c>
      <c r="E30" s="7">
        <v>-1.52E-2</v>
      </c>
      <c r="F30" s="7">
        <v>379</v>
      </c>
      <c r="G30" s="8">
        <f t="shared" si="2"/>
        <v>9.6936489268687835E-6</v>
      </c>
      <c r="H30" s="9">
        <f t="shared" si="3"/>
        <v>2.9080946780612165E-7</v>
      </c>
      <c r="I30" s="10">
        <f>SUM($H$3:H30)</f>
        <v>4.7400294909662915E-4</v>
      </c>
      <c r="J30" s="23">
        <v>-1.52E-2</v>
      </c>
      <c r="Q30" s="7">
        <f t="shared" si="1"/>
        <v>1.4956642818160495E-14</v>
      </c>
      <c r="R30" s="7">
        <f t="shared" si="0"/>
        <v>1.3686739182658876E-14</v>
      </c>
    </row>
    <row r="31" spans="1:18" x14ac:dyDescent="0.25">
      <c r="A31" s="22">
        <v>44606</v>
      </c>
      <c r="B31" s="12">
        <v>182.59</v>
      </c>
      <c r="C31" s="13">
        <v>-2.8799999999999999E-2</v>
      </c>
      <c r="D31" s="7">
        <v>931</v>
      </c>
      <c r="E31" s="7">
        <v>-1.4999999999999999E-2</v>
      </c>
      <c r="F31" s="7">
        <v>415</v>
      </c>
      <c r="G31" s="8">
        <f t="shared" si="2"/>
        <v>3.2379468860800031E-6</v>
      </c>
      <c r="H31" s="9">
        <f t="shared" si="3"/>
        <v>9.7138406582419507E-8</v>
      </c>
      <c r="I31" s="10">
        <f>SUM($H$3:H31)</f>
        <v>4.7410008750321158E-4</v>
      </c>
      <c r="J31" s="23">
        <v>-1.4999999999999999E-2</v>
      </c>
      <c r="Q31" s="7">
        <f t="shared" si="1"/>
        <v>1.5419219400165459E-14</v>
      </c>
      <c r="R31" s="7">
        <f t="shared" si="0"/>
        <v>1.4110040394493688E-14</v>
      </c>
    </row>
    <row r="32" spans="1:18" x14ac:dyDescent="0.25">
      <c r="A32" s="22">
        <v>44607</v>
      </c>
      <c r="B32" s="12">
        <v>187.59</v>
      </c>
      <c r="C32" s="13">
        <v>2.7400000000000001E-2</v>
      </c>
      <c r="D32" s="7">
        <v>930</v>
      </c>
      <c r="E32" s="7">
        <v>-1.46E-2</v>
      </c>
      <c r="F32" s="7">
        <v>473</v>
      </c>
      <c r="G32" s="8">
        <f t="shared" si="2"/>
        <v>5.5338872698407075E-7</v>
      </c>
      <c r="H32" s="9">
        <f t="shared" si="3"/>
        <v>1.6601661809525441E-8</v>
      </c>
      <c r="I32" s="10">
        <f>SUM($H$3:H32)</f>
        <v>4.7411668916502112E-4</v>
      </c>
      <c r="J32" s="23">
        <v>-1.46E-2</v>
      </c>
      <c r="Q32" s="7">
        <f t="shared" si="1"/>
        <v>1.5896102474397385E-14</v>
      </c>
      <c r="R32" s="7">
        <f t="shared" si="0"/>
        <v>1.4546433396385247E-14</v>
      </c>
    </row>
    <row r="33" spans="1:18" x14ac:dyDescent="0.25">
      <c r="A33" s="22">
        <v>44608</v>
      </c>
      <c r="B33" s="12">
        <v>187.14</v>
      </c>
      <c r="C33" s="13">
        <v>-2.3999999999999998E-3</v>
      </c>
      <c r="D33" s="7">
        <v>929</v>
      </c>
      <c r="E33" s="7">
        <v>-1.46E-2</v>
      </c>
      <c r="F33" s="7">
        <v>215</v>
      </c>
      <c r="G33" s="8">
        <f t="shared" si="2"/>
        <v>1.4319335585046974E-3</v>
      </c>
      <c r="H33" s="9">
        <f t="shared" si="3"/>
        <v>4.2958006755149511E-5</v>
      </c>
      <c r="I33" s="10">
        <f>SUM($H$3:H33)</f>
        <v>5.1707469592017063E-4</v>
      </c>
      <c r="J33" s="23">
        <v>-1.46E-2</v>
      </c>
      <c r="Q33" s="7">
        <f t="shared" si="1"/>
        <v>1.6387734509688021E-14</v>
      </c>
      <c r="R33" s="7">
        <f t="shared" si="0"/>
        <v>1.4996323089056952E-14</v>
      </c>
    </row>
    <row r="34" spans="1:18" x14ac:dyDescent="0.25">
      <c r="A34" s="22">
        <v>44609</v>
      </c>
      <c r="B34" s="12">
        <v>186.93</v>
      </c>
      <c r="C34" s="13">
        <v>-1.1000000000000001E-3</v>
      </c>
      <c r="D34" s="7">
        <v>928</v>
      </c>
      <c r="E34" s="7">
        <v>-1.46E-2</v>
      </c>
      <c r="F34" s="7">
        <v>210</v>
      </c>
      <c r="G34" s="8">
        <f t="shared" si="2"/>
        <v>1.6674936774951383E-3</v>
      </c>
      <c r="H34" s="9">
        <f t="shared" si="3"/>
        <v>5.0024810324864149E-5</v>
      </c>
      <c r="I34" s="10">
        <f>SUM($H$3:H34)</f>
        <v>5.6709950624503477E-4</v>
      </c>
      <c r="J34" s="23">
        <v>-1.46E-2</v>
      </c>
      <c r="Q34" s="7">
        <f t="shared" si="1"/>
        <v>1.6894571659472187E-14</v>
      </c>
      <c r="R34" s="7">
        <f t="shared" si="0"/>
        <v>1.5460126895935003E-14</v>
      </c>
    </row>
    <row r="35" spans="1:18" x14ac:dyDescent="0.25">
      <c r="A35" s="22">
        <v>44610</v>
      </c>
      <c r="B35" s="12">
        <v>186.64</v>
      </c>
      <c r="C35" s="13">
        <v>-1.6000000000000001E-3</v>
      </c>
      <c r="D35" s="7">
        <v>927</v>
      </c>
      <c r="E35" s="7">
        <v>-1.4500000000000001E-2</v>
      </c>
      <c r="F35" s="7">
        <v>918</v>
      </c>
      <c r="G35" s="8">
        <f t="shared" si="2"/>
        <v>7.1854183115900522E-13</v>
      </c>
      <c r="H35" s="9">
        <f t="shared" si="3"/>
        <v>2.1556254934774466E-14</v>
      </c>
      <c r="I35" s="10">
        <f>SUM($H$3:H35)</f>
        <v>5.6709950626659099E-4</v>
      </c>
      <c r="J35" s="23">
        <v>-1.4500000000000001E-2</v>
      </c>
      <c r="Q35" s="7">
        <f t="shared" si="1"/>
        <v>1.7417084185022877E-14</v>
      </c>
      <c r="R35" s="7">
        <f t="shared" si="0"/>
        <v>1.593827515044846E-14</v>
      </c>
    </row>
    <row r="36" spans="1:18" x14ac:dyDescent="0.25">
      <c r="A36" s="22">
        <v>44613</v>
      </c>
      <c r="B36" s="12">
        <v>186.29</v>
      </c>
      <c r="C36" s="13">
        <v>-1.9E-3</v>
      </c>
      <c r="D36" s="7">
        <v>926</v>
      </c>
      <c r="E36" s="7">
        <v>-1.43E-2</v>
      </c>
      <c r="F36" s="7">
        <v>257</v>
      </c>
      <c r="G36" s="8">
        <f t="shared" si="2"/>
        <v>3.9841502342285377E-4</v>
      </c>
      <c r="H36" s="9">
        <f t="shared" si="3"/>
        <v>1.1952450702688002E-5</v>
      </c>
      <c r="I36" s="10">
        <f>SUM($H$3:H36)</f>
        <v>5.7905195696927902E-4</v>
      </c>
      <c r="J36" s="23">
        <v>-1.43E-2</v>
      </c>
      <c r="Q36" s="7">
        <f t="shared" si="1"/>
        <v>1.795575689177616E-14</v>
      </c>
      <c r="R36" s="7">
        <f t="shared" si="0"/>
        <v>1.643121149530769E-14</v>
      </c>
    </row>
    <row r="37" spans="1:18" x14ac:dyDescent="0.25">
      <c r="A37" s="22">
        <v>44614</v>
      </c>
      <c r="B37" s="12">
        <v>185.27</v>
      </c>
      <c r="C37" s="13">
        <v>-5.4999999999999997E-3</v>
      </c>
      <c r="D37" s="7">
        <v>925</v>
      </c>
      <c r="E37" s="7">
        <v>-1.4200000000000001E-2</v>
      </c>
      <c r="F37" s="7">
        <v>241</v>
      </c>
      <c r="G37" s="8">
        <f t="shared" si="2"/>
        <v>6.4861644888377778E-4</v>
      </c>
      <c r="H37" s="9">
        <f t="shared" si="3"/>
        <v>1.9458493466517224E-5</v>
      </c>
      <c r="I37" s="10">
        <f>SUM($H$3:H37)</f>
        <v>5.9851045043579621E-4</v>
      </c>
      <c r="J37" s="23">
        <v>-1.4200000000000001E-2</v>
      </c>
      <c r="Q37" s="7">
        <f t="shared" si="1"/>
        <v>1.8511089579150682E-14</v>
      </c>
      <c r="R37" s="7">
        <f t="shared" si="0"/>
        <v>1.6939393294131639E-14</v>
      </c>
    </row>
    <row r="38" spans="1:18" x14ac:dyDescent="0.25">
      <c r="A38" s="22">
        <v>44615</v>
      </c>
      <c r="B38" s="12">
        <v>185.05</v>
      </c>
      <c r="C38" s="13">
        <v>-1.1999999999999999E-3</v>
      </c>
      <c r="D38" s="7">
        <v>924</v>
      </c>
      <c r="E38" s="7">
        <v>-1.41E-2</v>
      </c>
      <c r="F38" s="7">
        <v>676</v>
      </c>
      <c r="G38" s="8">
        <f t="shared" si="2"/>
        <v>1.1420690543163528E-9</v>
      </c>
      <c r="H38" s="9">
        <f t="shared" si="3"/>
        <v>3.4262071629497435E-11</v>
      </c>
      <c r="I38" s="10">
        <f>SUM($H$3:H38)</f>
        <v>5.9851048469786779E-4</v>
      </c>
      <c r="J38" s="23">
        <v>-1.41E-2</v>
      </c>
      <c r="Q38" s="7">
        <f t="shared" si="1"/>
        <v>1.9083597504279054E-14</v>
      </c>
      <c r="R38" s="7">
        <f t="shared" si="0"/>
        <v>1.7463292055805815E-14</v>
      </c>
    </row>
    <row r="39" spans="1:18" x14ac:dyDescent="0.25">
      <c r="A39" s="22">
        <v>44616</v>
      </c>
      <c r="B39" s="12">
        <v>178.36</v>
      </c>
      <c r="C39" s="13">
        <v>-3.6200000000000003E-2</v>
      </c>
      <c r="D39" s="7">
        <v>923</v>
      </c>
      <c r="E39" s="7">
        <v>-1.38E-2</v>
      </c>
      <c r="F39" s="7">
        <v>774</v>
      </c>
      <c r="G39" s="8">
        <f t="shared" si="2"/>
        <v>5.7719468335358665E-11</v>
      </c>
      <c r="H39" s="9">
        <f t="shared" si="3"/>
        <v>1.731584050061106E-12</v>
      </c>
      <c r="I39" s="10">
        <f>SUM($H$3:H39)</f>
        <v>5.9851048642945185E-4</v>
      </c>
      <c r="J39" s="23">
        <v>-1.38E-2</v>
      </c>
      <c r="Q39" s="7">
        <f t="shared" si="1"/>
        <v>1.9673811860081497E-14</v>
      </c>
      <c r="R39" s="7">
        <f t="shared" si="0"/>
        <v>1.8003393871964754E-14</v>
      </c>
    </row>
    <row r="40" spans="1:18" x14ac:dyDescent="0.25">
      <c r="A40" s="22">
        <v>44617</v>
      </c>
      <c r="B40" s="12">
        <v>180.85</v>
      </c>
      <c r="C40" s="13">
        <v>1.4E-2</v>
      </c>
      <c r="D40" s="7">
        <v>922</v>
      </c>
      <c r="E40" s="7">
        <v>-1.38E-2</v>
      </c>
      <c r="F40" s="7">
        <v>664</v>
      </c>
      <c r="G40" s="8">
        <f t="shared" si="2"/>
        <v>1.6460065261478923E-9</v>
      </c>
      <c r="H40" s="9">
        <f t="shared" si="3"/>
        <v>4.9380195784446638E-11</v>
      </c>
      <c r="I40" s="10">
        <f>SUM($H$3:H40)</f>
        <v>5.9851053580964764E-4</v>
      </c>
      <c r="J40" s="23">
        <v>-1.38E-2</v>
      </c>
      <c r="Q40" s="7">
        <f t="shared" si="1"/>
        <v>2.0282280268125254E-14</v>
      </c>
      <c r="R40" s="7">
        <f t="shared" si="0"/>
        <v>1.8560199868004903E-14</v>
      </c>
    </row>
    <row r="41" spans="1:18" x14ac:dyDescent="0.25">
      <c r="A41" s="22">
        <v>44620</v>
      </c>
      <c r="B41" s="12">
        <v>181.84</v>
      </c>
      <c r="C41" s="13">
        <v>5.4999999999999997E-3</v>
      </c>
      <c r="D41" s="7">
        <v>921</v>
      </c>
      <c r="E41" s="7">
        <v>-1.37E-2</v>
      </c>
      <c r="F41" s="7">
        <v>889</v>
      </c>
      <c r="G41" s="8">
        <f t="shared" si="2"/>
        <v>1.7380880061699537E-12</v>
      </c>
      <c r="H41" s="9">
        <f t="shared" si="3"/>
        <v>5.2142640185109036E-14</v>
      </c>
      <c r="I41" s="10">
        <f>SUM($H$3:H41)</f>
        <v>5.9851053586179028E-4</v>
      </c>
      <c r="J41" s="23">
        <v>-1.37E-2</v>
      </c>
      <c r="Q41" s="7">
        <f t="shared" si="1"/>
        <v>2.0909567286727073E-14</v>
      </c>
      <c r="R41" s="7">
        <f t="shared" si="0"/>
        <v>1.9134226668046298E-14</v>
      </c>
    </row>
    <row r="42" spans="1:18" x14ac:dyDescent="0.25">
      <c r="A42" s="22">
        <v>44622</v>
      </c>
      <c r="B42" s="12">
        <v>180.1</v>
      </c>
      <c r="C42" s="13">
        <v>-9.5999999999999992E-3</v>
      </c>
      <c r="D42" s="7">
        <v>920</v>
      </c>
      <c r="E42" s="7">
        <v>-1.37E-2</v>
      </c>
      <c r="F42" s="7">
        <v>803</v>
      </c>
      <c r="G42" s="8">
        <f t="shared" si="2"/>
        <v>2.3861767829929684E-11</v>
      </c>
      <c r="H42" s="9">
        <f t="shared" si="3"/>
        <v>7.1585303489803357E-13</v>
      </c>
      <c r="I42" s="10">
        <f>SUM($H$3:H42)</f>
        <v>5.9851053657764333E-4</v>
      </c>
      <c r="J42" s="23">
        <v>-1.37E-2</v>
      </c>
      <c r="Q42" s="7">
        <f t="shared" si="1"/>
        <v>2.1556254934770175E-14</v>
      </c>
      <c r="R42" s="7">
        <f t="shared" si="0"/>
        <v>1.9726006874274531E-14</v>
      </c>
    </row>
    <row r="43" spans="1:18" x14ac:dyDescent="0.25">
      <c r="A43" s="22">
        <v>44623</v>
      </c>
      <c r="B43" s="12">
        <v>178.86</v>
      </c>
      <c r="C43" s="13">
        <v>-6.8999999999999999E-3</v>
      </c>
      <c r="D43" s="7">
        <v>919</v>
      </c>
      <c r="E43" s="7">
        <v>-1.37E-2</v>
      </c>
      <c r="F43" s="7">
        <v>156</v>
      </c>
      <c r="G43" s="8">
        <f t="shared" si="2"/>
        <v>8.6375494262814819E-3</v>
      </c>
      <c r="H43" s="9">
        <f t="shared" si="3"/>
        <v>2.5912648278849623E-4</v>
      </c>
      <c r="I43" s="10">
        <f>SUM($H$3:H43)</f>
        <v>8.5763701936613962E-4</v>
      </c>
      <c r="J43" s="23">
        <v>-1.37E-2</v>
      </c>
      <c r="Q43" s="7">
        <f t="shared" si="1"/>
        <v>2.2222943231721832E-14</v>
      </c>
      <c r="R43" s="7">
        <f t="shared" si="0"/>
        <v>2.0336089561107765E-14</v>
      </c>
    </row>
    <row r="44" spans="1:18" x14ac:dyDescent="0.25">
      <c r="A44" s="22">
        <v>44624</v>
      </c>
      <c r="B44" s="12">
        <v>176.26</v>
      </c>
      <c r="C44" s="13">
        <v>-1.4500000000000001E-2</v>
      </c>
      <c r="D44" s="7">
        <v>918</v>
      </c>
      <c r="E44" s="7">
        <v>-1.3599999999999999E-2</v>
      </c>
      <c r="F44" s="7">
        <v>724</v>
      </c>
      <c r="G44" s="8">
        <f t="shared" si="2"/>
        <v>2.6468882665761947E-10</v>
      </c>
      <c r="H44" s="9">
        <f t="shared" si="3"/>
        <v>7.9406647997301709E-12</v>
      </c>
      <c r="I44" s="10">
        <f>SUM($H$3:H44)</f>
        <v>8.5763702730680446E-4</v>
      </c>
      <c r="J44" s="23">
        <v>-1.3599999999999999E-2</v>
      </c>
      <c r="Q44" s="7">
        <f t="shared" si="1"/>
        <v>2.2910250754352402E-14</v>
      </c>
      <c r="R44" s="7">
        <f t="shared" si="0"/>
        <v>2.0965040784647177E-14</v>
      </c>
    </row>
    <row r="45" spans="1:18" x14ac:dyDescent="0.25">
      <c r="A45" s="22">
        <v>44627</v>
      </c>
      <c r="B45" s="12">
        <v>172.33</v>
      </c>
      <c r="C45" s="13">
        <v>-2.23E-2</v>
      </c>
      <c r="D45" s="7">
        <v>917</v>
      </c>
      <c r="E45" s="7">
        <v>-1.32E-2</v>
      </c>
      <c r="F45" s="7">
        <v>250</v>
      </c>
      <c r="G45" s="8">
        <f t="shared" si="2"/>
        <v>4.9309836959567901E-4</v>
      </c>
      <c r="H45" s="9">
        <f t="shared" si="3"/>
        <v>1.4792951087873327E-5</v>
      </c>
      <c r="I45" s="10">
        <f>SUM($H$3:H45)</f>
        <v>8.7242997839467775E-4</v>
      </c>
      <c r="J45" s="23">
        <v>-1.32E-2</v>
      </c>
      <c r="Q45" s="7">
        <f t="shared" si="1"/>
        <v>2.3618815210672578E-14</v>
      </c>
      <c r="R45" s="7">
        <f t="shared" si="0"/>
        <v>2.1613444107883687E-14</v>
      </c>
    </row>
    <row r="46" spans="1:18" x14ac:dyDescent="0.25">
      <c r="A46" s="22">
        <v>44628</v>
      </c>
      <c r="B46" s="12">
        <v>173.4</v>
      </c>
      <c r="C46" s="13">
        <v>6.1999999999999998E-3</v>
      </c>
      <c r="D46" s="7">
        <v>916</v>
      </c>
      <c r="E46" s="7">
        <v>-1.2999999999999999E-2</v>
      </c>
      <c r="F46" s="7">
        <v>511</v>
      </c>
      <c r="G46" s="8">
        <f t="shared" si="2"/>
        <v>1.7392267645589722E-7</v>
      </c>
      <c r="H46" s="9">
        <f t="shared" si="3"/>
        <v>5.2176802936779593E-9</v>
      </c>
      <c r="I46" s="10">
        <f>SUM($H$3:H46)</f>
        <v>8.7243519607497144E-4</v>
      </c>
      <c r="J46" s="23">
        <v>-1.2999999999999999E-2</v>
      </c>
      <c r="Q46" s="7">
        <f t="shared" si="1"/>
        <v>2.4349294031621217E-14</v>
      </c>
      <c r="R46" s="7">
        <f t="shared" si="0"/>
        <v>2.2281901142148134E-14</v>
      </c>
    </row>
    <row r="47" spans="1:18" x14ac:dyDescent="0.25">
      <c r="A47" s="22">
        <v>44629</v>
      </c>
      <c r="B47" s="12">
        <v>176.98</v>
      </c>
      <c r="C47" s="13">
        <v>2.06E-2</v>
      </c>
      <c r="D47" s="7">
        <v>915</v>
      </c>
      <c r="E47" s="7">
        <v>-1.29E-2</v>
      </c>
      <c r="F47" s="7">
        <v>798</v>
      </c>
      <c r="G47" s="8">
        <f t="shared" si="2"/>
        <v>2.7787146096230062E-11</v>
      </c>
      <c r="H47" s="9">
        <f t="shared" si="3"/>
        <v>8.3361438288706851E-13</v>
      </c>
      <c r="I47" s="10">
        <f>SUM($H$3:H47)</f>
        <v>8.7243519690858586E-4</v>
      </c>
      <c r="J47" s="23">
        <v>-1.29E-2</v>
      </c>
      <c r="Q47" s="7">
        <f t="shared" si="1"/>
        <v>2.51023649810528E-14</v>
      </c>
      <c r="R47" s="7">
        <f t="shared" si="0"/>
        <v>2.2971032105307354E-14</v>
      </c>
    </row>
    <row r="48" spans="1:18" x14ac:dyDescent="0.25">
      <c r="A48" s="22">
        <v>44630</v>
      </c>
      <c r="B48" s="12">
        <v>179.65</v>
      </c>
      <c r="C48" s="13">
        <v>1.5100000000000001E-2</v>
      </c>
      <c r="D48" s="7">
        <v>914</v>
      </c>
      <c r="E48" s="7">
        <v>-1.29E-2</v>
      </c>
      <c r="F48" s="7">
        <v>204</v>
      </c>
      <c r="G48" s="8">
        <f t="shared" si="2"/>
        <v>2.0018604078263958E-3</v>
      </c>
      <c r="H48" s="9">
        <f t="shared" si="3"/>
        <v>6.0055812234803877E-5</v>
      </c>
      <c r="I48" s="10">
        <f>SUM($H$3:H48)</f>
        <v>9.3249100914338974E-4</v>
      </c>
      <c r="J48" s="23">
        <v>-1.29E-2</v>
      </c>
      <c r="Q48" s="7">
        <f t="shared" si="1"/>
        <v>2.5878726784590515E-14</v>
      </c>
      <c r="R48" s="7">
        <f t="shared" si="0"/>
        <v>2.3681476397224076E-14</v>
      </c>
    </row>
    <row r="49" spans="1:18" x14ac:dyDescent="0.25">
      <c r="A49" s="22">
        <v>44631</v>
      </c>
      <c r="B49" s="12">
        <v>179.98</v>
      </c>
      <c r="C49" s="13">
        <v>1.8E-3</v>
      </c>
      <c r="D49" s="7">
        <v>913</v>
      </c>
      <c r="E49" s="7">
        <v>-1.2800000000000001E-2</v>
      </c>
      <c r="F49" s="7">
        <v>844</v>
      </c>
      <c r="G49" s="8">
        <f t="shared" si="2"/>
        <v>6.8445314079842778E-12</v>
      </c>
      <c r="H49" s="9">
        <f t="shared" si="3"/>
        <v>2.0533594223956938E-13</v>
      </c>
      <c r="I49" s="10">
        <f>SUM($H$3:H49)</f>
        <v>9.3249100934872571E-4</v>
      </c>
      <c r="J49" s="23">
        <v>-1.2800000000000001E-2</v>
      </c>
      <c r="Q49" s="7">
        <f t="shared" si="1"/>
        <v>2.667909977792837E-14</v>
      </c>
      <c r="R49" s="7">
        <f t="shared" si="0"/>
        <v>2.4413893193014513E-14</v>
      </c>
    </row>
    <row r="50" spans="1:18" x14ac:dyDescent="0.25">
      <c r="A50" s="22">
        <v>44634</v>
      </c>
      <c r="B50" s="12">
        <v>182.61</v>
      </c>
      <c r="C50" s="13">
        <v>1.46E-2</v>
      </c>
      <c r="D50" s="7">
        <v>912</v>
      </c>
      <c r="E50" s="7">
        <v>-1.2800000000000001E-2</v>
      </c>
      <c r="F50" s="7">
        <v>188</v>
      </c>
      <c r="G50" s="8">
        <f t="shared" si="2"/>
        <v>3.2590126188773308E-3</v>
      </c>
      <c r="H50" s="9">
        <f t="shared" si="3"/>
        <v>9.7770378566339471E-5</v>
      </c>
      <c r="I50" s="10">
        <f>SUM($H$3:H50)</f>
        <v>1.0302613879150653E-3</v>
      </c>
      <c r="J50" s="23">
        <v>-1.2800000000000001E-2</v>
      </c>
      <c r="Q50" s="7">
        <f t="shared" si="1"/>
        <v>2.7504226575183883E-14</v>
      </c>
      <c r="R50" s="7">
        <f t="shared" si="0"/>
        <v>2.5168962054654135E-14</v>
      </c>
    </row>
    <row r="51" spans="1:18" x14ac:dyDescent="0.25">
      <c r="A51" s="22">
        <v>44635</v>
      </c>
      <c r="B51" s="12">
        <v>180.6</v>
      </c>
      <c r="C51" s="13">
        <v>-1.0999999999999999E-2</v>
      </c>
      <c r="D51" s="7">
        <v>911</v>
      </c>
      <c r="E51" s="7">
        <v>-1.2699999999999999E-2</v>
      </c>
      <c r="F51" s="7">
        <v>153</v>
      </c>
      <c r="G51" s="8">
        <f t="shared" si="2"/>
        <v>9.4640133172357258E-3</v>
      </c>
      <c r="H51" s="9">
        <f t="shared" si="3"/>
        <v>2.8392039951712853E-4</v>
      </c>
      <c r="I51" s="10">
        <f>SUM($H$3:H51)</f>
        <v>1.3141817874321939E-3</v>
      </c>
      <c r="J51" s="23">
        <v>-1.2699999999999999E-2</v>
      </c>
      <c r="Q51" s="7">
        <f t="shared" si="1"/>
        <v>2.8354872757921529E-14</v>
      </c>
      <c r="R51" s="7">
        <f t="shared" si="0"/>
        <v>2.5947383561499107E-14</v>
      </c>
    </row>
    <row r="52" spans="1:18" x14ac:dyDescent="0.25">
      <c r="A52" s="22">
        <v>44636</v>
      </c>
      <c r="B52" s="12">
        <v>183.66</v>
      </c>
      <c r="C52" s="13">
        <v>1.6899999999999998E-2</v>
      </c>
      <c r="D52" s="7">
        <v>910</v>
      </c>
      <c r="E52" s="7">
        <v>-1.23E-2</v>
      </c>
      <c r="F52" s="7">
        <v>281</v>
      </c>
      <c r="G52" s="8">
        <f t="shared" si="2"/>
        <v>1.9180385374412452E-4</v>
      </c>
      <c r="H52" s="9">
        <f t="shared" si="3"/>
        <v>5.7541156123248854E-6</v>
      </c>
      <c r="I52" s="10">
        <f>SUM($H$3:H52)</f>
        <v>1.3199359030445187E-3</v>
      </c>
      <c r="J52" s="23">
        <v>-1.23E-2</v>
      </c>
      <c r="Q52" s="7">
        <f t="shared" si="1"/>
        <v>2.9231827585486119E-14</v>
      </c>
      <c r="R52" s="7">
        <f t="shared" si="0"/>
        <v>2.6749879960308365E-14</v>
      </c>
    </row>
    <row r="53" spans="1:18" x14ac:dyDescent="0.25">
      <c r="A53" s="22">
        <v>44637</v>
      </c>
      <c r="B53" s="12">
        <v>186.71</v>
      </c>
      <c r="C53" s="13">
        <v>1.66E-2</v>
      </c>
      <c r="D53" s="7">
        <v>909</v>
      </c>
      <c r="E53" s="7">
        <v>-1.2E-2</v>
      </c>
      <c r="F53" s="7">
        <v>885</v>
      </c>
      <c r="G53" s="8">
        <f t="shared" si="2"/>
        <v>1.9632916776653298E-12</v>
      </c>
      <c r="H53" s="9">
        <f t="shared" si="3"/>
        <v>5.8898750329971661E-14</v>
      </c>
      <c r="I53" s="10">
        <f>SUM($H$3:H53)</f>
        <v>1.3199359031034175E-3</v>
      </c>
      <c r="J53" s="23">
        <v>-1.2E-2</v>
      </c>
      <c r="Q53" s="7">
        <f t="shared" si="1"/>
        <v>3.0135904727305272E-14</v>
      </c>
      <c r="R53" s="7">
        <f t="shared" si="0"/>
        <v>2.7577195835369444E-14</v>
      </c>
    </row>
    <row r="54" spans="1:18" x14ac:dyDescent="0.25">
      <c r="A54" s="22">
        <v>44641</v>
      </c>
      <c r="B54" s="12">
        <v>185.38</v>
      </c>
      <c r="C54" s="13">
        <v>-7.1000000000000004E-3</v>
      </c>
      <c r="D54" s="7">
        <v>908</v>
      </c>
      <c r="E54" s="7">
        <v>-1.2E-2</v>
      </c>
      <c r="F54" s="7">
        <v>695</v>
      </c>
      <c r="G54" s="8">
        <f t="shared" si="2"/>
        <v>6.4025844429786854E-10</v>
      </c>
      <c r="H54" s="9">
        <f t="shared" si="3"/>
        <v>1.9207753328939896E-11</v>
      </c>
      <c r="I54" s="10">
        <f>SUM($H$3:H54)</f>
        <v>1.3199359223111707E-3</v>
      </c>
      <c r="J54" s="23">
        <v>-1.2E-2</v>
      </c>
      <c r="Q54" s="7">
        <f t="shared" si="1"/>
        <v>3.1067943017840492E-14</v>
      </c>
      <c r="R54" s="7">
        <f t="shared" si="0"/>
        <v>2.8430098799349947E-14</v>
      </c>
    </row>
    <row r="55" spans="1:18" x14ac:dyDescent="0.25">
      <c r="A55" s="22">
        <v>44642</v>
      </c>
      <c r="B55" s="12">
        <v>187.34</v>
      </c>
      <c r="C55" s="13">
        <v>1.06E-2</v>
      </c>
      <c r="D55" s="7">
        <v>907</v>
      </c>
      <c r="E55" s="7">
        <v>-1.18E-2</v>
      </c>
      <c r="F55" s="7">
        <v>228</v>
      </c>
      <c r="G55" s="8">
        <f t="shared" si="2"/>
        <v>9.6373007619085331E-4</v>
      </c>
      <c r="H55" s="9">
        <f t="shared" si="3"/>
        <v>2.8911902285731378E-5</v>
      </c>
      <c r="I55" s="10">
        <f>SUM($H$3:H55)</f>
        <v>1.3488478245969021E-3</v>
      </c>
      <c r="J55" s="23">
        <v>-1.18E-2</v>
      </c>
      <c r="Q55" s="7">
        <f t="shared" si="1"/>
        <v>3.2028807234887099E-14</v>
      </c>
      <c r="R55" s="7">
        <f t="shared" si="0"/>
        <v>2.9309380205515408E-14</v>
      </c>
    </row>
    <row r="56" spans="1:18" x14ac:dyDescent="0.25">
      <c r="A56" s="22">
        <v>44643</v>
      </c>
      <c r="B56" s="12">
        <v>186.34</v>
      </c>
      <c r="C56" s="13">
        <v>-5.3E-3</v>
      </c>
      <c r="D56" s="7">
        <v>906</v>
      </c>
      <c r="E56" s="7">
        <v>-1.18E-2</v>
      </c>
      <c r="F56" s="7">
        <v>130</v>
      </c>
      <c r="G56" s="8">
        <f t="shared" si="2"/>
        <v>1.9068891805042218E-2</v>
      </c>
      <c r="H56" s="9">
        <f t="shared" si="3"/>
        <v>5.7206675415138086E-4</v>
      </c>
      <c r="I56" s="10">
        <f>SUM($H$3:H56)</f>
        <v>1.9209145787482829E-3</v>
      </c>
      <c r="J56" s="23">
        <v>-1.18E-2</v>
      </c>
      <c r="Q56" s="7">
        <f t="shared" si="1"/>
        <v>3.3019388901945464E-14</v>
      </c>
      <c r="R56" s="7">
        <f t="shared" si="0"/>
        <v>3.0215855881974643E-14</v>
      </c>
    </row>
    <row r="57" spans="1:18" x14ac:dyDescent="0.25">
      <c r="A57" s="22">
        <v>44644</v>
      </c>
      <c r="B57" s="12">
        <v>186.09</v>
      </c>
      <c r="C57" s="13">
        <v>-1.2999999999999999E-3</v>
      </c>
      <c r="D57" s="7">
        <v>905</v>
      </c>
      <c r="E57" s="7">
        <v>-1.17E-2</v>
      </c>
      <c r="F57" s="7">
        <v>254</v>
      </c>
      <c r="G57" s="8">
        <f t="shared" si="2"/>
        <v>4.3653644122577717E-4</v>
      </c>
      <c r="H57" s="9">
        <f t="shared" si="3"/>
        <v>1.3096093236775933E-5</v>
      </c>
      <c r="I57" s="10">
        <f>SUM($H$3:H57)</f>
        <v>1.9340106719850589E-3</v>
      </c>
      <c r="J57" s="23">
        <v>-1.17E-2</v>
      </c>
      <c r="Q57" s="7">
        <f t="shared" si="1"/>
        <v>3.4040607115407697E-14</v>
      </c>
      <c r="R57" s="7">
        <f t="shared" si="0"/>
        <v>3.1150366888633655E-14</v>
      </c>
    </row>
    <row r="58" spans="1:18" x14ac:dyDescent="0.25">
      <c r="A58" s="22">
        <v>44645</v>
      </c>
      <c r="B58" s="12">
        <v>185.82</v>
      </c>
      <c r="C58" s="13">
        <v>-1.5E-3</v>
      </c>
      <c r="D58" s="7">
        <v>904</v>
      </c>
      <c r="E58" s="7">
        <v>-1.11E-2</v>
      </c>
      <c r="F58" s="7">
        <v>932</v>
      </c>
      <c r="G58" s="8">
        <f t="shared" si="2"/>
        <v>4.6909017425357337E-13</v>
      </c>
      <c r="H58" s="9">
        <f t="shared" si="3"/>
        <v>1.4072705227610014E-14</v>
      </c>
      <c r="I58" s="10">
        <f>SUM($H$3:H58)</f>
        <v>1.9340106719991316E-3</v>
      </c>
      <c r="J58" s="23">
        <v>-1.11E-2</v>
      </c>
      <c r="Q58" s="7">
        <f t="shared" si="1"/>
        <v>3.5093409397327532E-14</v>
      </c>
      <c r="R58" s="7">
        <f t="shared" si="0"/>
        <v>3.2113780297560482E-14</v>
      </c>
    </row>
    <row r="59" spans="1:18" x14ac:dyDescent="0.25">
      <c r="A59" s="22">
        <v>44648</v>
      </c>
      <c r="B59" s="12">
        <v>186.32</v>
      </c>
      <c r="C59" s="13">
        <v>2.7000000000000001E-3</v>
      </c>
      <c r="D59" s="7">
        <v>903</v>
      </c>
      <c r="E59" s="7">
        <v>-1.0999999999999999E-2</v>
      </c>
      <c r="F59" s="7">
        <v>938</v>
      </c>
      <c r="G59" s="8">
        <f t="shared" si="2"/>
        <v>3.9073898294049295E-13</v>
      </c>
      <c r="H59" s="9">
        <f t="shared" si="3"/>
        <v>1.1722169488217132E-14</v>
      </c>
      <c r="I59" s="10">
        <f>SUM($H$3:H59)</f>
        <v>1.9340106720108538E-3</v>
      </c>
      <c r="J59" s="23">
        <v>-1.0999999999999999E-2</v>
      </c>
      <c r="Q59" s="7">
        <f t="shared" si="1"/>
        <v>3.6178772574564452E-14</v>
      </c>
      <c r="R59" s="7">
        <f t="shared" si="0"/>
        <v>3.310698999748502E-14</v>
      </c>
    </row>
    <row r="60" spans="1:18" x14ac:dyDescent="0.25">
      <c r="A60" s="22">
        <v>44649</v>
      </c>
      <c r="B60" s="12">
        <v>187.22</v>
      </c>
      <c r="C60" s="13">
        <v>4.7999999999999996E-3</v>
      </c>
      <c r="D60" s="7">
        <v>902</v>
      </c>
      <c r="E60" s="7">
        <v>-1.0999999999999999E-2</v>
      </c>
      <c r="F60" s="7">
        <v>911</v>
      </c>
      <c r="G60" s="8">
        <f t="shared" si="2"/>
        <v>8.8930332593094489E-13</v>
      </c>
      <c r="H60" s="9">
        <f t="shared" si="3"/>
        <v>2.6679099777933677E-14</v>
      </c>
      <c r="I60" s="10">
        <f>SUM($H$3:H60)</f>
        <v>1.9340106720375329E-3</v>
      </c>
      <c r="J60" s="23">
        <v>-1.0999999999999999E-2</v>
      </c>
      <c r="Q60" s="7">
        <f t="shared" si="1"/>
        <v>3.7297703685117997E-14</v>
      </c>
      <c r="R60" s="7">
        <f t="shared" si="0"/>
        <v>3.4130917523180436E-14</v>
      </c>
    </row>
    <row r="61" spans="1:18" x14ac:dyDescent="0.25">
      <c r="A61" s="22">
        <v>44650</v>
      </c>
      <c r="B61" s="12">
        <v>188.91</v>
      </c>
      <c r="C61" s="13">
        <v>8.9999999999999993E-3</v>
      </c>
      <c r="D61" s="7">
        <v>901</v>
      </c>
      <c r="E61" s="7">
        <v>-1.0800000000000001E-2</v>
      </c>
      <c r="F61" s="7">
        <v>796</v>
      </c>
      <c r="G61" s="8">
        <f t="shared" si="2"/>
        <v>2.9532517904378852E-11</v>
      </c>
      <c r="H61" s="9">
        <f t="shared" si="3"/>
        <v>8.8597553713154261E-13</v>
      </c>
      <c r="I61" s="10">
        <f>SUM($H$3:H61)</f>
        <v>1.9340106729235085E-3</v>
      </c>
      <c r="J61" s="23">
        <v>-1.0800000000000001E-2</v>
      </c>
      <c r="Q61" s="7">
        <f t="shared" si="1"/>
        <v>3.8451240912492783E-14</v>
      </c>
      <c r="R61" s="7">
        <f t="shared" si="0"/>
        <v>3.5186512910495295E-14</v>
      </c>
    </row>
    <row r="62" spans="1:18" x14ac:dyDescent="0.25">
      <c r="A62" s="22">
        <v>44651</v>
      </c>
      <c r="B62" s="12">
        <v>188.87</v>
      </c>
      <c r="C62" s="13">
        <v>-2.0000000000000001E-4</v>
      </c>
      <c r="D62" s="7">
        <v>900</v>
      </c>
      <c r="E62" s="7">
        <v>-1.0800000000000001E-2</v>
      </c>
      <c r="F62" s="7">
        <v>706</v>
      </c>
      <c r="G62" s="8">
        <f t="shared" si="2"/>
        <v>4.5797776354525697E-10</v>
      </c>
      <c r="H62" s="9">
        <f t="shared" si="3"/>
        <v>1.3739332906360455E-11</v>
      </c>
      <c r="I62" s="10">
        <f>SUM($H$3:H62)</f>
        <v>1.9340106866628413E-3</v>
      </c>
      <c r="J62" s="23">
        <v>-1.0800000000000001E-2</v>
      </c>
      <c r="Q62" s="7">
        <f t="shared" si="1"/>
        <v>3.9640454548961636E-14</v>
      </c>
      <c r="R62" s="7">
        <f t="shared" si="0"/>
        <v>3.6274755577830202E-14</v>
      </c>
    </row>
    <row r="63" spans="1:18" x14ac:dyDescent="0.25">
      <c r="A63" s="22">
        <v>44652</v>
      </c>
      <c r="B63" s="12">
        <v>190.47</v>
      </c>
      <c r="C63" s="13">
        <v>8.5000000000000006E-3</v>
      </c>
      <c r="D63" s="7">
        <v>899</v>
      </c>
      <c r="E63" s="7">
        <v>-1.0800000000000001E-2</v>
      </c>
      <c r="F63" s="7">
        <v>395</v>
      </c>
      <c r="G63" s="8">
        <f t="shared" si="2"/>
        <v>5.9543592687137931E-6</v>
      </c>
      <c r="H63" s="9">
        <f t="shared" si="3"/>
        <v>1.7863077806144951E-7</v>
      </c>
      <c r="I63" s="10">
        <f>SUM($H$3:H63)</f>
        <v>1.9341893174409028E-3</v>
      </c>
      <c r="J63" s="23">
        <v>-1.0800000000000001E-2</v>
      </c>
      <c r="Q63" s="7">
        <f t="shared" si="1"/>
        <v>4.0866447988620242E-14</v>
      </c>
      <c r="R63" s="7">
        <f t="shared" si="0"/>
        <v>3.73966552348765E-14</v>
      </c>
    </row>
    <row r="64" spans="1:18" x14ac:dyDescent="0.25">
      <c r="A64" s="22">
        <v>44655</v>
      </c>
      <c r="B64" s="12">
        <v>195.19</v>
      </c>
      <c r="C64" s="13">
        <v>2.4799999999999999E-2</v>
      </c>
      <c r="D64" s="7">
        <v>898</v>
      </c>
      <c r="E64" s="7">
        <v>-1.0699999999999999E-2</v>
      </c>
      <c r="F64" s="7">
        <v>886</v>
      </c>
      <c r="G64" s="8">
        <f t="shared" si="2"/>
        <v>1.9043929273353698E-12</v>
      </c>
      <c r="H64" s="9">
        <f t="shared" si="3"/>
        <v>5.7131787820072514E-14</v>
      </c>
      <c r="I64" s="10">
        <f>SUM($H$3:H64)</f>
        <v>1.9341893174980346E-3</v>
      </c>
      <c r="J64" s="23">
        <v>-1.0699999999999999E-2</v>
      </c>
      <c r="Q64" s="7">
        <f t="shared" si="1"/>
        <v>4.2130358751154898E-14</v>
      </c>
      <c r="R64" s="7">
        <f t="shared" si="0"/>
        <v>3.855325281946032E-14</v>
      </c>
    </row>
    <row r="65" spans="1:18" x14ac:dyDescent="0.25">
      <c r="A65" s="22">
        <v>44656</v>
      </c>
      <c r="B65" s="12">
        <v>194.55</v>
      </c>
      <c r="C65" s="13">
        <v>-3.3E-3</v>
      </c>
      <c r="D65" s="7">
        <v>897</v>
      </c>
      <c r="E65" s="7">
        <v>-1.0699999999999999E-2</v>
      </c>
      <c r="F65" s="7">
        <v>804</v>
      </c>
      <c r="G65" s="8">
        <f t="shared" si="2"/>
        <v>2.3145914795031791E-11</v>
      </c>
      <c r="H65" s="9">
        <f t="shared" si="3"/>
        <v>6.9437744385109249E-13</v>
      </c>
      <c r="I65" s="10">
        <f>SUM($H$3:H65)</f>
        <v>1.9341893181924121E-3</v>
      </c>
      <c r="J65" s="23">
        <v>-1.0699999999999999E-2</v>
      </c>
      <c r="Q65" s="7">
        <f t="shared" si="1"/>
        <v>4.3433359537273074E-14</v>
      </c>
      <c r="R65" s="7">
        <f t="shared" si="0"/>
        <v>3.9745621463361138E-14</v>
      </c>
    </row>
    <row r="66" spans="1:18" x14ac:dyDescent="0.25">
      <c r="A66" s="22">
        <v>44657</v>
      </c>
      <c r="B66" s="12">
        <v>193</v>
      </c>
      <c r="C66" s="13">
        <v>-8.0000000000000002E-3</v>
      </c>
      <c r="D66" s="7">
        <v>896</v>
      </c>
      <c r="E66" s="7">
        <v>-1.0500000000000001E-2</v>
      </c>
      <c r="F66" s="7">
        <v>535</v>
      </c>
      <c r="G66" s="8">
        <f t="shared" si="2"/>
        <v>8.372937172684959E-8</v>
      </c>
      <c r="H66" s="9">
        <f t="shared" si="3"/>
        <v>2.5118811518059898E-9</v>
      </c>
      <c r="I66" s="10">
        <f>SUM($H$3:H66)</f>
        <v>1.934191830073564E-3</v>
      </c>
      <c r="J66" s="23">
        <v>-1.0500000000000001E-2</v>
      </c>
      <c r="Q66" s="7">
        <f t="shared" si="1"/>
        <v>4.4776659316776362E-14</v>
      </c>
      <c r="R66" s="7">
        <f t="shared" ref="R66:R129" si="4">Q66/$U$2</f>
        <v>4.0974867488001172E-14</v>
      </c>
    </row>
    <row r="67" spans="1:18" x14ac:dyDescent="0.25">
      <c r="A67" s="22">
        <v>44658</v>
      </c>
      <c r="B67" s="12">
        <v>191.26</v>
      </c>
      <c r="C67" s="13">
        <v>-8.9999999999999993E-3</v>
      </c>
      <c r="D67" s="7">
        <v>895</v>
      </c>
      <c r="E67" s="7">
        <v>-1.0500000000000001E-2</v>
      </c>
      <c r="F67" s="7">
        <v>266</v>
      </c>
      <c r="G67" s="8">
        <f t="shared" si="2"/>
        <v>3.0288747504063948E-4</v>
      </c>
      <c r="H67" s="9">
        <f t="shared" si="3"/>
        <v>9.0866242512209997E-6</v>
      </c>
      <c r="I67" s="10">
        <f>SUM($H$3:H67)</f>
        <v>1.9432784543247849E-3</v>
      </c>
      <c r="J67" s="23">
        <v>-1.0500000000000001E-2</v>
      </c>
      <c r="Q67" s="7">
        <f t="shared" ref="Q67:Q130" si="5">(1-$N$3) * $N$3^(D68-1)</f>
        <v>4.6161504450284912E-14</v>
      </c>
      <c r="R67" s="7">
        <f t="shared" si="4"/>
        <v>4.2242131430929046E-14</v>
      </c>
    </row>
    <row r="68" spans="1:18" x14ac:dyDescent="0.25">
      <c r="A68" s="22">
        <v>44659</v>
      </c>
      <c r="B68" s="12">
        <v>192.76</v>
      </c>
      <c r="C68" s="13">
        <v>7.7999999999999996E-3</v>
      </c>
      <c r="D68" s="7">
        <v>894</v>
      </c>
      <c r="E68" s="7">
        <v>-1.04E-2</v>
      </c>
      <c r="F68" s="7">
        <v>949</v>
      </c>
      <c r="G68" s="8">
        <f t="shared" ref="G68:G131" si="6">$N$3^F68</f>
        <v>2.7949614273854407E-13</v>
      </c>
      <c r="H68" s="9">
        <f t="shared" si="3"/>
        <v>8.3848842821579975E-15</v>
      </c>
      <c r="I68" s="10">
        <f>SUM($H$3:H68)</f>
        <v>1.9432784543331697E-3</v>
      </c>
      <c r="J68" s="23">
        <v>-1.04E-2</v>
      </c>
      <c r="Q68" s="7">
        <f t="shared" si="5"/>
        <v>4.7589179845654553E-14</v>
      </c>
      <c r="R68" s="7">
        <f t="shared" si="4"/>
        <v>4.3548589104050561E-14</v>
      </c>
    </row>
    <row r="69" spans="1:18" x14ac:dyDescent="0.25">
      <c r="A69" s="22">
        <v>44662</v>
      </c>
      <c r="B69" s="12">
        <v>191.67</v>
      </c>
      <c r="C69" s="13">
        <v>-5.7000000000000002E-3</v>
      </c>
      <c r="D69" s="7">
        <v>893</v>
      </c>
      <c r="E69" s="7">
        <v>-1.04E-2</v>
      </c>
      <c r="F69" s="7">
        <v>179</v>
      </c>
      <c r="G69" s="8">
        <f t="shared" si="6"/>
        <v>4.2868711844594159E-3</v>
      </c>
      <c r="H69" s="9">
        <f t="shared" ref="H69:H132" si="7">G69/$N$4</f>
        <v>1.2860613553380818E-4</v>
      </c>
      <c r="I69" s="10">
        <f>SUM($H$3:H69)</f>
        <v>2.0718845898669777E-3</v>
      </c>
      <c r="J69" s="23">
        <v>-1.04E-2</v>
      </c>
      <c r="Q69" s="7">
        <f t="shared" si="5"/>
        <v>4.9061010150159329E-14</v>
      </c>
      <c r="R69" s="7">
        <f t="shared" si="4"/>
        <v>4.4895452684588206E-14</v>
      </c>
    </row>
    <row r="70" spans="1:18" x14ac:dyDescent="0.25">
      <c r="A70" s="22">
        <v>44663</v>
      </c>
      <c r="B70" s="12">
        <v>190.42</v>
      </c>
      <c r="C70" s="13">
        <v>-6.4999999999999997E-3</v>
      </c>
      <c r="D70" s="7">
        <v>892</v>
      </c>
      <c r="E70" s="7">
        <v>-1.04E-2</v>
      </c>
      <c r="F70" s="7">
        <v>108</v>
      </c>
      <c r="G70" s="8">
        <f t="shared" si="6"/>
        <v>3.7268962311145133E-2</v>
      </c>
      <c r="H70" s="9">
        <f t="shared" si="7"/>
        <v>1.1180688693345775E-3</v>
      </c>
      <c r="I70" s="10">
        <f>SUM($H$3:H70)</f>
        <v>3.189953459201555E-3</v>
      </c>
      <c r="J70" s="23">
        <v>-1.04E-2</v>
      </c>
      <c r="Q70" s="7">
        <f t="shared" si="5"/>
        <v>5.0578360979545716E-14</v>
      </c>
      <c r="R70" s="7">
        <f t="shared" si="4"/>
        <v>4.6283971839781672E-14</v>
      </c>
    </row>
    <row r="71" spans="1:18" x14ac:dyDescent="0.25">
      <c r="A71" s="22">
        <v>44664</v>
      </c>
      <c r="B71" s="12">
        <v>189.54</v>
      </c>
      <c r="C71" s="13">
        <v>-4.5999999999999999E-3</v>
      </c>
      <c r="D71" s="7">
        <v>891</v>
      </c>
      <c r="E71" s="7">
        <v>-1.03E-2</v>
      </c>
      <c r="F71" s="7">
        <v>947</v>
      </c>
      <c r="G71" s="8">
        <f t="shared" si="6"/>
        <v>2.9705191065845905E-13</v>
      </c>
      <c r="H71" s="9">
        <f t="shared" si="7"/>
        <v>8.911557319755553E-15</v>
      </c>
      <c r="I71" s="10">
        <f>SUM($H$3:H71)</f>
        <v>3.1899534592104667E-3</v>
      </c>
      <c r="J71" s="23">
        <v>-1.03E-2</v>
      </c>
      <c r="Q71" s="7">
        <f t="shared" si="5"/>
        <v>5.2142640185098655E-14</v>
      </c>
      <c r="R71" s="7">
        <f t="shared" si="4"/>
        <v>4.7715434886372834E-14</v>
      </c>
    </row>
    <row r="72" spans="1:18" x14ac:dyDescent="0.25">
      <c r="A72" s="22">
        <v>44669</v>
      </c>
      <c r="B72" s="12">
        <v>186.23</v>
      </c>
      <c r="C72" s="13">
        <v>-1.7500000000000002E-2</v>
      </c>
      <c r="D72" s="7">
        <v>890</v>
      </c>
      <c r="E72" s="7">
        <v>-1.03E-2</v>
      </c>
      <c r="F72" s="7">
        <v>251</v>
      </c>
      <c r="G72" s="8">
        <f t="shared" si="6"/>
        <v>4.7830541850780854E-4</v>
      </c>
      <c r="H72" s="9">
        <f t="shared" si="7"/>
        <v>1.4349162555237125E-5</v>
      </c>
      <c r="I72" s="10">
        <f>SUM($H$3:H72)</f>
        <v>3.2043026217657036E-3</v>
      </c>
      <c r="J72" s="23">
        <v>-1.03E-2</v>
      </c>
      <c r="Q72" s="7">
        <f t="shared" si="5"/>
        <v>5.3755299159895533E-14</v>
      </c>
      <c r="R72" s="7">
        <f t="shared" si="4"/>
        <v>4.9191169985951391E-14</v>
      </c>
    </row>
    <row r="73" spans="1:18" x14ac:dyDescent="0.25">
      <c r="A73" s="22">
        <v>44670</v>
      </c>
      <c r="B73" s="12">
        <v>183.68</v>
      </c>
      <c r="C73" s="13">
        <v>-1.37E-2</v>
      </c>
      <c r="D73" s="7">
        <v>889</v>
      </c>
      <c r="E73" s="7">
        <v>-1.01E-2</v>
      </c>
      <c r="F73" s="7">
        <v>710</v>
      </c>
      <c r="G73" s="8">
        <f t="shared" si="6"/>
        <v>4.0544442120649611E-10</v>
      </c>
      <c r="H73" s="9">
        <f t="shared" si="7"/>
        <v>1.2163332636197315E-11</v>
      </c>
      <c r="I73" s="10">
        <f>SUM($H$3:H73)</f>
        <v>3.2043026339290365E-3</v>
      </c>
      <c r="J73" s="23">
        <v>-1.01E-2</v>
      </c>
      <c r="Q73" s="7">
        <f t="shared" si="5"/>
        <v>5.5417834185459309E-14</v>
      </c>
      <c r="R73" s="7">
        <f t="shared" si="4"/>
        <v>5.0712546377269473E-14</v>
      </c>
    </row>
    <row r="74" spans="1:18" x14ac:dyDescent="0.25">
      <c r="A74" s="22">
        <v>44671</v>
      </c>
      <c r="B74" s="12">
        <v>185.86</v>
      </c>
      <c r="C74" s="13">
        <v>1.1900000000000001E-2</v>
      </c>
      <c r="D74" s="7">
        <v>888</v>
      </c>
      <c r="E74" s="7">
        <v>-9.9000000000000008E-3</v>
      </c>
      <c r="F74" s="7">
        <v>513</v>
      </c>
      <c r="G74" s="8">
        <f t="shared" si="6"/>
        <v>1.6364384627735374E-7</v>
      </c>
      <c r="H74" s="9">
        <f t="shared" si="7"/>
        <v>4.9093153883215936E-9</v>
      </c>
      <c r="I74" s="10">
        <f>SUM($H$3:H74)</f>
        <v>3.2043075432444247E-3</v>
      </c>
      <c r="J74" s="23">
        <v>-9.9000000000000008E-3</v>
      </c>
      <c r="Q74" s="7">
        <f t="shared" si="5"/>
        <v>5.7131787820061142E-14</v>
      </c>
      <c r="R74" s="7">
        <f t="shared" si="4"/>
        <v>5.2280975646669554E-14</v>
      </c>
    </row>
    <row r="75" spans="1:18" x14ac:dyDescent="0.25">
      <c r="A75" s="22">
        <v>44672</v>
      </c>
      <c r="B75" s="12">
        <v>188.1</v>
      </c>
      <c r="C75" s="13">
        <v>1.21E-2</v>
      </c>
      <c r="D75" s="7">
        <v>887</v>
      </c>
      <c r="E75" s="7">
        <v>-9.9000000000000008E-3</v>
      </c>
      <c r="F75" s="7">
        <v>425</v>
      </c>
      <c r="G75" s="8">
        <f t="shared" si="6"/>
        <v>2.387740155399698E-6</v>
      </c>
      <c r="H75" s="9">
        <f t="shared" si="7"/>
        <v>7.1632204662005258E-8</v>
      </c>
      <c r="I75" s="10">
        <f>SUM($H$3:H75)</f>
        <v>3.2043791754490865E-3</v>
      </c>
      <c r="J75" s="23">
        <v>-9.9000000000000008E-3</v>
      </c>
      <c r="Q75" s="7">
        <f t="shared" si="5"/>
        <v>5.8898750329959948E-14</v>
      </c>
      <c r="R75" s="7">
        <f t="shared" si="4"/>
        <v>5.3897913037803672E-14</v>
      </c>
    </row>
    <row r="76" spans="1:18" x14ac:dyDescent="0.25">
      <c r="A76" s="22">
        <v>44673</v>
      </c>
      <c r="B76" s="12">
        <v>186.09</v>
      </c>
      <c r="C76" s="13">
        <v>-1.0699999999999999E-2</v>
      </c>
      <c r="D76" s="7">
        <v>886</v>
      </c>
      <c r="E76" s="7">
        <v>-9.7999999999999997E-3</v>
      </c>
      <c r="F76" s="7">
        <v>665</v>
      </c>
      <c r="G76" s="8">
        <f t="shared" si="6"/>
        <v>1.5966263303634554E-9</v>
      </c>
      <c r="H76" s="9">
        <f t="shared" si="7"/>
        <v>4.7898789910913233E-11</v>
      </c>
      <c r="I76" s="10">
        <f>SUM($H$3:H76)</f>
        <v>3.2043792233478765E-3</v>
      </c>
      <c r="J76" s="23">
        <v>-9.7999999999999997E-3</v>
      </c>
      <c r="Q76" s="7">
        <f t="shared" si="5"/>
        <v>6.0720361164907154E-14</v>
      </c>
      <c r="R76" s="7">
        <f t="shared" si="4"/>
        <v>5.5564858801859447E-14</v>
      </c>
    </row>
    <row r="77" spans="1:18" x14ac:dyDescent="0.25">
      <c r="A77" s="22">
        <v>44676</v>
      </c>
      <c r="B77" s="12">
        <v>183.86</v>
      </c>
      <c r="C77" s="13">
        <v>-1.2E-2</v>
      </c>
      <c r="D77" s="7">
        <v>885</v>
      </c>
      <c r="E77" s="7">
        <v>-9.7999999999999997E-3</v>
      </c>
      <c r="F77" s="7">
        <v>568</v>
      </c>
      <c r="G77" s="8">
        <f t="shared" si="6"/>
        <v>3.0643972450363107E-8</v>
      </c>
      <c r="H77" s="9">
        <f t="shared" si="7"/>
        <v>9.19319173511077E-10</v>
      </c>
      <c r="I77" s="10">
        <f>SUM($H$3:H77)</f>
        <v>3.2043801426670498E-3</v>
      </c>
      <c r="J77" s="23">
        <v>-9.7999999999999997E-3</v>
      </c>
      <c r="Q77" s="7">
        <f t="shared" si="5"/>
        <v>6.2598310479285728E-14</v>
      </c>
      <c r="R77" s="7">
        <f t="shared" si="4"/>
        <v>5.7283359589545824E-14</v>
      </c>
    </row>
    <row r="78" spans="1:18" x14ac:dyDescent="0.25">
      <c r="A78" s="22">
        <v>44677</v>
      </c>
      <c r="B78" s="12">
        <v>186.11</v>
      </c>
      <c r="C78" s="13">
        <v>1.2200000000000001E-2</v>
      </c>
      <c r="D78" s="7">
        <v>884</v>
      </c>
      <c r="E78" s="7">
        <v>-9.7999999999999997E-3</v>
      </c>
      <c r="F78" s="7">
        <v>411</v>
      </c>
      <c r="G78" s="8">
        <f t="shared" si="6"/>
        <v>3.657486934836852E-6</v>
      </c>
      <c r="H78" s="9">
        <f t="shared" si="7"/>
        <v>1.0972460804512749E-7</v>
      </c>
      <c r="I78" s="10">
        <f>SUM($H$3:H78)</f>
        <v>3.2044898672750951E-3</v>
      </c>
      <c r="J78" s="23">
        <v>-9.7999999999999997E-3</v>
      </c>
      <c r="Q78" s="7">
        <f t="shared" si="5"/>
        <v>6.4534340700294575E-14</v>
      </c>
      <c r="R78" s="7">
        <f t="shared" si="4"/>
        <v>5.9055009886129726E-14</v>
      </c>
    </row>
    <row r="79" spans="1:18" x14ac:dyDescent="0.25">
      <c r="A79" s="22">
        <v>44678</v>
      </c>
      <c r="B79" s="12">
        <v>184.78</v>
      </c>
      <c r="C79" s="13">
        <v>-7.1000000000000004E-3</v>
      </c>
      <c r="D79" s="7">
        <v>883</v>
      </c>
      <c r="E79" s="7">
        <v>-9.7000000000000003E-3</v>
      </c>
      <c r="F79" s="7">
        <v>200</v>
      </c>
      <c r="G79" s="8">
        <f t="shared" si="6"/>
        <v>2.2612410099957731E-3</v>
      </c>
      <c r="H79" s="9">
        <f t="shared" si="7"/>
        <v>6.7837230299886754E-5</v>
      </c>
      <c r="I79" s="10">
        <f>SUM($H$3:H79)</f>
        <v>3.2723270975749817E-3</v>
      </c>
      <c r="J79" s="23">
        <v>-9.7000000000000003E-3</v>
      </c>
      <c r="Q79" s="7">
        <f t="shared" si="5"/>
        <v>6.6530248144633584E-14</v>
      </c>
      <c r="R79" s="7">
        <f t="shared" si="4"/>
        <v>6.0881453490855394E-14</v>
      </c>
    </row>
    <row r="80" spans="1:18" x14ac:dyDescent="0.25">
      <c r="A80" s="22">
        <v>44679</v>
      </c>
      <c r="B80" s="12">
        <v>186.41</v>
      </c>
      <c r="C80" s="13">
        <v>8.8000000000000005E-3</v>
      </c>
      <c r="D80" s="7">
        <v>882</v>
      </c>
      <c r="E80" s="7">
        <v>-9.5999999999999992E-3</v>
      </c>
      <c r="F80" s="7">
        <v>920</v>
      </c>
      <c r="G80" s="8">
        <f t="shared" si="6"/>
        <v>6.7607600893750789E-13</v>
      </c>
      <c r="H80" s="9">
        <f t="shared" si="7"/>
        <v>2.028228026812929E-14</v>
      </c>
      <c r="I80" s="10">
        <f>SUM($H$3:H80)</f>
        <v>3.2723270975952641E-3</v>
      </c>
      <c r="J80" s="23">
        <v>-9.5999999999999992E-3</v>
      </c>
      <c r="Q80" s="7">
        <f t="shared" si="5"/>
        <v>6.8587884685189263E-14</v>
      </c>
      <c r="R80" s="7">
        <f t="shared" si="4"/>
        <v>6.2764385042118964E-14</v>
      </c>
    </row>
    <row r="81" spans="1:18" x14ac:dyDescent="0.25">
      <c r="A81" s="22">
        <v>44680</v>
      </c>
      <c r="B81" s="12">
        <v>185.43</v>
      </c>
      <c r="C81" s="13">
        <v>-5.3E-3</v>
      </c>
      <c r="D81" s="7">
        <v>881</v>
      </c>
      <c r="E81" s="7">
        <v>-9.4999999999999998E-3</v>
      </c>
      <c r="F81" s="7">
        <v>321</v>
      </c>
      <c r="G81" s="8">
        <f t="shared" si="6"/>
        <v>5.671875632264377E-5</v>
      </c>
      <c r="H81" s="9">
        <f t="shared" si="7"/>
        <v>1.7015626896796531E-6</v>
      </c>
      <c r="I81" s="10">
        <f>SUM($H$3:H81)</f>
        <v>3.2740286602849439E-3</v>
      </c>
      <c r="J81" s="23">
        <v>-9.4999999999999998E-3</v>
      </c>
      <c r="Q81" s="7">
        <f t="shared" si="5"/>
        <v>7.0709159469267278E-14</v>
      </c>
      <c r="R81" s="7">
        <f t="shared" si="4"/>
        <v>6.4705551589813359E-14</v>
      </c>
    </row>
    <row r="82" spans="1:18" x14ac:dyDescent="0.25">
      <c r="A82" s="22">
        <v>44683</v>
      </c>
      <c r="B82" s="12">
        <v>185.12</v>
      </c>
      <c r="C82" s="13">
        <v>-1.6999999999999999E-3</v>
      </c>
      <c r="D82" s="7">
        <v>880</v>
      </c>
      <c r="E82" s="7">
        <v>-9.4000000000000004E-3</v>
      </c>
      <c r="F82" s="7">
        <v>132</v>
      </c>
      <c r="G82" s="8">
        <f t="shared" si="6"/>
        <v>1.7941920299364221E-2</v>
      </c>
      <c r="H82" s="9">
        <f t="shared" si="7"/>
        <v>5.3825760898103421E-4</v>
      </c>
      <c r="I82" s="10">
        <f>SUM($H$3:H82)</f>
        <v>3.8122862692659782E-3</v>
      </c>
      <c r="J82" s="23">
        <v>-9.4000000000000004E-3</v>
      </c>
      <c r="Q82" s="7">
        <f t="shared" si="5"/>
        <v>7.2896040689966264E-14</v>
      </c>
      <c r="R82" s="7">
        <f t="shared" si="4"/>
        <v>6.6706754216302433E-14</v>
      </c>
    </row>
    <row r="83" spans="1:18" x14ac:dyDescent="0.25">
      <c r="A83" s="22">
        <v>44685</v>
      </c>
      <c r="B83" s="12">
        <v>181.05</v>
      </c>
      <c r="C83" s="13">
        <v>-2.1999999999999999E-2</v>
      </c>
      <c r="D83" s="7">
        <v>879</v>
      </c>
      <c r="E83" s="7">
        <v>-9.2999999999999992E-3</v>
      </c>
      <c r="F83" s="7">
        <v>943</v>
      </c>
      <c r="G83" s="8">
        <f t="shared" si="6"/>
        <v>3.3554085981841308E-13</v>
      </c>
      <c r="H83" s="9">
        <f t="shared" si="7"/>
        <v>1.0066225794554404E-14</v>
      </c>
      <c r="I83" s="10">
        <f>SUM($H$3:H83)</f>
        <v>3.8122862692760444E-3</v>
      </c>
      <c r="J83" s="23">
        <v>-9.2999999999999992E-3</v>
      </c>
      <c r="Q83" s="7">
        <f t="shared" si="5"/>
        <v>7.5150557412336353E-14</v>
      </c>
      <c r="R83" s="7">
        <f t="shared" si="4"/>
        <v>6.8769849707528275E-14</v>
      </c>
    </row>
    <row r="84" spans="1:18" x14ac:dyDescent="0.25">
      <c r="A84" s="22">
        <v>44686</v>
      </c>
      <c r="B84" s="12">
        <v>181.01</v>
      </c>
      <c r="C84" s="13">
        <v>-2.0000000000000001E-4</v>
      </c>
      <c r="D84" s="7">
        <v>878</v>
      </c>
      <c r="E84" s="7">
        <v>-9.2999999999999992E-3</v>
      </c>
      <c r="F84" s="7">
        <v>297</v>
      </c>
      <c r="G84" s="8">
        <f t="shared" si="6"/>
        <v>1.1781621791055111E-4</v>
      </c>
      <c r="H84" s="9">
        <f t="shared" si="7"/>
        <v>3.5344865373172396E-6</v>
      </c>
      <c r="I84" s="10">
        <f>SUM($H$3:H84)</f>
        <v>3.8158207558133617E-3</v>
      </c>
      <c r="J84" s="23">
        <v>-9.2999999999999992E-3</v>
      </c>
      <c r="Q84" s="7">
        <f t="shared" si="5"/>
        <v>7.7474801456016871E-14</v>
      </c>
      <c r="R84" s="7">
        <f t="shared" si="4"/>
        <v>7.0896752275802355E-14</v>
      </c>
    </row>
    <row r="85" spans="1:18" x14ac:dyDescent="0.25">
      <c r="A85" s="22">
        <v>44687</v>
      </c>
      <c r="B85" s="12">
        <v>177.94</v>
      </c>
      <c r="C85" s="13">
        <v>-1.7000000000000001E-2</v>
      </c>
      <c r="D85" s="7">
        <v>877</v>
      </c>
      <c r="E85" s="7">
        <v>-9.2999999999999992E-3</v>
      </c>
      <c r="F85" s="7">
        <v>56</v>
      </c>
      <c r="G85" s="8">
        <f t="shared" si="6"/>
        <v>0.18164235290872491</v>
      </c>
      <c r="H85" s="9">
        <f t="shared" si="7"/>
        <v>5.4492705872628364E-3</v>
      </c>
      <c r="I85" s="10">
        <f>SUM($H$3:H85)</f>
        <v>9.265091343076199E-3</v>
      </c>
      <c r="J85" s="23">
        <v>-9.2999999999999992E-3</v>
      </c>
      <c r="Q85" s="7">
        <f t="shared" si="5"/>
        <v>7.9870929336099851E-14</v>
      </c>
      <c r="R85" s="7">
        <f t="shared" si="4"/>
        <v>7.3089435335878699E-14</v>
      </c>
    </row>
    <row r="86" spans="1:18" x14ac:dyDescent="0.25">
      <c r="A86" s="22">
        <v>44690</v>
      </c>
      <c r="B86" s="12">
        <v>176.95</v>
      </c>
      <c r="C86" s="13">
        <v>-5.5999999999999999E-3</v>
      </c>
      <c r="D86" s="7">
        <v>876</v>
      </c>
      <c r="E86" s="7">
        <v>-9.1999999999999998E-3</v>
      </c>
      <c r="F86" s="7">
        <v>576</v>
      </c>
      <c r="G86" s="8">
        <f t="shared" si="6"/>
        <v>2.4017009914763792E-8</v>
      </c>
      <c r="H86" s="9">
        <f t="shared" si="7"/>
        <v>7.2051029744305777E-10</v>
      </c>
      <c r="I86" s="10">
        <f>SUM($H$3:H86)</f>
        <v>9.2650920635864963E-3</v>
      </c>
      <c r="J86" s="23">
        <v>-9.1999999999999998E-3</v>
      </c>
      <c r="Q86" s="7">
        <f t="shared" si="5"/>
        <v>8.2341164264020459E-14</v>
      </c>
      <c r="R86" s="7">
        <f t="shared" si="4"/>
        <v>7.5349933335957414E-14</v>
      </c>
    </row>
    <row r="87" spans="1:18" x14ac:dyDescent="0.25">
      <c r="A87" s="22">
        <v>44691</v>
      </c>
      <c r="B87" s="12">
        <v>176.16</v>
      </c>
      <c r="C87" s="13">
        <v>-4.4999999999999997E-3</v>
      </c>
      <c r="D87" s="7">
        <v>875</v>
      </c>
      <c r="E87" s="7">
        <v>-9.1000000000000004E-3</v>
      </c>
      <c r="F87" s="7">
        <v>948</v>
      </c>
      <c r="G87" s="8">
        <f t="shared" si="6"/>
        <v>2.8814035333870525E-13</v>
      </c>
      <c r="H87" s="9">
        <f t="shared" si="7"/>
        <v>8.6442106001628848E-15</v>
      </c>
      <c r="I87" s="10">
        <f>SUM($H$3:H87)</f>
        <v>9.2650920635951404E-3</v>
      </c>
      <c r="J87" s="23">
        <v>-9.1000000000000004E-3</v>
      </c>
      <c r="Q87" s="7">
        <f t="shared" si="5"/>
        <v>8.4887798210330396E-14</v>
      </c>
      <c r="R87" s="7">
        <f t="shared" si="4"/>
        <v>7.7680343645316946E-14</v>
      </c>
    </row>
    <row r="88" spans="1:18" x14ac:dyDescent="0.25">
      <c r="A88" s="22">
        <v>44692</v>
      </c>
      <c r="B88" s="12">
        <v>175.34</v>
      </c>
      <c r="C88" s="13">
        <v>-4.7000000000000002E-3</v>
      </c>
      <c r="D88" s="7">
        <v>874</v>
      </c>
      <c r="E88" s="7">
        <v>-8.9999999999999993E-3</v>
      </c>
      <c r="F88" s="7">
        <v>895</v>
      </c>
      <c r="G88" s="8">
        <f t="shared" si="6"/>
        <v>1.4477786512424345E-12</v>
      </c>
      <c r="H88" s="9">
        <f t="shared" si="7"/>
        <v>4.343335953728172E-14</v>
      </c>
      <c r="I88" s="10">
        <f>SUM($H$3:H88)</f>
        <v>9.2650920636385744E-3</v>
      </c>
      <c r="J88" s="23">
        <v>-8.9999999999999993E-3</v>
      </c>
      <c r="Q88" s="7">
        <f t="shared" si="5"/>
        <v>8.7513194031268443E-14</v>
      </c>
      <c r="R88" s="7">
        <f t="shared" si="4"/>
        <v>8.0082828500326743E-14</v>
      </c>
    </row>
    <row r="89" spans="1:18" x14ac:dyDescent="0.25">
      <c r="A89" s="22">
        <v>44693</v>
      </c>
      <c r="B89" s="12">
        <v>171.72</v>
      </c>
      <c r="C89" s="13">
        <v>-2.06E-2</v>
      </c>
      <c r="D89" s="7">
        <v>873</v>
      </c>
      <c r="E89" s="7">
        <v>-8.9999999999999993E-3</v>
      </c>
      <c r="F89" s="7">
        <v>720</v>
      </c>
      <c r="G89" s="8">
        <f t="shared" si="6"/>
        <v>2.9898449831261987E-10</v>
      </c>
      <c r="H89" s="9">
        <f t="shared" si="7"/>
        <v>8.9695349493803889E-12</v>
      </c>
      <c r="I89" s="10">
        <f>SUM($H$3:H89)</f>
        <v>9.2650920726081096E-3</v>
      </c>
      <c r="J89" s="23">
        <v>-8.9999999999999993E-3</v>
      </c>
      <c r="Q89" s="7">
        <f t="shared" si="5"/>
        <v>9.0219787661101486E-14</v>
      </c>
      <c r="R89" s="7">
        <f t="shared" si="4"/>
        <v>8.2559617010646129E-14</v>
      </c>
    </row>
    <row r="90" spans="1:18" x14ac:dyDescent="0.25">
      <c r="A90" s="22">
        <v>44694</v>
      </c>
      <c r="B90" s="12">
        <v>171.4</v>
      </c>
      <c r="C90" s="13">
        <v>-1.9E-3</v>
      </c>
      <c r="D90" s="7">
        <v>872</v>
      </c>
      <c r="E90" s="7">
        <v>-8.9999999999999993E-3</v>
      </c>
      <c r="F90" s="7">
        <v>534</v>
      </c>
      <c r="G90" s="8">
        <f t="shared" si="6"/>
        <v>8.6318939924587215E-8</v>
      </c>
      <c r="H90" s="9">
        <f t="shared" si="7"/>
        <v>2.5895681977381342E-9</v>
      </c>
      <c r="I90" s="10">
        <f>SUM($H$3:H90)</f>
        <v>9.2650946621763066E-3</v>
      </c>
      <c r="J90" s="23">
        <v>-8.9999999999999993E-3</v>
      </c>
      <c r="Q90" s="7">
        <f t="shared" si="5"/>
        <v>9.3010090372269579E-14</v>
      </c>
      <c r="R90" s="7">
        <f t="shared" si="4"/>
        <v>8.5113007227470249E-14</v>
      </c>
    </row>
    <row r="91" spans="1:18" x14ac:dyDescent="0.25">
      <c r="A91" s="22">
        <v>44697</v>
      </c>
      <c r="B91" s="12">
        <v>172.13</v>
      </c>
      <c r="C91" s="13">
        <v>4.3E-3</v>
      </c>
      <c r="D91" s="7">
        <v>871</v>
      </c>
      <c r="E91" s="7">
        <v>-8.9999999999999993E-3</v>
      </c>
      <c r="F91" s="7">
        <v>278</v>
      </c>
      <c r="G91" s="8">
        <f t="shared" si="6"/>
        <v>2.1015616079814406E-4</v>
      </c>
      <c r="H91" s="9">
        <f t="shared" si="7"/>
        <v>6.3046848239455815E-6</v>
      </c>
      <c r="I91" s="10">
        <f>SUM($H$3:H91)</f>
        <v>9.2713993470002528E-3</v>
      </c>
      <c r="J91" s="23">
        <v>-8.9999999999999993E-3</v>
      </c>
      <c r="Q91" s="7">
        <f t="shared" si="5"/>
        <v>9.5886691105432565E-14</v>
      </c>
      <c r="R91" s="7">
        <f t="shared" si="4"/>
        <v>8.7745368275742523E-14</v>
      </c>
    </row>
    <row r="92" spans="1:18" x14ac:dyDescent="0.25">
      <c r="A92" s="22">
        <v>44698</v>
      </c>
      <c r="B92" s="12">
        <v>176.44</v>
      </c>
      <c r="C92" s="13">
        <v>2.5000000000000001E-2</v>
      </c>
      <c r="D92" s="7">
        <v>870</v>
      </c>
      <c r="E92" s="7">
        <v>-8.8999999999999999E-3</v>
      </c>
      <c r="F92" s="7">
        <v>34</v>
      </c>
      <c r="G92" s="8">
        <f t="shared" si="6"/>
        <v>0.35500867454043461</v>
      </c>
      <c r="H92" s="9">
        <f t="shared" si="7"/>
        <v>1.0650260236215167E-2</v>
      </c>
      <c r="I92" s="10">
        <f>SUM($H$3:H92)</f>
        <v>1.9921659583215422E-2</v>
      </c>
      <c r="J92" s="23">
        <v>-8.8999999999999999E-3</v>
      </c>
      <c r="Q92" s="7">
        <f t="shared" si="5"/>
        <v>9.8852258871579951E-14</v>
      </c>
      <c r="R92" s="7">
        <f t="shared" si="4"/>
        <v>9.0459142552311866E-14</v>
      </c>
    </row>
    <row r="93" spans="1:18" x14ac:dyDescent="0.25">
      <c r="A93" s="22">
        <v>44699</v>
      </c>
      <c r="B93" s="12">
        <v>176.05</v>
      </c>
      <c r="C93" s="13">
        <v>-2.2000000000000001E-3</v>
      </c>
      <c r="D93" s="7">
        <v>869</v>
      </c>
      <c r="E93" s="7">
        <v>-8.8000000000000005E-3</v>
      </c>
      <c r="F93" s="7">
        <v>855</v>
      </c>
      <c r="G93" s="8">
        <f t="shared" si="6"/>
        <v>4.8959029196115878E-12</v>
      </c>
      <c r="H93" s="9">
        <f t="shared" si="7"/>
        <v>1.4687708758837699E-13</v>
      </c>
      <c r="I93" s="10">
        <f>SUM($H$3:H93)</f>
        <v>1.9921659583362297E-2</v>
      </c>
      <c r="J93" s="23">
        <v>-8.8000000000000005E-3</v>
      </c>
      <c r="Q93" s="7">
        <f t="shared" si="5"/>
        <v>1.0190954522843296E-13</v>
      </c>
      <c r="R93" s="7">
        <f t="shared" si="4"/>
        <v>9.3256847992074104E-14</v>
      </c>
    </row>
    <row r="94" spans="1:18" x14ac:dyDescent="0.25">
      <c r="A94" s="22">
        <v>44700</v>
      </c>
      <c r="B94" s="12">
        <v>171.7</v>
      </c>
      <c r="C94" s="13">
        <v>-2.47E-2</v>
      </c>
      <c r="D94" s="7">
        <v>868</v>
      </c>
      <c r="E94" s="7">
        <v>-8.6E-3</v>
      </c>
      <c r="F94" s="7">
        <v>461</v>
      </c>
      <c r="G94" s="8">
        <f t="shared" si="6"/>
        <v>7.9757126127343699E-7</v>
      </c>
      <c r="H94" s="9">
        <f t="shared" si="7"/>
        <v>2.3927137838207893E-8</v>
      </c>
      <c r="I94" s="10">
        <f>SUM($H$3:H94)</f>
        <v>1.9921683510500134E-2</v>
      </c>
      <c r="J94" s="23">
        <v>-8.6E-3</v>
      </c>
      <c r="Q94" s="7">
        <f t="shared" si="5"/>
        <v>1.0506138683343603E-13</v>
      </c>
      <c r="R94" s="7">
        <f t="shared" si="4"/>
        <v>9.61410804042001E-14</v>
      </c>
    </row>
    <row r="95" spans="1:18" x14ac:dyDescent="0.25">
      <c r="A95" s="22">
        <v>44701</v>
      </c>
      <c r="B95" s="12">
        <v>175.92</v>
      </c>
      <c r="C95" s="13">
        <v>2.46E-2</v>
      </c>
      <c r="D95" s="7">
        <v>867</v>
      </c>
      <c r="E95" s="7">
        <v>-8.6E-3</v>
      </c>
      <c r="F95" s="7">
        <v>141</v>
      </c>
      <c r="G95" s="8">
        <f t="shared" si="6"/>
        <v>1.3640005063481493E-2</v>
      </c>
      <c r="H95" s="9">
        <f t="shared" si="7"/>
        <v>4.0920015190452658E-4</v>
      </c>
      <c r="I95" s="10">
        <f>SUM($H$3:H95)</f>
        <v>2.033088366240466E-2</v>
      </c>
      <c r="J95" s="23">
        <v>-8.6E-3</v>
      </c>
      <c r="Q95" s="7">
        <f t="shared" si="5"/>
        <v>1.0831070807570725E-13</v>
      </c>
      <c r="R95" s="7">
        <f t="shared" si="4"/>
        <v>9.9114515880618676E-14</v>
      </c>
    </row>
    <row r="96" spans="1:18" x14ac:dyDescent="0.25">
      <c r="A96" s="22">
        <v>44704</v>
      </c>
      <c r="B96" s="12">
        <v>175.53</v>
      </c>
      <c r="C96" s="13">
        <v>-2.2000000000000001E-3</v>
      </c>
      <c r="D96" s="7">
        <v>866</v>
      </c>
      <c r="E96" s="7">
        <v>-8.5000000000000006E-3</v>
      </c>
      <c r="F96" s="7">
        <v>820</v>
      </c>
      <c r="G96" s="8">
        <f t="shared" si="6"/>
        <v>1.4217462725584305E-11</v>
      </c>
      <c r="H96" s="9">
        <f t="shared" si="7"/>
        <v>4.2652388176761438E-13</v>
      </c>
      <c r="I96" s="10">
        <f>SUM($H$3:H96)</f>
        <v>2.0330883662831183E-2</v>
      </c>
      <c r="J96" s="23">
        <v>-8.5000000000000006E-3</v>
      </c>
      <c r="Q96" s="7">
        <f t="shared" si="5"/>
        <v>1.1166052378938893E-13</v>
      </c>
      <c r="R96" s="7">
        <f t="shared" si="4"/>
        <v>1.0217991327898833E-13</v>
      </c>
    </row>
    <row r="97" spans="1:18" x14ac:dyDescent="0.25">
      <c r="A97" s="22">
        <v>44705</v>
      </c>
      <c r="B97" s="12">
        <v>175.09</v>
      </c>
      <c r="C97" s="13">
        <v>-2.5000000000000001E-3</v>
      </c>
      <c r="D97" s="7">
        <v>865</v>
      </c>
      <c r="E97" s="7">
        <v>-8.5000000000000006E-3</v>
      </c>
      <c r="F97" s="7">
        <v>777</v>
      </c>
      <c r="G97" s="8">
        <f t="shared" si="6"/>
        <v>5.2679000324036796E-11</v>
      </c>
      <c r="H97" s="9">
        <f t="shared" si="7"/>
        <v>1.5803700097214198E-12</v>
      </c>
      <c r="I97" s="10">
        <f>SUM($H$3:H97)</f>
        <v>2.0330883664411555E-2</v>
      </c>
      <c r="J97" s="23">
        <v>-8.5000000000000006E-3</v>
      </c>
      <c r="Q97" s="7">
        <f t="shared" si="5"/>
        <v>1.151139420509164E-13</v>
      </c>
      <c r="R97" s="7">
        <f t="shared" si="4"/>
        <v>1.0534011678246217E-13</v>
      </c>
    </row>
    <row r="98" spans="1:18" x14ac:dyDescent="0.25">
      <c r="A98" s="22">
        <v>44706</v>
      </c>
      <c r="B98" s="12">
        <v>174.13</v>
      </c>
      <c r="C98" s="13">
        <v>-5.4999999999999997E-3</v>
      </c>
      <c r="D98" s="7">
        <v>864</v>
      </c>
      <c r="E98" s="7">
        <v>-8.5000000000000006E-3</v>
      </c>
      <c r="F98" s="7">
        <v>439</v>
      </c>
      <c r="G98" s="8">
        <f t="shared" si="6"/>
        <v>1.5588033945943512E-6</v>
      </c>
      <c r="H98" s="9">
        <f t="shared" si="7"/>
        <v>4.6764101837839884E-8</v>
      </c>
      <c r="I98" s="10">
        <f>SUM($H$3:H98)</f>
        <v>2.0330930428513392E-2</v>
      </c>
      <c r="J98" s="23">
        <v>-8.5000000000000006E-3</v>
      </c>
      <c r="Q98" s="7">
        <f t="shared" si="5"/>
        <v>1.186741670628004E-13</v>
      </c>
      <c r="R98" s="7">
        <f t="shared" si="4"/>
        <v>1.0859805853862079E-13</v>
      </c>
    </row>
    <row r="99" spans="1:18" x14ac:dyDescent="0.25">
      <c r="A99" s="22">
        <v>44707</v>
      </c>
      <c r="B99" s="12">
        <v>175.57</v>
      </c>
      <c r="C99" s="13">
        <v>8.3000000000000001E-3</v>
      </c>
      <c r="D99" s="7">
        <v>863</v>
      </c>
      <c r="E99" s="7">
        <v>-8.5000000000000006E-3</v>
      </c>
      <c r="F99" s="7">
        <v>226</v>
      </c>
      <c r="G99" s="8">
        <f t="shared" si="6"/>
        <v>1.0242640835273179E-3</v>
      </c>
      <c r="H99" s="9">
        <f t="shared" si="7"/>
        <v>3.0727922505825675E-5</v>
      </c>
      <c r="I99" s="10">
        <f>SUM($H$3:H99)</f>
        <v>2.0361658351019218E-2</v>
      </c>
      <c r="J99" s="23">
        <v>-8.5000000000000006E-3</v>
      </c>
      <c r="Q99" s="7">
        <f t="shared" si="5"/>
        <v>1.2234450212659839E-13</v>
      </c>
      <c r="R99" s="7">
        <f t="shared" si="4"/>
        <v>1.1195676138002147E-13</v>
      </c>
    </row>
    <row r="100" spans="1:18" x14ac:dyDescent="0.25">
      <c r="A100" s="22">
        <v>44708</v>
      </c>
      <c r="B100" s="12">
        <v>177.1</v>
      </c>
      <c r="C100" s="13">
        <v>8.6999999999999994E-3</v>
      </c>
      <c r="D100" s="7">
        <v>862</v>
      </c>
      <c r="E100" s="7">
        <v>-8.3000000000000001E-3</v>
      </c>
      <c r="F100" s="7">
        <v>383</v>
      </c>
      <c r="G100" s="8">
        <f t="shared" si="6"/>
        <v>8.5817176976211492E-6</v>
      </c>
      <c r="H100" s="9">
        <f t="shared" si="7"/>
        <v>2.5745153092868593E-7</v>
      </c>
      <c r="I100" s="10">
        <f>SUM($H$3:H100)</f>
        <v>2.0361915802550146E-2</v>
      </c>
      <c r="J100" s="23">
        <v>-8.3000000000000001E-3</v>
      </c>
      <c r="Q100" s="7">
        <f t="shared" si="5"/>
        <v>1.2612835270783336E-13</v>
      </c>
      <c r="R100" s="7">
        <f t="shared" si="4"/>
        <v>1.1541934162888808E-13</v>
      </c>
    </row>
    <row r="101" spans="1:18" x14ac:dyDescent="0.25">
      <c r="A101" s="22">
        <v>44711</v>
      </c>
      <c r="B101" s="12">
        <v>180.43</v>
      </c>
      <c r="C101" s="13">
        <v>1.8800000000000001E-2</v>
      </c>
      <c r="D101" s="7">
        <v>861</v>
      </c>
      <c r="E101" s="7">
        <v>-8.3000000000000001E-3</v>
      </c>
      <c r="F101" s="7">
        <v>125</v>
      </c>
      <c r="G101" s="8">
        <f t="shared" si="6"/>
        <v>2.220581837257251E-2</v>
      </c>
      <c r="H101" s="9">
        <f t="shared" si="7"/>
        <v>6.6617455117730839E-4</v>
      </c>
      <c r="I101" s="10">
        <f>SUM($H$3:H101)</f>
        <v>2.1028090353727453E-2</v>
      </c>
      <c r="J101" s="23">
        <v>-8.3000000000000001E-3</v>
      </c>
      <c r="Q101" s="7">
        <f t="shared" si="5"/>
        <v>1.3002922959570452E-13</v>
      </c>
      <c r="R101" s="7">
        <f t="shared" si="4"/>
        <v>1.1898901198854443E-13</v>
      </c>
    </row>
    <row r="102" spans="1:18" x14ac:dyDescent="0.25">
      <c r="A102" s="22">
        <v>44712</v>
      </c>
      <c r="B102" s="12">
        <v>179.87</v>
      </c>
      <c r="C102" s="13">
        <v>-3.0999999999999999E-3</v>
      </c>
      <c r="D102" s="7">
        <v>860</v>
      </c>
      <c r="E102" s="7">
        <v>-8.2000000000000007E-3</v>
      </c>
      <c r="F102" s="7">
        <v>529</v>
      </c>
      <c r="G102" s="8">
        <f t="shared" si="6"/>
        <v>1.0051883044255063E-7</v>
      </c>
      <c r="H102" s="9">
        <f t="shared" si="7"/>
        <v>3.0155649132771217E-9</v>
      </c>
      <c r="I102" s="10">
        <f>SUM($H$3:H102)</f>
        <v>2.1028093369292365E-2</v>
      </c>
      <c r="J102" s="23">
        <v>-8.2000000000000007E-3</v>
      </c>
      <c r="Q102" s="7">
        <f t="shared" si="5"/>
        <v>1.3405075216052013E-13</v>
      </c>
      <c r="R102" s="7">
        <f t="shared" si="4"/>
        <v>1.2266908452427263E-13</v>
      </c>
    </row>
    <row r="103" spans="1:18" x14ac:dyDescent="0.25">
      <c r="A103" s="22">
        <v>44713</v>
      </c>
      <c r="B103" s="12">
        <v>179.59</v>
      </c>
      <c r="C103" s="13">
        <v>-1.6000000000000001E-3</v>
      </c>
      <c r="D103" s="7">
        <v>859</v>
      </c>
      <c r="E103" s="7">
        <v>-8.2000000000000007E-3</v>
      </c>
      <c r="F103" s="7">
        <v>58</v>
      </c>
      <c r="G103" s="8">
        <f t="shared" si="6"/>
        <v>0.17090728985181927</v>
      </c>
      <c r="H103" s="9">
        <f t="shared" si="7"/>
        <v>5.1272186955556029E-3</v>
      </c>
      <c r="I103" s="10">
        <f>SUM($H$3:H103)</f>
        <v>2.6155312064847967E-2</v>
      </c>
      <c r="J103" s="23">
        <v>-8.2000000000000007E-3</v>
      </c>
      <c r="Q103" s="7">
        <f t="shared" si="5"/>
        <v>1.3819665171187637E-13</v>
      </c>
      <c r="R103" s="7">
        <f t="shared" si="4"/>
        <v>1.2646297373636347E-13</v>
      </c>
    </row>
    <row r="104" spans="1:18" x14ac:dyDescent="0.25">
      <c r="A104" s="22">
        <v>44714</v>
      </c>
      <c r="B104" s="12">
        <v>180.68</v>
      </c>
      <c r="C104" s="13">
        <v>6.1000000000000004E-3</v>
      </c>
      <c r="D104" s="7">
        <v>858</v>
      </c>
      <c r="E104" s="7">
        <v>-8.0999999999999996E-3</v>
      </c>
      <c r="F104" s="7">
        <v>331</v>
      </c>
      <c r="G104" s="8">
        <f t="shared" si="6"/>
        <v>4.1825779359791764E-5</v>
      </c>
      <c r="H104" s="9">
        <f t="shared" si="7"/>
        <v>1.2547733807940036E-6</v>
      </c>
      <c r="I104" s="10">
        <f>SUM($H$3:H104)</f>
        <v>2.615656683822876E-2</v>
      </c>
      <c r="J104" s="23">
        <v>-8.0999999999999996E-3</v>
      </c>
      <c r="Q104" s="7">
        <f t="shared" si="5"/>
        <v>1.4247077496069735E-13</v>
      </c>
      <c r="R104" s="7">
        <f t="shared" si="4"/>
        <v>1.3037419972820983E-13</v>
      </c>
    </row>
    <row r="105" spans="1:18" x14ac:dyDescent="0.25">
      <c r="A105" s="22">
        <v>44715</v>
      </c>
      <c r="B105" s="12">
        <v>180.21</v>
      </c>
      <c r="C105" s="13">
        <v>-2.5999999999999999E-3</v>
      </c>
      <c r="D105" s="7">
        <v>857</v>
      </c>
      <c r="E105" s="7">
        <v>-8.0000000000000002E-3</v>
      </c>
      <c r="F105" s="7">
        <v>946</v>
      </c>
      <c r="G105" s="8">
        <f t="shared" si="6"/>
        <v>3.0623908315305051E-13</v>
      </c>
      <c r="H105" s="9">
        <f t="shared" si="7"/>
        <v>9.1871724945933518E-15</v>
      </c>
      <c r="I105" s="10">
        <f>SUM($H$3:H105)</f>
        <v>2.6156566838237947E-2</v>
      </c>
      <c r="J105" s="23">
        <v>-8.0000000000000002E-3</v>
      </c>
      <c r="Q105" s="7">
        <f t="shared" si="5"/>
        <v>1.4687708758834776E-13</v>
      </c>
      <c r="R105" s="7">
        <f t="shared" si="4"/>
        <v>1.3440639147238125E-13</v>
      </c>
    </row>
    <row r="106" spans="1:18" x14ac:dyDescent="0.25">
      <c r="A106" s="22">
        <v>44718</v>
      </c>
      <c r="B106" s="12">
        <v>180.15</v>
      </c>
      <c r="C106" s="13">
        <v>-2.9999999999999997E-4</v>
      </c>
      <c r="D106" s="7">
        <v>856</v>
      </c>
      <c r="E106" s="7">
        <v>-8.0000000000000002E-3</v>
      </c>
      <c r="F106" s="7">
        <v>896</v>
      </c>
      <c r="G106" s="8">
        <f t="shared" si="6"/>
        <v>1.4043452917051619E-12</v>
      </c>
      <c r="H106" s="9">
        <f t="shared" si="7"/>
        <v>4.2130358751163279E-14</v>
      </c>
      <c r="I106" s="10">
        <f>SUM($H$3:H106)</f>
        <v>2.6156566838280076E-2</v>
      </c>
      <c r="J106" s="23">
        <v>-8.0000000000000002E-3</v>
      </c>
      <c r="Q106" s="7">
        <f t="shared" si="5"/>
        <v>1.5141967792613172E-13</v>
      </c>
      <c r="R106" s="7">
        <f t="shared" si="4"/>
        <v>1.3856329017771263E-13</v>
      </c>
    </row>
    <row r="107" spans="1:18" x14ac:dyDescent="0.25">
      <c r="A107" s="22">
        <v>44719</v>
      </c>
      <c r="B107" s="12">
        <v>178.56</v>
      </c>
      <c r="C107" s="13">
        <v>-8.8000000000000005E-3</v>
      </c>
      <c r="D107" s="7">
        <v>855</v>
      </c>
      <c r="E107" s="7">
        <v>-8.0000000000000002E-3</v>
      </c>
      <c r="F107" s="7">
        <v>630</v>
      </c>
      <c r="G107" s="8">
        <f t="shared" si="6"/>
        <v>4.6365248068337439E-9</v>
      </c>
      <c r="H107" s="9">
        <f t="shared" si="7"/>
        <v>1.3909574420504012E-10</v>
      </c>
      <c r="I107" s="10">
        <f>SUM($H$3:H107)</f>
        <v>2.6156566977375822E-2</v>
      </c>
      <c r="J107" s="23">
        <v>-8.0000000000000002E-3</v>
      </c>
      <c r="Q107" s="7">
        <f t="shared" si="5"/>
        <v>1.5610276074858941E-13</v>
      </c>
      <c r="R107" s="7">
        <f t="shared" si="4"/>
        <v>1.4284875276052849E-13</v>
      </c>
    </row>
    <row r="108" spans="1:18" x14ac:dyDescent="0.25">
      <c r="A108" s="22">
        <v>44720</v>
      </c>
      <c r="B108" s="12">
        <v>178.08</v>
      </c>
      <c r="C108" s="13">
        <v>-2.7000000000000001E-3</v>
      </c>
      <c r="D108" s="7">
        <v>854</v>
      </c>
      <c r="E108" s="7">
        <v>-8.0000000000000002E-3</v>
      </c>
      <c r="F108" s="7">
        <v>446</v>
      </c>
      <c r="G108" s="8">
        <f t="shared" si="6"/>
        <v>1.2594864012188262E-6</v>
      </c>
      <c r="H108" s="9">
        <f t="shared" si="7"/>
        <v>3.7784592036572334E-8</v>
      </c>
      <c r="I108" s="10">
        <f>SUM($H$3:H108)</f>
        <v>2.6156604761967857E-2</v>
      </c>
      <c r="J108" s="23">
        <v>-8.0000000000000002E-3</v>
      </c>
      <c r="Q108" s="7">
        <f t="shared" si="5"/>
        <v>1.6093068118411276E-13</v>
      </c>
      <c r="R108" s="7">
        <f t="shared" si="4"/>
        <v>1.4726675542322521E-13</v>
      </c>
    </row>
    <row r="109" spans="1:18" x14ac:dyDescent="0.25">
      <c r="A109" s="22">
        <v>44721</v>
      </c>
      <c r="B109" s="12">
        <v>179.4</v>
      </c>
      <c r="C109" s="13">
        <v>7.4000000000000003E-3</v>
      </c>
      <c r="D109" s="7">
        <v>853</v>
      </c>
      <c r="E109" s="7">
        <v>-8.0000000000000002E-3</v>
      </c>
      <c r="F109" s="7">
        <v>396</v>
      </c>
      <c r="G109" s="8">
        <f t="shared" si="6"/>
        <v>5.7757284906523791E-6</v>
      </c>
      <c r="H109" s="9">
        <f t="shared" si="7"/>
        <v>1.7327185471960602E-7</v>
      </c>
      <c r="I109" s="10">
        <f>SUM($H$3:H109)</f>
        <v>2.6156778033822575E-2</v>
      </c>
      <c r="J109" s="23">
        <v>-8.0000000000000002E-3</v>
      </c>
      <c r="Q109" s="7">
        <f t="shared" si="5"/>
        <v>1.6590791874650802E-13</v>
      </c>
      <c r="R109" s="7">
        <f t="shared" si="4"/>
        <v>1.5182139734353118E-13</v>
      </c>
    </row>
    <row r="110" spans="1:18" x14ac:dyDescent="0.25">
      <c r="A110" s="22">
        <v>44722</v>
      </c>
      <c r="B110" s="12">
        <v>176.46</v>
      </c>
      <c r="C110" s="13">
        <v>-1.6400000000000001E-2</v>
      </c>
      <c r="D110" s="7">
        <v>852</v>
      </c>
      <c r="E110" s="7">
        <v>-8.0000000000000002E-3</v>
      </c>
      <c r="F110" s="7">
        <v>365</v>
      </c>
      <c r="G110" s="8">
        <f t="shared" si="6"/>
        <v>1.4848514492140342E-5</v>
      </c>
      <c r="H110" s="9">
        <f t="shared" si="7"/>
        <v>4.454554347642993E-7</v>
      </c>
      <c r="I110" s="10">
        <f>SUM($H$3:H110)</f>
        <v>2.615722348925734E-2</v>
      </c>
      <c r="J110" s="23">
        <v>-8.0000000000000002E-3</v>
      </c>
      <c r="Q110" s="7">
        <f t="shared" si="5"/>
        <v>1.7103909149124538E-13</v>
      </c>
      <c r="R110" s="7">
        <f t="shared" si="4"/>
        <v>1.565169044778672E-13</v>
      </c>
    </row>
    <row r="111" spans="1:18" x14ac:dyDescent="0.25">
      <c r="A111" s="22">
        <v>44725</v>
      </c>
      <c r="B111" s="12">
        <v>171.87</v>
      </c>
      <c r="C111" s="13">
        <v>-2.5999999999999999E-2</v>
      </c>
      <c r="D111" s="7">
        <v>851</v>
      </c>
      <c r="E111" s="7">
        <v>-7.9000000000000008E-3</v>
      </c>
      <c r="F111" s="7">
        <v>512</v>
      </c>
      <c r="G111" s="8">
        <f t="shared" si="6"/>
        <v>1.6870499616222035E-7</v>
      </c>
      <c r="H111" s="9">
        <f t="shared" si="7"/>
        <v>5.061149884867622E-9</v>
      </c>
      <c r="I111" s="10">
        <f>SUM($H$3:H111)</f>
        <v>2.6157228550407224E-2</v>
      </c>
      <c r="J111" s="23">
        <v>-7.9000000000000008E-3</v>
      </c>
      <c r="Q111" s="7">
        <f t="shared" si="5"/>
        <v>1.7632896030025298E-13</v>
      </c>
      <c r="R111" s="7">
        <f t="shared" si="4"/>
        <v>1.6135763348233732E-13</v>
      </c>
    </row>
    <row r="112" spans="1:18" x14ac:dyDescent="0.25">
      <c r="A112" s="22">
        <v>44726</v>
      </c>
      <c r="B112" s="12">
        <v>171.3</v>
      </c>
      <c r="C112" s="13">
        <v>-3.3E-3</v>
      </c>
      <c r="D112" s="7">
        <v>850</v>
      </c>
      <c r="E112" s="7">
        <v>-7.7999999999999996E-3</v>
      </c>
      <c r="F112" s="7">
        <v>67</v>
      </c>
      <c r="G112" s="8">
        <f t="shared" si="6"/>
        <v>0.12992902989583119</v>
      </c>
      <c r="H112" s="9">
        <f t="shared" si="7"/>
        <v>3.8978708968757146E-3</v>
      </c>
      <c r="I112" s="10">
        <f>SUM($H$3:H112)</f>
        <v>3.0055099447282938E-2</v>
      </c>
      <c r="J112" s="23">
        <v>-7.7999999999999996E-3</v>
      </c>
      <c r="Q112" s="7">
        <f t="shared" si="5"/>
        <v>1.817824332992299E-13</v>
      </c>
      <c r="R112" s="7">
        <f t="shared" si="4"/>
        <v>1.6634807575498696E-13</v>
      </c>
    </row>
    <row r="113" spans="1:18" x14ac:dyDescent="0.25">
      <c r="A113" s="22">
        <v>44727</v>
      </c>
      <c r="B113" s="12">
        <v>171.1</v>
      </c>
      <c r="C113" s="13">
        <v>-1.1999999999999999E-3</v>
      </c>
      <c r="D113" s="7">
        <v>849</v>
      </c>
      <c r="E113" s="7">
        <v>-7.6E-3</v>
      </c>
      <c r="F113" s="7">
        <v>277</v>
      </c>
      <c r="G113" s="8">
        <f t="shared" si="6"/>
        <v>2.1665583587437534E-4</v>
      </c>
      <c r="H113" s="9">
        <f t="shared" si="7"/>
        <v>6.4996750762325593E-6</v>
      </c>
      <c r="I113" s="10">
        <f>SUM($H$3:H113)</f>
        <v>3.0061599122359169E-2</v>
      </c>
      <c r="J113" s="23">
        <v>-7.6E-3</v>
      </c>
      <c r="Q113" s="7">
        <f t="shared" si="5"/>
        <v>1.8740457041157722E-13</v>
      </c>
      <c r="R113" s="7">
        <f t="shared" si="4"/>
        <v>1.7149286160307933E-13</v>
      </c>
    </row>
    <row r="114" spans="1:18" x14ac:dyDescent="0.25">
      <c r="A114" s="22">
        <v>44728</v>
      </c>
      <c r="B114" s="12">
        <v>167.56</v>
      </c>
      <c r="C114" s="13">
        <v>-2.07E-2</v>
      </c>
      <c r="D114" s="7">
        <v>848</v>
      </c>
      <c r="E114" s="7">
        <v>-7.6E-3</v>
      </c>
      <c r="F114" s="7">
        <v>220</v>
      </c>
      <c r="G114" s="8">
        <f t="shared" si="6"/>
        <v>1.2296500692296651E-3</v>
      </c>
      <c r="H114" s="9">
        <f t="shared" si="7"/>
        <v>3.6889502076897322E-5</v>
      </c>
      <c r="I114" s="10">
        <f>SUM($H$3:H114)</f>
        <v>3.0098488624436065E-2</v>
      </c>
      <c r="J114" s="23">
        <v>-7.6E-3</v>
      </c>
      <c r="Q114" s="7">
        <f t="shared" si="5"/>
        <v>1.9320058805317238E-13</v>
      </c>
      <c r="R114" s="7">
        <f t="shared" si="4"/>
        <v>1.7679676453925703E-13</v>
      </c>
    </row>
    <row r="115" spans="1:18" x14ac:dyDescent="0.25">
      <c r="A115" s="22">
        <v>44729</v>
      </c>
      <c r="B115" s="12">
        <v>166.87</v>
      </c>
      <c r="C115" s="13">
        <v>-4.1000000000000003E-3</v>
      </c>
      <c r="D115" s="7">
        <v>847</v>
      </c>
      <c r="E115" s="7">
        <v>-7.6E-3</v>
      </c>
      <c r="F115" s="7">
        <v>55</v>
      </c>
      <c r="G115" s="8">
        <f t="shared" si="6"/>
        <v>0.18726015763786072</v>
      </c>
      <c r="H115" s="9">
        <f t="shared" si="7"/>
        <v>5.6178047291369441E-3</v>
      </c>
      <c r="I115" s="10">
        <f>SUM($H$3:H115)</f>
        <v>3.5716293353573007E-2</v>
      </c>
      <c r="J115" s="23">
        <v>-7.6E-3</v>
      </c>
      <c r="Q115" s="7">
        <f t="shared" si="5"/>
        <v>1.9917586397234264E-13</v>
      </c>
      <c r="R115" s="7">
        <f t="shared" si="4"/>
        <v>1.8226470571057425E-13</v>
      </c>
    </row>
    <row r="116" spans="1:18" x14ac:dyDescent="0.25">
      <c r="A116" s="22">
        <v>44732</v>
      </c>
      <c r="B116" s="12">
        <v>167.31</v>
      </c>
      <c r="C116" s="13">
        <v>2.5999999999999999E-3</v>
      </c>
      <c r="D116" s="7">
        <v>846</v>
      </c>
      <c r="E116" s="7">
        <v>-7.4000000000000003E-3</v>
      </c>
      <c r="F116" s="7">
        <v>749</v>
      </c>
      <c r="G116" s="8">
        <f t="shared" si="6"/>
        <v>1.2360298681256738E-10</v>
      </c>
      <c r="H116" s="9">
        <f t="shared" si="7"/>
        <v>3.7080896043777629E-12</v>
      </c>
      <c r="I116" s="10">
        <f>SUM($H$3:H116)</f>
        <v>3.5716293357281097E-2</v>
      </c>
      <c r="J116" s="23">
        <v>-7.4000000000000003E-3</v>
      </c>
      <c r="Q116" s="7">
        <f t="shared" si="5"/>
        <v>2.0533594223952851E-13</v>
      </c>
      <c r="R116" s="7">
        <f t="shared" si="4"/>
        <v>1.8790175846450953E-13</v>
      </c>
    </row>
    <row r="117" spans="1:18" x14ac:dyDescent="0.25">
      <c r="A117" s="22">
        <v>44733</v>
      </c>
      <c r="B117" s="12">
        <v>170.26</v>
      </c>
      <c r="C117" s="13">
        <v>1.7600000000000001E-2</v>
      </c>
      <c r="D117" s="7">
        <v>845</v>
      </c>
      <c r="E117" s="7">
        <v>-7.3000000000000001E-3</v>
      </c>
      <c r="F117" s="7">
        <v>957</v>
      </c>
      <c r="G117" s="8">
        <f t="shared" si="6"/>
        <v>2.1905324585978432E-13</v>
      </c>
      <c r="H117" s="9">
        <f t="shared" si="7"/>
        <v>6.571597375794843E-15</v>
      </c>
      <c r="I117" s="10">
        <f>SUM($H$3:H117)</f>
        <v>3.5716293357287668E-2</v>
      </c>
      <c r="J117" s="23">
        <v>-7.3000000000000001E-3</v>
      </c>
      <c r="Q117" s="7">
        <f t="shared" si="5"/>
        <v>2.1168653839126654E-13</v>
      </c>
      <c r="R117" s="7">
        <f t="shared" si="4"/>
        <v>1.9371315305619542E-13</v>
      </c>
    </row>
    <row r="118" spans="1:18" x14ac:dyDescent="0.25">
      <c r="A118" s="22">
        <v>44734</v>
      </c>
      <c r="B118" s="12">
        <v>168.08</v>
      </c>
      <c r="C118" s="13">
        <v>-1.2800000000000001E-2</v>
      </c>
      <c r="D118" s="7">
        <v>844</v>
      </c>
      <c r="E118" s="7">
        <v>-7.3000000000000001E-3</v>
      </c>
      <c r="F118" s="7">
        <v>77</v>
      </c>
      <c r="G118" s="8">
        <f t="shared" si="6"/>
        <v>9.5812801429238328E-2</v>
      </c>
      <c r="H118" s="9">
        <f t="shared" si="7"/>
        <v>2.8743840428777242E-3</v>
      </c>
      <c r="I118" s="10">
        <f>SUM($H$3:H118)</f>
        <v>3.8590677400165391E-2</v>
      </c>
      <c r="J118" s="23">
        <v>-7.3000000000000001E-3</v>
      </c>
      <c r="Q118" s="7">
        <f t="shared" si="5"/>
        <v>2.1823354473326448E-13</v>
      </c>
      <c r="R118" s="7">
        <f t="shared" si="4"/>
        <v>1.997042815012324E-13</v>
      </c>
    </row>
    <row r="119" spans="1:18" x14ac:dyDescent="0.25">
      <c r="A119" s="22">
        <v>44735</v>
      </c>
      <c r="B119" s="12">
        <v>169.71</v>
      </c>
      <c r="C119" s="13">
        <v>9.7000000000000003E-3</v>
      </c>
      <c r="D119" s="7">
        <v>843</v>
      </c>
      <c r="E119" s="7">
        <v>-7.1999999999999998E-3</v>
      </c>
      <c r="F119" s="7">
        <v>567</v>
      </c>
      <c r="G119" s="8">
        <f t="shared" si="6"/>
        <v>3.159172417563207E-8</v>
      </c>
      <c r="H119" s="9">
        <f t="shared" si="7"/>
        <v>9.4775172526915164E-10</v>
      </c>
      <c r="I119" s="10">
        <f>SUM($H$3:H119)</f>
        <v>3.8590678347917115E-2</v>
      </c>
      <c r="J119" s="23">
        <v>-7.1999999999999998E-3</v>
      </c>
      <c r="Q119" s="7">
        <f t="shared" si="5"/>
        <v>2.2498303580748911E-13</v>
      </c>
      <c r="R119" s="7">
        <f t="shared" si="4"/>
        <v>2.0588070257859008E-13</v>
      </c>
    </row>
    <row r="120" spans="1:18" x14ac:dyDescent="0.25">
      <c r="A120" s="22">
        <v>44736</v>
      </c>
      <c r="B120" s="12">
        <v>171.16</v>
      </c>
      <c r="C120" s="13">
        <v>8.5000000000000006E-3</v>
      </c>
      <c r="D120" s="7">
        <v>842</v>
      </c>
      <c r="E120" s="7">
        <v>-7.1999999999999998E-3</v>
      </c>
      <c r="F120" s="7">
        <v>366</v>
      </c>
      <c r="G120" s="8">
        <f t="shared" si="6"/>
        <v>1.440305905737613E-5</v>
      </c>
      <c r="H120" s="9">
        <f t="shared" si="7"/>
        <v>4.3209177172137028E-7</v>
      </c>
      <c r="I120" s="10">
        <f>SUM($H$3:H120)</f>
        <v>3.8591110439688839E-2</v>
      </c>
      <c r="J120" s="23">
        <v>-7.1999999999999998E-3</v>
      </c>
      <c r="Q120" s="7">
        <f t="shared" si="5"/>
        <v>2.319412740283393E-13</v>
      </c>
      <c r="R120" s="7">
        <f t="shared" si="4"/>
        <v>2.122481469882372E-13</v>
      </c>
    </row>
    <row r="121" spans="1:18" x14ac:dyDescent="0.25">
      <c r="A121" s="22">
        <v>44739</v>
      </c>
      <c r="B121" s="12">
        <v>172.62</v>
      </c>
      <c r="C121" s="13">
        <v>8.5000000000000006E-3</v>
      </c>
      <c r="D121" s="7">
        <v>841</v>
      </c>
      <c r="E121" s="7">
        <v>-7.1999999999999998E-3</v>
      </c>
      <c r="F121" s="7">
        <v>87</v>
      </c>
      <c r="G121" s="8">
        <f t="shared" si="6"/>
        <v>7.0654671439313199E-2</v>
      </c>
      <c r="H121" s="9">
        <f t="shared" si="7"/>
        <v>2.1196401431798195E-3</v>
      </c>
      <c r="I121" s="10">
        <f>SUM($H$3:H121)</f>
        <v>4.071075058286866E-2</v>
      </c>
      <c r="J121" s="23">
        <v>-7.1999999999999998E-3</v>
      </c>
      <c r="Q121" s="7">
        <f t="shared" si="5"/>
        <v>2.3911471549313333E-13</v>
      </c>
      <c r="R121" s="7">
        <f t="shared" si="4"/>
        <v>2.1881252266828579E-13</v>
      </c>
    </row>
    <row r="122" spans="1:18" x14ac:dyDescent="0.25">
      <c r="A122" s="22">
        <v>44740</v>
      </c>
      <c r="B122" s="12">
        <v>172.65</v>
      </c>
      <c r="C122" s="13">
        <v>2.0000000000000001E-4</v>
      </c>
      <c r="D122" s="7">
        <v>840</v>
      </c>
      <c r="E122" s="7">
        <v>-7.1000000000000004E-3</v>
      </c>
      <c r="F122" s="7">
        <v>908</v>
      </c>
      <c r="G122" s="8">
        <f t="shared" si="6"/>
        <v>9.7439425284953632E-13</v>
      </c>
      <c r="H122" s="9">
        <f t="shared" si="7"/>
        <v>2.9231827585491931E-14</v>
      </c>
      <c r="I122" s="10">
        <f>SUM($H$3:H122)</f>
        <v>4.0710750582897894E-2</v>
      </c>
      <c r="J122" s="23">
        <v>-7.1000000000000004E-3</v>
      </c>
      <c r="Q122" s="7">
        <f t="shared" si="5"/>
        <v>2.465100159723024E-13</v>
      </c>
      <c r="R122" s="7">
        <f t="shared" si="4"/>
        <v>2.2557992027658329E-13</v>
      </c>
    </row>
    <row r="123" spans="1:18" x14ac:dyDescent="0.25">
      <c r="A123" s="22">
        <v>44741</v>
      </c>
      <c r="B123" s="12">
        <v>171.86</v>
      </c>
      <c r="C123" s="13">
        <v>-4.5999999999999999E-3</v>
      </c>
      <c r="D123" s="7">
        <v>839</v>
      </c>
      <c r="E123" s="7">
        <v>-7.1000000000000004E-3</v>
      </c>
      <c r="F123" s="7">
        <v>883</v>
      </c>
      <c r="G123" s="8">
        <f t="shared" si="6"/>
        <v>2.0866103493095226E-12</v>
      </c>
      <c r="H123" s="9">
        <f t="shared" si="7"/>
        <v>6.2598310479298186E-14</v>
      </c>
      <c r="I123" s="10">
        <f>SUM($H$3:H123)</f>
        <v>4.0710750582960489E-2</v>
      </c>
      <c r="J123" s="23">
        <v>-7.1000000000000004E-3</v>
      </c>
      <c r="Q123" s="7">
        <f t="shared" si="5"/>
        <v>2.5413403708484788E-13</v>
      </c>
      <c r="R123" s="7">
        <f t="shared" si="4"/>
        <v>2.3255661884183849E-13</v>
      </c>
    </row>
    <row r="124" spans="1:18" x14ac:dyDescent="0.25">
      <c r="A124" s="22">
        <v>44742</v>
      </c>
      <c r="B124" s="12">
        <v>171.6</v>
      </c>
      <c r="C124" s="13">
        <v>-1.5E-3</v>
      </c>
      <c r="D124" s="7">
        <v>838</v>
      </c>
      <c r="E124" s="7">
        <v>-7.1000000000000004E-3</v>
      </c>
      <c r="F124" s="7">
        <v>670</v>
      </c>
      <c r="G124" s="8">
        <f t="shared" si="6"/>
        <v>1.3710773562116282E-9</v>
      </c>
      <c r="H124" s="9">
        <f t="shared" si="7"/>
        <v>4.1132320686357068E-11</v>
      </c>
      <c r="I124" s="10">
        <f>SUM($H$3:H124)</f>
        <v>4.0710750624092809E-2</v>
      </c>
      <c r="J124" s="23">
        <v>-7.1000000000000004E-3</v>
      </c>
      <c r="Q124" s="7">
        <f t="shared" si="5"/>
        <v>2.619938526647916E-13</v>
      </c>
      <c r="R124" s="7">
        <f t="shared" si="4"/>
        <v>2.3974909158952419E-13</v>
      </c>
    </row>
    <row r="125" spans="1:18" x14ac:dyDescent="0.25">
      <c r="A125" s="22">
        <v>44743</v>
      </c>
      <c r="B125" s="12">
        <v>171.64</v>
      </c>
      <c r="C125" s="13">
        <v>2.0000000000000001E-4</v>
      </c>
      <c r="D125" s="7">
        <v>837</v>
      </c>
      <c r="E125" s="7">
        <v>-7.1000000000000004E-3</v>
      </c>
      <c r="F125" s="7">
        <v>314</v>
      </c>
      <c r="G125" s="8">
        <f t="shared" si="6"/>
        <v>7.0197971020050546E-5</v>
      </c>
      <c r="H125" s="9">
        <f t="shared" si="7"/>
        <v>2.1059391306019375E-6</v>
      </c>
      <c r="I125" s="10">
        <f>SUM($H$3:H125)</f>
        <v>4.0712856563223411E-2</v>
      </c>
      <c r="J125" s="23">
        <v>-7.1000000000000004E-3</v>
      </c>
      <c r="Q125" s="7">
        <f t="shared" si="5"/>
        <v>2.700967553245274E-13</v>
      </c>
      <c r="R125" s="7">
        <f t="shared" si="4"/>
        <v>2.4716401194796304E-13</v>
      </c>
    </row>
    <row r="126" spans="1:18" x14ac:dyDescent="0.25">
      <c r="A126" s="22">
        <v>44746</v>
      </c>
      <c r="B126" s="12">
        <v>172.63</v>
      </c>
      <c r="C126" s="13">
        <v>5.7999999999999996E-3</v>
      </c>
      <c r="D126" s="7">
        <v>836</v>
      </c>
      <c r="E126" s="7">
        <v>-7.0000000000000001E-3</v>
      </c>
      <c r="F126" s="7">
        <v>723</v>
      </c>
      <c r="G126" s="8">
        <f t="shared" si="6"/>
        <v>2.7287507902847368E-10</v>
      </c>
      <c r="H126" s="9">
        <f t="shared" si="7"/>
        <v>8.1862523708558465E-12</v>
      </c>
      <c r="I126" s="10">
        <f>SUM($H$3:H126)</f>
        <v>4.0712856571409661E-2</v>
      </c>
      <c r="J126" s="23">
        <v>-7.0000000000000001E-3</v>
      </c>
      <c r="Q126" s="7">
        <f t="shared" si="5"/>
        <v>2.7845026322116229E-13</v>
      </c>
      <c r="R126" s="7">
        <f t="shared" si="4"/>
        <v>2.5480825974016814E-13</v>
      </c>
    </row>
    <row r="127" spans="1:18" x14ac:dyDescent="0.25">
      <c r="A127" s="22">
        <v>44747</v>
      </c>
      <c r="B127" s="12">
        <v>172.04</v>
      </c>
      <c r="C127" s="13">
        <v>-3.3999999999999998E-3</v>
      </c>
      <c r="D127" s="7">
        <v>835</v>
      </c>
      <c r="E127" s="7">
        <v>-7.0000000000000001E-3</v>
      </c>
      <c r="F127" s="7">
        <v>189</v>
      </c>
      <c r="G127" s="8">
        <f t="shared" si="6"/>
        <v>3.161242240311011E-3</v>
      </c>
      <c r="H127" s="9">
        <f t="shared" si="7"/>
        <v>9.4837267209349279E-5</v>
      </c>
      <c r="I127" s="10">
        <f>SUM($H$3:H127)</f>
        <v>4.0807693838619014E-2</v>
      </c>
      <c r="J127" s="23">
        <v>-7.0000000000000001E-3</v>
      </c>
      <c r="Q127" s="7">
        <f t="shared" si="5"/>
        <v>2.8706212703212609E-13</v>
      </c>
      <c r="R127" s="7">
        <f t="shared" si="4"/>
        <v>2.6268892756718366E-13</v>
      </c>
    </row>
    <row r="128" spans="1:18" x14ac:dyDescent="0.25">
      <c r="A128" s="22">
        <v>44748</v>
      </c>
      <c r="B128" s="12">
        <v>174.12</v>
      </c>
      <c r="C128" s="13">
        <v>1.21E-2</v>
      </c>
      <c r="D128" s="7">
        <v>834</v>
      </c>
      <c r="E128" s="7">
        <v>-6.8999999999999999E-3</v>
      </c>
      <c r="F128" s="7">
        <v>919</v>
      </c>
      <c r="G128" s="8">
        <f t="shared" si="6"/>
        <v>6.9698557622423509E-13</v>
      </c>
      <c r="H128" s="9">
        <f t="shared" si="7"/>
        <v>2.0909567286731232E-14</v>
      </c>
      <c r="I128" s="10">
        <f>SUM($H$3:H128)</f>
        <v>4.080769383863992E-2</v>
      </c>
      <c r="J128" s="23">
        <v>-6.8999999999999999E-3</v>
      </c>
      <c r="Q128" s="7">
        <f t="shared" si="5"/>
        <v>2.9594033714652175E-13</v>
      </c>
      <c r="R128" s="7">
        <f t="shared" si="4"/>
        <v>2.7081332738884913E-13</v>
      </c>
    </row>
    <row r="129" spans="1:18" x14ac:dyDescent="0.25">
      <c r="A129" s="22">
        <v>44749</v>
      </c>
      <c r="B129" s="12">
        <v>175.54</v>
      </c>
      <c r="C129" s="13">
        <v>8.2000000000000007E-3</v>
      </c>
      <c r="D129" s="7">
        <v>833</v>
      </c>
      <c r="E129" s="7">
        <v>-6.8999999999999999E-3</v>
      </c>
      <c r="F129" s="7">
        <v>742</v>
      </c>
      <c r="G129" s="8">
        <f t="shared" si="6"/>
        <v>1.5297724154780726E-10</v>
      </c>
      <c r="H129" s="9">
        <f t="shared" si="7"/>
        <v>4.5893172464351356E-12</v>
      </c>
      <c r="I129" s="10">
        <f>SUM($H$3:H129)</f>
        <v>4.0807693843229235E-2</v>
      </c>
      <c r="J129" s="23">
        <v>-6.8999999999999999E-3</v>
      </c>
      <c r="Q129" s="7">
        <f t="shared" si="5"/>
        <v>3.0509313107888833E-13</v>
      </c>
      <c r="R129" s="7">
        <f t="shared" si="4"/>
        <v>2.7918899730809183E-13</v>
      </c>
    </row>
    <row r="130" spans="1:18" x14ac:dyDescent="0.25">
      <c r="A130" s="22">
        <v>44750</v>
      </c>
      <c r="B130" s="12">
        <v>176.28</v>
      </c>
      <c r="C130" s="13">
        <v>4.1999999999999997E-3</v>
      </c>
      <c r="D130" s="7">
        <v>832</v>
      </c>
      <c r="E130" s="7">
        <v>-6.8999999999999999E-3</v>
      </c>
      <c r="F130" s="7">
        <v>708</v>
      </c>
      <c r="G130" s="8">
        <f t="shared" si="6"/>
        <v>4.3091127771973228E-10</v>
      </c>
      <c r="H130" s="9">
        <f t="shared" si="7"/>
        <v>1.2927338331594552E-11</v>
      </c>
      <c r="I130" s="10">
        <f>SUM($H$3:H130)</f>
        <v>4.0807693856156575E-2</v>
      </c>
      <c r="J130" s="23">
        <v>-6.8999999999999999E-3</v>
      </c>
      <c r="Q130" s="7">
        <f t="shared" si="5"/>
        <v>3.1452900111225596E-13</v>
      </c>
      <c r="R130" s="7">
        <f t="shared" ref="R130:R193" si="8">Q130/$U$2</f>
        <v>2.8782370856504306E-13</v>
      </c>
    </row>
    <row r="131" spans="1:18" x14ac:dyDescent="0.25">
      <c r="A131" s="22">
        <v>44753</v>
      </c>
      <c r="B131" s="12">
        <v>176.23</v>
      </c>
      <c r="C131" s="13">
        <v>-2.9999999999999997E-4</v>
      </c>
      <c r="D131" s="7">
        <v>831</v>
      </c>
      <c r="E131" s="7">
        <v>-6.8999999999999999E-3</v>
      </c>
      <c r="F131" s="7">
        <v>319</v>
      </c>
      <c r="G131" s="8">
        <f t="shared" si="6"/>
        <v>6.0281386250019932E-5</v>
      </c>
      <c r="H131" s="9">
        <f t="shared" si="7"/>
        <v>1.8084415875009593E-6</v>
      </c>
      <c r="I131" s="10">
        <f>SUM($H$3:H131)</f>
        <v>4.0809502297744077E-2</v>
      </c>
      <c r="J131" s="23">
        <v>-6.8999999999999999E-3</v>
      </c>
      <c r="Q131" s="7">
        <f t="shared" ref="Q131:Q194" si="9">(1-$N$3) * $N$3^(D132-1)</f>
        <v>3.242567021775836E-13</v>
      </c>
      <c r="R131" s="7">
        <f t="shared" si="8"/>
        <v>2.9672547274746719E-13</v>
      </c>
    </row>
    <row r="132" spans="1:18" x14ac:dyDescent="0.25">
      <c r="A132" s="22">
        <v>44754</v>
      </c>
      <c r="B132" s="12">
        <v>175.1</v>
      </c>
      <c r="C132" s="13">
        <v>-6.4000000000000003E-3</v>
      </c>
      <c r="D132" s="7">
        <v>830</v>
      </c>
      <c r="E132" s="7">
        <v>-6.8999999999999999E-3</v>
      </c>
      <c r="F132" s="7">
        <v>159</v>
      </c>
      <c r="G132" s="8">
        <f t="shared" ref="G132:G195" si="10">$N$3^F132</f>
        <v>7.8832581475325979E-3</v>
      </c>
      <c r="H132" s="9">
        <f t="shared" si="7"/>
        <v>2.364977444260252E-4</v>
      </c>
      <c r="I132" s="10">
        <f>SUM($H$3:H132)</f>
        <v>4.10460000421701E-2</v>
      </c>
      <c r="J132" s="23">
        <v>-6.8999999999999999E-3</v>
      </c>
      <c r="Q132" s="7">
        <f t="shared" si="9"/>
        <v>3.3428525997689024E-13</v>
      </c>
      <c r="R132" s="7">
        <f t="shared" si="8"/>
        <v>3.0590254922419293E-13</v>
      </c>
    </row>
    <row r="133" spans="1:18" x14ac:dyDescent="0.25">
      <c r="A133" s="22">
        <v>44755</v>
      </c>
      <c r="B133" s="12">
        <v>174.06</v>
      </c>
      <c r="C133" s="13">
        <v>-5.8999999999999999E-3</v>
      </c>
      <c r="D133" s="7">
        <v>829</v>
      </c>
      <c r="E133" s="7">
        <v>-6.7999999999999996E-3</v>
      </c>
      <c r="F133" s="7">
        <v>666</v>
      </c>
      <c r="G133" s="8">
        <f t="shared" si="10"/>
        <v>1.5487275404525521E-9</v>
      </c>
      <c r="H133" s="9">
        <f t="shared" ref="H133:H196" si="11">G133/$N$4</f>
        <v>4.6461826213585848E-11</v>
      </c>
      <c r="I133" s="10">
        <f>SUM($H$3:H133)</f>
        <v>4.1046000088631927E-2</v>
      </c>
      <c r="J133" s="23">
        <v>-6.7999999999999996E-3</v>
      </c>
      <c r="Q133" s="7">
        <f t="shared" si="9"/>
        <v>3.4462397935761879E-13</v>
      </c>
      <c r="R133" s="7">
        <f t="shared" si="8"/>
        <v>3.1536345280844631E-13</v>
      </c>
    </row>
    <row r="134" spans="1:18" x14ac:dyDescent="0.25">
      <c r="A134" s="22">
        <v>44756</v>
      </c>
      <c r="B134" s="12">
        <v>173.93</v>
      </c>
      <c r="C134" s="13">
        <v>-6.9999999999999999E-4</v>
      </c>
      <c r="D134" s="7">
        <v>828</v>
      </c>
      <c r="E134" s="7">
        <v>-6.7999999999999996E-3</v>
      </c>
      <c r="F134" s="7">
        <v>246</v>
      </c>
      <c r="G134" s="8">
        <f t="shared" si="10"/>
        <v>5.5698901428520467E-4</v>
      </c>
      <c r="H134" s="9">
        <f t="shared" si="11"/>
        <v>1.6709670428559479E-5</v>
      </c>
      <c r="I134" s="10">
        <f>SUM($H$3:H134)</f>
        <v>4.1062709759060484E-2</v>
      </c>
      <c r="J134" s="23">
        <v>-6.7999999999999996E-3</v>
      </c>
      <c r="Q134" s="7">
        <f t="shared" si="9"/>
        <v>3.5528245294599878E-13</v>
      </c>
      <c r="R134" s="7">
        <f t="shared" si="8"/>
        <v>3.2511696165819211E-13</v>
      </c>
    </row>
    <row r="135" spans="1:18" x14ac:dyDescent="0.25">
      <c r="A135" s="22">
        <v>44757</v>
      </c>
      <c r="B135" s="12">
        <v>175.02</v>
      </c>
      <c r="C135" s="13">
        <v>6.3E-3</v>
      </c>
      <c r="D135" s="7">
        <v>827</v>
      </c>
      <c r="E135" s="7">
        <v>-6.7999999999999996E-3</v>
      </c>
      <c r="F135" s="7">
        <v>72</v>
      </c>
      <c r="G135" s="8">
        <f t="shared" si="10"/>
        <v>0.11157447889774276</v>
      </c>
      <c r="H135" s="9">
        <f t="shared" si="11"/>
        <v>3.3472343669329516E-3</v>
      </c>
      <c r="I135" s="10">
        <f>SUM($H$3:H135)</f>
        <v>4.4409944125993438E-2</v>
      </c>
      <c r="J135" s="23">
        <v>-6.7999999999999996E-3</v>
      </c>
      <c r="Q135" s="7">
        <f t="shared" si="9"/>
        <v>3.6627057004742137E-13</v>
      </c>
      <c r="R135" s="7">
        <f t="shared" si="8"/>
        <v>3.3517212542081656E-13</v>
      </c>
    </row>
    <row r="136" spans="1:18" x14ac:dyDescent="0.25">
      <c r="A136" s="22">
        <v>44760</v>
      </c>
      <c r="B136" s="12">
        <v>177.39</v>
      </c>
      <c r="C136" s="13">
        <v>1.35E-2</v>
      </c>
      <c r="D136" s="7">
        <v>826</v>
      </c>
      <c r="E136" s="7">
        <v>-6.7000000000000002E-3</v>
      </c>
      <c r="F136" s="7">
        <v>212</v>
      </c>
      <c r="G136" s="8">
        <f t="shared" si="10"/>
        <v>1.5689448011551757E-3</v>
      </c>
      <c r="H136" s="9">
        <f t="shared" si="11"/>
        <v>4.7068344034664679E-5</v>
      </c>
      <c r="I136" s="10">
        <f>SUM($H$3:H136)</f>
        <v>4.4457012470028104E-2</v>
      </c>
      <c r="J136" s="23">
        <v>-6.7000000000000002E-3</v>
      </c>
      <c r="Q136" s="7">
        <f t="shared" si="9"/>
        <v>3.7759852582208397E-13</v>
      </c>
      <c r="R136" s="7">
        <f t="shared" si="8"/>
        <v>3.4553827362970784E-13</v>
      </c>
    </row>
    <row r="137" spans="1:18" x14ac:dyDescent="0.25">
      <c r="A137" s="22">
        <v>44761</v>
      </c>
      <c r="B137" s="12">
        <v>177.88</v>
      </c>
      <c r="C137" s="13">
        <v>2.8E-3</v>
      </c>
      <c r="D137" s="7">
        <v>825</v>
      </c>
      <c r="E137" s="7">
        <v>-6.7000000000000002E-3</v>
      </c>
      <c r="F137" s="7">
        <v>150</v>
      </c>
      <c r="G137" s="8">
        <f t="shared" si="10"/>
        <v>1.0369555489464164E-2</v>
      </c>
      <c r="H137" s="9">
        <f t="shared" si="11"/>
        <v>3.1108666468398713E-4</v>
      </c>
      <c r="I137" s="10">
        <f>SUM($H$3:H137)</f>
        <v>4.4768099134712094E-2</v>
      </c>
      <c r="J137" s="23">
        <v>-6.7000000000000002E-3</v>
      </c>
      <c r="Q137" s="7">
        <f t="shared" si="9"/>
        <v>3.8927683074441647E-13</v>
      </c>
      <c r="R137" s="7">
        <f t="shared" si="8"/>
        <v>3.5622502436052354E-13</v>
      </c>
    </row>
    <row r="138" spans="1:18" x14ac:dyDescent="0.25">
      <c r="A138" s="22">
        <v>44762</v>
      </c>
      <c r="B138" s="12">
        <v>179.53</v>
      </c>
      <c r="C138" s="13">
        <v>9.2999999999999992E-3</v>
      </c>
      <c r="D138" s="7">
        <v>824</v>
      </c>
      <c r="E138" s="7">
        <v>-6.6E-3</v>
      </c>
      <c r="F138" s="7">
        <v>655</v>
      </c>
      <c r="G138" s="8">
        <f t="shared" si="10"/>
        <v>2.1651398050757715E-9</v>
      </c>
      <c r="H138" s="9">
        <f t="shared" si="11"/>
        <v>6.4954194152286132E-11</v>
      </c>
      <c r="I138" s="10">
        <f>SUM($H$3:H138)</f>
        <v>4.4768099199666289E-2</v>
      </c>
      <c r="J138" s="23">
        <v>-6.6E-3</v>
      </c>
      <c r="Q138" s="7">
        <f t="shared" si="9"/>
        <v>4.0131632035506855E-13</v>
      </c>
      <c r="R138" s="7">
        <f t="shared" si="8"/>
        <v>3.6724229315517895E-13</v>
      </c>
    </row>
    <row r="139" spans="1:18" x14ac:dyDescent="0.25">
      <c r="A139" s="22">
        <v>44763</v>
      </c>
      <c r="B139" s="12">
        <v>180.54</v>
      </c>
      <c r="C139" s="13">
        <v>5.5999999999999999E-3</v>
      </c>
      <c r="D139" s="7">
        <v>823</v>
      </c>
      <c r="E139" s="7">
        <v>-6.6E-3</v>
      </c>
      <c r="F139" s="7">
        <v>115</v>
      </c>
      <c r="G139" s="8">
        <f t="shared" si="10"/>
        <v>3.011268219019976E-2</v>
      </c>
      <c r="H139" s="9">
        <f t="shared" si="11"/>
        <v>9.0338046570617335E-4</v>
      </c>
      <c r="I139" s="10">
        <f>SUM($H$3:H139)</f>
        <v>4.5671479665372459E-2</v>
      </c>
      <c r="J139" s="23">
        <v>-6.6E-3</v>
      </c>
      <c r="Q139" s="7">
        <f t="shared" si="9"/>
        <v>4.1372816531450359E-13</v>
      </c>
      <c r="R139" s="7">
        <f t="shared" si="8"/>
        <v>3.7860030222183393E-13</v>
      </c>
    </row>
    <row r="140" spans="1:18" x14ac:dyDescent="0.25">
      <c r="A140" s="22">
        <v>44764</v>
      </c>
      <c r="B140" s="12">
        <v>181.89</v>
      </c>
      <c r="C140" s="13">
        <v>7.4999999999999997E-3</v>
      </c>
      <c r="D140" s="7">
        <v>822</v>
      </c>
      <c r="E140" s="7">
        <v>-6.6E-3</v>
      </c>
      <c r="F140" s="7">
        <v>107</v>
      </c>
      <c r="G140" s="8">
        <f t="shared" si="10"/>
        <v>3.8421610630046531E-2</v>
      </c>
      <c r="H140" s="9">
        <f t="shared" si="11"/>
        <v>1.1526483189016263E-3</v>
      </c>
      <c r="I140" s="10">
        <f>SUM($H$3:H140)</f>
        <v>4.6824127984274086E-2</v>
      </c>
      <c r="J140" s="23">
        <v>-6.6E-3</v>
      </c>
      <c r="Q140" s="7">
        <f t="shared" si="9"/>
        <v>4.2652388176752951E-13</v>
      </c>
      <c r="R140" s="7">
        <f t="shared" si="8"/>
        <v>3.9030958991941645E-13</v>
      </c>
    </row>
    <row r="141" spans="1:18" x14ac:dyDescent="0.25">
      <c r="A141" s="22">
        <v>44767</v>
      </c>
      <c r="B141" s="12">
        <v>181.46</v>
      </c>
      <c r="C141" s="13">
        <v>-2.3999999999999998E-3</v>
      </c>
      <c r="D141" s="7">
        <v>821</v>
      </c>
      <c r="E141" s="7">
        <v>-6.4999999999999997E-3</v>
      </c>
      <c r="F141" s="7">
        <v>892</v>
      </c>
      <c r="G141" s="8">
        <f t="shared" si="10"/>
        <v>1.5863059948551503E-12</v>
      </c>
      <c r="H141" s="9">
        <f t="shared" si="11"/>
        <v>4.758917984566402E-14</v>
      </c>
      <c r="I141" s="10">
        <f>SUM($H$3:H141)</f>
        <v>4.6824127984321673E-2</v>
      </c>
      <c r="J141" s="23">
        <v>-6.4999999999999997E-3</v>
      </c>
      <c r="Q141" s="7">
        <f t="shared" si="9"/>
        <v>4.3971534202838098E-13</v>
      </c>
      <c r="R141" s="7">
        <f t="shared" si="8"/>
        <v>4.0238102053548089E-13</v>
      </c>
    </row>
    <row r="142" spans="1:18" x14ac:dyDescent="0.25">
      <c r="A142" s="22">
        <v>44768</v>
      </c>
      <c r="B142" s="12">
        <v>179.91</v>
      </c>
      <c r="C142" s="13">
        <v>-8.5000000000000006E-3</v>
      </c>
      <c r="D142" s="7">
        <v>820</v>
      </c>
      <c r="E142" s="7">
        <v>-6.4999999999999997E-3</v>
      </c>
      <c r="F142" s="7">
        <v>659</v>
      </c>
      <c r="G142" s="8">
        <f t="shared" si="10"/>
        <v>1.9167827020783816E-9</v>
      </c>
      <c r="H142" s="9">
        <f t="shared" si="11"/>
        <v>5.7503481062362938E-11</v>
      </c>
      <c r="I142" s="10">
        <f>SUM($H$3:H142)</f>
        <v>4.6824128041825154E-2</v>
      </c>
      <c r="J142" s="23">
        <v>-6.4999999999999997E-3</v>
      </c>
      <c r="Q142" s="7">
        <f t="shared" si="9"/>
        <v>4.5331478559626906E-13</v>
      </c>
      <c r="R142" s="7">
        <f t="shared" si="8"/>
        <v>4.1482579436647519E-13</v>
      </c>
    </row>
    <row r="143" spans="1:18" x14ac:dyDescent="0.25">
      <c r="A143" s="22">
        <v>44769</v>
      </c>
      <c r="B143" s="12">
        <v>181.6</v>
      </c>
      <c r="C143" s="13">
        <v>9.4000000000000004E-3</v>
      </c>
      <c r="D143" s="7">
        <v>819</v>
      </c>
      <c r="E143" s="7">
        <v>-6.4999999999999997E-3</v>
      </c>
      <c r="F143" s="7">
        <v>413</v>
      </c>
      <c r="G143" s="8">
        <f t="shared" si="10"/>
        <v>3.4413294569879937E-6</v>
      </c>
      <c r="H143" s="9">
        <f t="shared" si="11"/>
        <v>1.0323988370966044E-7</v>
      </c>
      <c r="I143" s="10">
        <f>SUM($H$3:H143)</f>
        <v>4.6824231281708865E-2</v>
      </c>
      <c r="J143" s="23">
        <v>-6.4999999999999997E-3</v>
      </c>
      <c r="Q143" s="7">
        <f t="shared" si="9"/>
        <v>4.6733483051161756E-13</v>
      </c>
      <c r="R143" s="7">
        <f t="shared" si="8"/>
        <v>4.276554581097682E-13</v>
      </c>
    </row>
    <row r="144" spans="1:18" x14ac:dyDescent="0.25">
      <c r="A144" s="22">
        <v>44770</v>
      </c>
      <c r="B144" s="12">
        <v>184.18</v>
      </c>
      <c r="C144" s="13">
        <v>1.4200000000000001E-2</v>
      </c>
      <c r="D144" s="7">
        <v>818</v>
      </c>
      <c r="E144" s="7">
        <v>-6.4999999999999997E-3</v>
      </c>
      <c r="F144" s="7">
        <v>317</v>
      </c>
      <c r="G144" s="8">
        <f t="shared" si="10"/>
        <v>6.4067792804782593E-5</v>
      </c>
      <c r="H144" s="9">
        <f t="shared" si="11"/>
        <v>1.9220337841438619E-6</v>
      </c>
      <c r="I144" s="10">
        <f>SUM($H$3:H144)</f>
        <v>4.6826153315493009E-2</v>
      </c>
      <c r="J144" s="23">
        <v>-6.4999999999999997E-3</v>
      </c>
      <c r="Q144" s="7">
        <f t="shared" si="9"/>
        <v>4.8178848506352329E-13</v>
      </c>
      <c r="R144" s="7">
        <f t="shared" si="8"/>
        <v>4.4088191557708066E-13</v>
      </c>
    </row>
    <row r="145" spans="1:18" x14ac:dyDescent="0.25">
      <c r="A145" s="22">
        <v>44771</v>
      </c>
      <c r="B145" s="12">
        <v>186.54</v>
      </c>
      <c r="C145" s="13">
        <v>1.2800000000000001E-2</v>
      </c>
      <c r="D145" s="7">
        <v>817</v>
      </c>
      <c r="E145" s="7">
        <v>-6.4999999999999997E-3</v>
      </c>
      <c r="F145" s="7">
        <v>269</v>
      </c>
      <c r="G145" s="8">
        <f t="shared" si="10"/>
        <v>2.7643722050776551E-4</v>
      </c>
      <c r="H145" s="9">
        <f t="shared" si="11"/>
        <v>8.2931166152346231E-6</v>
      </c>
      <c r="I145" s="10">
        <f>SUM($H$3:H145)</f>
        <v>4.6834446432108247E-2</v>
      </c>
      <c r="J145" s="23">
        <v>-6.4999999999999997E-3</v>
      </c>
      <c r="Q145" s="7">
        <f t="shared" si="9"/>
        <v>4.9668915985930233E-13</v>
      </c>
      <c r="R145" s="7">
        <f t="shared" si="8"/>
        <v>4.5451743873925838E-13</v>
      </c>
    </row>
    <row r="146" spans="1:18" x14ac:dyDescent="0.25">
      <c r="A146" s="22">
        <v>44774</v>
      </c>
      <c r="B146" s="12">
        <v>188.63</v>
      </c>
      <c r="C146" s="13">
        <v>1.12E-2</v>
      </c>
      <c r="D146" s="7">
        <v>816</v>
      </c>
      <c r="E146" s="7">
        <v>-6.4999999999999997E-3</v>
      </c>
      <c r="F146" s="7">
        <v>135</v>
      </c>
      <c r="G146" s="8">
        <f t="shared" si="10"/>
        <v>1.6375106225381641E-2</v>
      </c>
      <c r="H146" s="9">
        <f t="shared" si="11"/>
        <v>4.912531867615474E-4</v>
      </c>
      <c r="I146" s="10">
        <f>SUM($H$3:H146)</f>
        <v>4.7325699618869795E-2</v>
      </c>
      <c r="J146" s="23">
        <v>-6.4999999999999997E-3</v>
      </c>
      <c r="Q146" s="7">
        <f t="shared" si="9"/>
        <v>5.1205068026732207E-13</v>
      </c>
      <c r="R146" s="7">
        <f t="shared" si="8"/>
        <v>4.6857467911263756E-13</v>
      </c>
    </row>
    <row r="147" spans="1:18" x14ac:dyDescent="0.25">
      <c r="A147" s="22">
        <v>44775</v>
      </c>
      <c r="B147" s="12">
        <v>188.62</v>
      </c>
      <c r="C147" s="13">
        <v>-1E-4</v>
      </c>
      <c r="D147" s="7">
        <v>815</v>
      </c>
      <c r="E147" s="7">
        <v>-6.4999999999999997E-3</v>
      </c>
      <c r="F147" s="7">
        <v>12</v>
      </c>
      <c r="G147" s="8">
        <f t="shared" si="10"/>
        <v>0.69384236099543783</v>
      </c>
      <c r="H147" s="9">
        <f t="shared" si="11"/>
        <v>2.0815270829867297E-2</v>
      </c>
      <c r="I147" s="10">
        <f>SUM($H$3:H147)</f>
        <v>6.8140970448737098E-2</v>
      </c>
      <c r="J147" s="23">
        <v>-6.4999999999999997E-3</v>
      </c>
      <c r="Q147" s="7">
        <f t="shared" si="9"/>
        <v>5.2788729924466196E-13</v>
      </c>
      <c r="R147" s="7">
        <f t="shared" si="8"/>
        <v>4.8306667949756454E-13</v>
      </c>
    </row>
    <row r="148" spans="1:18" x14ac:dyDescent="0.25">
      <c r="A148" s="22">
        <v>44776</v>
      </c>
      <c r="B148" s="12">
        <v>189.11</v>
      </c>
      <c r="C148" s="13">
        <v>2.5999999999999999E-3</v>
      </c>
      <c r="D148" s="7">
        <v>814</v>
      </c>
      <c r="E148" s="7">
        <v>-6.4000000000000003E-3</v>
      </c>
      <c r="F148" s="7">
        <v>830</v>
      </c>
      <c r="G148" s="8">
        <f t="shared" si="10"/>
        <v>1.048430003707519E-11</v>
      </c>
      <c r="H148" s="9">
        <f t="shared" si="11"/>
        <v>3.1452900111231857E-13</v>
      </c>
      <c r="I148" s="10">
        <f>SUM($H$3:H148)</f>
        <v>6.8140970449051624E-2</v>
      </c>
      <c r="J148" s="23">
        <v>-6.4000000000000003E-3</v>
      </c>
      <c r="Q148" s="7">
        <f t="shared" si="9"/>
        <v>5.4421371056150706E-13</v>
      </c>
      <c r="R148" s="7">
        <f t="shared" si="8"/>
        <v>4.9800688607996337E-13</v>
      </c>
    </row>
    <row r="149" spans="1:18" x14ac:dyDescent="0.25">
      <c r="A149" s="22">
        <v>44777</v>
      </c>
      <c r="B149" s="12">
        <v>189.17</v>
      </c>
      <c r="C149" s="13">
        <v>2.9999999999999997E-4</v>
      </c>
      <c r="D149" s="7">
        <v>813</v>
      </c>
      <c r="E149" s="7">
        <v>-6.4000000000000003E-3</v>
      </c>
      <c r="F149" s="7">
        <v>663</v>
      </c>
      <c r="G149" s="8">
        <f t="shared" si="10"/>
        <v>1.6969139444823634E-9</v>
      </c>
      <c r="H149" s="9">
        <f t="shared" si="11"/>
        <v>5.0907418334481077E-11</v>
      </c>
      <c r="I149" s="10">
        <f>SUM($H$3:H149)</f>
        <v>6.8140970499959042E-2</v>
      </c>
      <c r="J149" s="23">
        <v>-6.4000000000000003E-3</v>
      </c>
      <c r="Q149" s="7">
        <f t="shared" si="9"/>
        <v>5.6104506243454337E-13</v>
      </c>
      <c r="R149" s="7">
        <f t="shared" si="8"/>
        <v>5.1340916090717866E-13</v>
      </c>
    </row>
    <row r="150" spans="1:18" x14ac:dyDescent="0.25">
      <c r="A150" s="22">
        <v>44778</v>
      </c>
      <c r="B150" s="12">
        <v>189.25</v>
      </c>
      <c r="C150" s="13">
        <v>4.0000000000000002E-4</v>
      </c>
      <c r="D150" s="7">
        <v>812</v>
      </c>
      <c r="E150" s="7">
        <v>-6.4000000000000003E-3</v>
      </c>
      <c r="F150" s="7">
        <v>393</v>
      </c>
      <c r="G150" s="8">
        <f t="shared" si="10"/>
        <v>6.3283656804270302E-6</v>
      </c>
      <c r="H150" s="9">
        <f t="shared" si="11"/>
        <v>1.8985097041284886E-7</v>
      </c>
      <c r="I150" s="10">
        <f>SUM($H$3:H150)</f>
        <v>6.8141160350929458E-2</v>
      </c>
      <c r="J150" s="23">
        <v>-6.4000000000000003E-3</v>
      </c>
      <c r="Q150" s="7">
        <f t="shared" si="9"/>
        <v>5.7839697158200349E-13</v>
      </c>
      <c r="R150" s="7">
        <f t="shared" si="8"/>
        <v>5.2928779474966877E-13</v>
      </c>
    </row>
    <row r="151" spans="1:18" x14ac:dyDescent="0.25">
      <c r="A151" s="22">
        <v>44781</v>
      </c>
      <c r="B151" s="12">
        <v>190.79</v>
      </c>
      <c r="C151" s="13">
        <v>8.0999999999999996E-3</v>
      </c>
      <c r="D151" s="7">
        <v>811</v>
      </c>
      <c r="E151" s="7">
        <v>-6.4000000000000003E-3</v>
      </c>
      <c r="F151" s="7">
        <v>133</v>
      </c>
      <c r="G151" s="8">
        <f t="shared" si="10"/>
        <v>1.7403662690383292E-2</v>
      </c>
      <c r="H151" s="9">
        <f t="shared" si="11"/>
        <v>5.2210988071160313E-4</v>
      </c>
      <c r="I151" s="10">
        <f>SUM($H$3:H151)</f>
        <v>6.8663270231641066E-2</v>
      </c>
      <c r="J151" s="23">
        <v>-6.4000000000000003E-3</v>
      </c>
      <c r="Q151" s="7">
        <f t="shared" si="9"/>
        <v>5.9628553771340576E-13</v>
      </c>
      <c r="R151" s="7">
        <f t="shared" si="8"/>
        <v>5.4565752036048339E-13</v>
      </c>
    </row>
    <row r="152" spans="1:18" x14ac:dyDescent="0.25">
      <c r="A152" s="22">
        <v>44783</v>
      </c>
      <c r="B152" s="12">
        <v>191.04</v>
      </c>
      <c r="C152" s="13">
        <v>1.2999999999999999E-3</v>
      </c>
      <c r="D152" s="7">
        <v>810</v>
      </c>
      <c r="E152" s="7">
        <v>-6.3E-3</v>
      </c>
      <c r="F152" s="7">
        <v>514</v>
      </c>
      <c r="G152" s="8">
        <f t="shared" si="10"/>
        <v>1.5873453088903312E-7</v>
      </c>
      <c r="H152" s="9">
        <f t="shared" si="11"/>
        <v>4.7620359266719456E-9</v>
      </c>
      <c r="I152" s="10">
        <f>SUM($H$3:H152)</f>
        <v>6.8663274993676998E-2</v>
      </c>
      <c r="J152" s="23">
        <v>-6.3E-3</v>
      </c>
      <c r="Q152" s="7">
        <f t="shared" si="9"/>
        <v>6.1472735846742852E-13</v>
      </c>
      <c r="R152" s="7">
        <f t="shared" si="8"/>
        <v>5.6253352614482811E-13</v>
      </c>
    </row>
    <row r="153" spans="1:18" x14ac:dyDescent="0.25">
      <c r="A153" s="22">
        <v>44784</v>
      </c>
      <c r="B153" s="12">
        <v>192.34</v>
      </c>
      <c r="C153" s="13">
        <v>6.7999999999999996E-3</v>
      </c>
      <c r="D153" s="7">
        <v>809</v>
      </c>
      <c r="E153" s="7">
        <v>-6.1999999999999998E-3</v>
      </c>
      <c r="F153" s="7">
        <v>730</v>
      </c>
      <c r="G153" s="8">
        <f t="shared" si="10"/>
        <v>2.2047838262330182E-10</v>
      </c>
      <c r="H153" s="9">
        <f t="shared" si="11"/>
        <v>6.6143514787003763E-12</v>
      </c>
      <c r="I153" s="10">
        <f>SUM($H$3:H153)</f>
        <v>6.8663275000291346E-2</v>
      </c>
      <c r="J153" s="23">
        <v>-6.1999999999999998E-3</v>
      </c>
      <c r="Q153" s="7">
        <f t="shared" si="9"/>
        <v>6.3373954481178216E-13</v>
      </c>
      <c r="R153" s="7">
        <f t="shared" si="8"/>
        <v>5.7993147025240028E-13</v>
      </c>
    </row>
    <row r="154" spans="1:18" x14ac:dyDescent="0.25">
      <c r="A154" s="22">
        <v>44785</v>
      </c>
      <c r="B154" s="12">
        <v>192.86</v>
      </c>
      <c r="C154" s="13">
        <v>2.7000000000000001E-3</v>
      </c>
      <c r="D154" s="7">
        <v>808</v>
      </c>
      <c r="E154" s="7">
        <v>-6.1999999999999998E-3</v>
      </c>
      <c r="F154" s="7">
        <v>516</v>
      </c>
      <c r="G154" s="8">
        <f t="shared" si="10"/>
        <v>1.4935332011349127E-7</v>
      </c>
      <c r="H154" s="9">
        <f t="shared" si="11"/>
        <v>4.4805996034056336E-9</v>
      </c>
      <c r="I154" s="10">
        <f>SUM($H$3:H154)</f>
        <v>6.8663279480890946E-2</v>
      </c>
      <c r="J154" s="23">
        <v>-6.1999999999999998E-3</v>
      </c>
      <c r="Q154" s="7">
        <f t="shared" si="9"/>
        <v>6.53339736919363E-13</v>
      </c>
      <c r="R154" s="7">
        <f t="shared" si="8"/>
        <v>5.9786749510556729E-13</v>
      </c>
    </row>
    <row r="155" spans="1:18" x14ac:dyDescent="0.25">
      <c r="A155" s="22">
        <v>44789</v>
      </c>
      <c r="B155" s="12">
        <v>194.09</v>
      </c>
      <c r="C155" s="13">
        <v>6.4000000000000003E-3</v>
      </c>
      <c r="D155" s="7">
        <v>807</v>
      </c>
      <c r="E155" s="7">
        <v>-6.1000000000000004E-3</v>
      </c>
      <c r="F155" s="7">
        <v>595</v>
      </c>
      <c r="G155" s="8">
        <f t="shared" si="10"/>
        <v>1.3464241366664069E-8</v>
      </c>
      <c r="H155" s="9">
        <f t="shared" si="11"/>
        <v>4.0392724100000282E-10</v>
      </c>
      <c r="I155" s="10">
        <f>SUM($H$3:H155)</f>
        <v>6.8663279884818185E-2</v>
      </c>
      <c r="J155" s="23">
        <v>-6.1000000000000004E-3</v>
      </c>
      <c r="Q155" s="7">
        <f t="shared" si="9"/>
        <v>6.735461205354257E-13</v>
      </c>
      <c r="R155" s="7">
        <f t="shared" si="8"/>
        <v>6.1635824237687342E-13</v>
      </c>
    </row>
    <row r="156" spans="1:18" x14ac:dyDescent="0.25">
      <c r="A156" s="22">
        <v>44790</v>
      </c>
      <c r="B156" s="12">
        <v>195.55</v>
      </c>
      <c r="C156" s="13">
        <v>7.4999999999999997E-3</v>
      </c>
      <c r="D156" s="7">
        <v>806</v>
      </c>
      <c r="E156" s="7">
        <v>-6.1000000000000004E-3</v>
      </c>
      <c r="F156" s="7">
        <v>464</v>
      </c>
      <c r="G156" s="8">
        <f t="shared" si="10"/>
        <v>7.2792175574021159E-7</v>
      </c>
      <c r="H156" s="9">
        <f t="shared" si="11"/>
        <v>2.1837652672210712E-8</v>
      </c>
      <c r="I156" s="10">
        <f>SUM($H$3:H156)</f>
        <v>6.8663301722470857E-2</v>
      </c>
      <c r="J156" s="23">
        <v>-6.1000000000000004E-3</v>
      </c>
      <c r="Q156" s="7">
        <f t="shared" si="9"/>
        <v>6.9437744385095436E-13</v>
      </c>
      <c r="R156" s="7">
        <f t="shared" si="8"/>
        <v>6.3542086842976643E-13</v>
      </c>
    </row>
    <row r="157" spans="1:18" x14ac:dyDescent="0.25">
      <c r="A157" s="22">
        <v>44791</v>
      </c>
      <c r="B157" s="12">
        <v>195.71</v>
      </c>
      <c r="C157" s="13">
        <v>8.0000000000000004E-4</v>
      </c>
      <c r="D157" s="7">
        <v>805</v>
      </c>
      <c r="E157" s="7">
        <v>-6.1000000000000004E-3</v>
      </c>
      <c r="F157" s="7">
        <v>437</v>
      </c>
      <c r="G157" s="8">
        <f t="shared" si="10"/>
        <v>1.6567152668661404E-6</v>
      </c>
      <c r="H157" s="9">
        <f t="shared" si="11"/>
        <v>4.9701458005994144E-8</v>
      </c>
      <c r="I157" s="10">
        <f>SUM($H$3:H157)</f>
        <v>6.8663351423928862E-2</v>
      </c>
      <c r="J157" s="23">
        <v>-6.1000000000000004E-3</v>
      </c>
      <c r="Q157" s="7">
        <f t="shared" si="9"/>
        <v>7.158530348978912E-13</v>
      </c>
      <c r="R157" s="7">
        <f t="shared" si="8"/>
        <v>6.5507306023687272E-13</v>
      </c>
    </row>
    <row r="158" spans="1:18" x14ac:dyDescent="0.25">
      <c r="A158" s="22">
        <v>44792</v>
      </c>
      <c r="B158" s="12">
        <v>193.61</v>
      </c>
      <c r="C158" s="13">
        <v>-1.0699999999999999E-2</v>
      </c>
      <c r="D158" s="7">
        <v>804</v>
      </c>
      <c r="E158" s="7">
        <v>-6.1000000000000004E-3</v>
      </c>
      <c r="F158" s="7">
        <v>430</v>
      </c>
      <c r="G158" s="8">
        <f t="shared" si="10"/>
        <v>2.0504337159719262E-6</v>
      </c>
      <c r="H158" s="9">
        <f t="shared" si="11"/>
        <v>6.1513011479170075E-8</v>
      </c>
      <c r="I158" s="10">
        <f>SUM($H$3:H158)</f>
        <v>6.8663412936940338E-2</v>
      </c>
      <c r="J158" s="23">
        <v>-6.1000000000000004E-3</v>
      </c>
      <c r="Q158" s="7">
        <f t="shared" si="9"/>
        <v>7.3799281948236199E-13</v>
      </c>
      <c r="R158" s="7">
        <f t="shared" si="8"/>
        <v>6.7533305179059031E-13</v>
      </c>
    </row>
    <row r="159" spans="1:18" x14ac:dyDescent="0.25">
      <c r="A159" s="22">
        <v>44795</v>
      </c>
      <c r="B159" s="12">
        <v>190.95</v>
      </c>
      <c r="C159" s="13">
        <v>-1.37E-2</v>
      </c>
      <c r="D159" s="7">
        <v>803</v>
      </c>
      <c r="E159" s="7">
        <v>-6.0000000000000001E-3</v>
      </c>
      <c r="F159" s="7">
        <v>263</v>
      </c>
      <c r="G159" s="8">
        <f t="shared" si="10"/>
        <v>3.3186856085436894E-4</v>
      </c>
      <c r="H159" s="9">
        <f t="shared" si="11"/>
        <v>9.9560568256330587E-6</v>
      </c>
      <c r="I159" s="10">
        <f>SUM($H$3:H159)</f>
        <v>6.8673368993765971E-2</v>
      </c>
      <c r="J159" s="23">
        <v>-6.0000000000000001E-3</v>
      </c>
      <c r="Q159" s="7">
        <f t="shared" si="9"/>
        <v>7.6081733967253814E-13</v>
      </c>
      <c r="R159" s="7">
        <f t="shared" si="8"/>
        <v>6.9621964102122712E-13</v>
      </c>
    </row>
    <row r="160" spans="1:18" x14ac:dyDescent="0.25">
      <c r="A160" s="22">
        <v>44796</v>
      </c>
      <c r="B160" s="12">
        <v>192.19</v>
      </c>
      <c r="C160" s="13">
        <v>6.4999999999999997E-3</v>
      </c>
      <c r="D160" s="7">
        <v>802</v>
      </c>
      <c r="E160" s="7">
        <v>-6.0000000000000001E-3</v>
      </c>
      <c r="F160" s="7">
        <v>9</v>
      </c>
      <c r="G160" s="8">
        <f t="shared" si="10"/>
        <v>0.76023105865456508</v>
      </c>
      <c r="H160" s="9">
        <f t="shared" si="11"/>
        <v>2.2806931759641512E-2</v>
      </c>
      <c r="I160" s="10">
        <f>SUM($H$3:H160)</f>
        <v>9.148030075340749E-2</v>
      </c>
      <c r="J160" s="23">
        <v>-6.0000000000000001E-3</v>
      </c>
      <c r="Q160" s="7">
        <f t="shared" si="9"/>
        <v>7.8434777285828673E-13</v>
      </c>
      <c r="R160" s="7">
        <f t="shared" si="8"/>
        <v>7.1775220723837845E-13</v>
      </c>
    </row>
    <row r="161" spans="1:18" x14ac:dyDescent="0.25">
      <c r="A161" s="22">
        <v>44797</v>
      </c>
      <c r="B161" s="12">
        <v>192.63</v>
      </c>
      <c r="C161" s="13">
        <v>2.3E-3</v>
      </c>
      <c r="D161" s="7">
        <v>801</v>
      </c>
      <c r="E161" s="7">
        <v>-5.8999999999999999E-3</v>
      </c>
      <c r="F161" s="7">
        <v>829</v>
      </c>
      <c r="G161" s="8">
        <f t="shared" si="10"/>
        <v>1.0808556739252777E-11</v>
      </c>
      <c r="H161" s="9">
        <f t="shared" si="11"/>
        <v>3.2425670217764812E-13</v>
      </c>
      <c r="I161" s="10">
        <f>SUM($H$3:H161)</f>
        <v>9.1480300753731744E-2</v>
      </c>
      <c r="J161" s="23">
        <v>-5.8999999999999999E-3</v>
      </c>
      <c r="Q161" s="7">
        <f t="shared" si="9"/>
        <v>8.0860595140029552E-13</v>
      </c>
      <c r="R161" s="7">
        <f t="shared" si="8"/>
        <v>7.3995072911173035E-13</v>
      </c>
    </row>
    <row r="162" spans="1:18" x14ac:dyDescent="0.25">
      <c r="A162" s="22">
        <v>44798</v>
      </c>
      <c r="B162" s="12">
        <v>191.78</v>
      </c>
      <c r="C162" s="13">
        <v>-4.4000000000000003E-3</v>
      </c>
      <c r="D162" s="7">
        <v>800</v>
      </c>
      <c r="E162" s="7">
        <v>-5.8999999999999999E-3</v>
      </c>
      <c r="F162" s="7">
        <v>294</v>
      </c>
      <c r="G162" s="8">
        <f t="shared" si="10"/>
        <v>1.2908918956795162E-4</v>
      </c>
      <c r="H162" s="9">
        <f t="shared" si="11"/>
        <v>3.8726756870393224E-6</v>
      </c>
      <c r="I162" s="10">
        <f>SUM($H$3:H162)</f>
        <v>9.148417342941878E-2</v>
      </c>
      <c r="J162" s="23">
        <v>-5.8999999999999999E-3</v>
      </c>
      <c r="Q162" s="7">
        <f t="shared" si="9"/>
        <v>8.3361438288690261E-13</v>
      </c>
      <c r="R162" s="7">
        <f t="shared" si="8"/>
        <v>7.628358032079694E-13</v>
      </c>
    </row>
    <row r="163" spans="1:18" x14ac:dyDescent="0.25">
      <c r="A163" s="22">
        <v>44799</v>
      </c>
      <c r="B163" s="12">
        <v>191.92</v>
      </c>
      <c r="C163" s="13">
        <v>6.9999999999999999E-4</v>
      </c>
      <c r="D163" s="7">
        <v>799</v>
      </c>
      <c r="E163" s="7">
        <v>-5.8999999999999999E-3</v>
      </c>
      <c r="F163" s="7">
        <v>123</v>
      </c>
      <c r="G163" s="8">
        <f t="shared" si="10"/>
        <v>2.3600614701426836E-2</v>
      </c>
      <c r="H163" s="9">
        <f t="shared" si="11"/>
        <v>7.0801844104294656E-4</v>
      </c>
      <c r="I163" s="10">
        <f>SUM($H$3:H163)</f>
        <v>9.2192191870461723E-2</v>
      </c>
      <c r="J163" s="23">
        <v>-5.8999999999999999E-3</v>
      </c>
      <c r="Q163" s="7">
        <f t="shared" si="9"/>
        <v>8.5939627101742537E-13</v>
      </c>
      <c r="R163" s="7">
        <f t="shared" si="8"/>
        <v>7.8642866310099937E-13</v>
      </c>
    </row>
    <row r="164" spans="1:18" x14ac:dyDescent="0.25">
      <c r="A164" s="22">
        <v>44802</v>
      </c>
      <c r="B164" s="12">
        <v>189.44</v>
      </c>
      <c r="C164" s="13">
        <v>-1.29E-2</v>
      </c>
      <c r="D164" s="7">
        <v>798</v>
      </c>
      <c r="E164" s="7">
        <v>-5.8999999999999999E-3</v>
      </c>
      <c r="F164" s="7">
        <v>120</v>
      </c>
      <c r="G164" s="8">
        <f t="shared" si="10"/>
        <v>2.585878480181493E-2</v>
      </c>
      <c r="H164" s="9">
        <f t="shared" si="11"/>
        <v>7.7576354405460297E-4</v>
      </c>
      <c r="I164" s="10">
        <f>SUM($H$3:H164)</f>
        <v>9.2967955414516329E-2</v>
      </c>
      <c r="J164" s="23">
        <v>-5.8999999999999999E-3</v>
      </c>
      <c r="Q164" s="7">
        <f t="shared" si="9"/>
        <v>8.8597553713136631E-13</v>
      </c>
      <c r="R164" s="7">
        <f t="shared" si="8"/>
        <v>8.1075119907319526E-13</v>
      </c>
    </row>
    <row r="165" spans="1:18" x14ac:dyDescent="0.25">
      <c r="A165" s="22">
        <v>44803</v>
      </c>
      <c r="B165" s="12">
        <v>193.92</v>
      </c>
      <c r="C165" s="13">
        <v>2.3599999999999999E-2</v>
      </c>
      <c r="D165" s="7">
        <v>797</v>
      </c>
      <c r="E165" s="7">
        <v>-5.7999999999999996E-3</v>
      </c>
      <c r="F165" s="7">
        <v>586</v>
      </c>
      <c r="G165" s="8">
        <f t="shared" si="10"/>
        <v>1.7710722567021523E-8</v>
      </c>
      <c r="H165" s="9">
        <f t="shared" si="11"/>
        <v>5.3132167701075189E-10</v>
      </c>
      <c r="I165" s="10">
        <f>SUM($H$3:H165)</f>
        <v>9.296795594583801E-2</v>
      </c>
      <c r="J165" s="23">
        <v>-5.7999999999999996E-3</v>
      </c>
      <c r="Q165" s="7">
        <f t="shared" si="9"/>
        <v>9.1337684240347061E-13</v>
      </c>
      <c r="R165" s="7">
        <f t="shared" si="8"/>
        <v>8.3582597842597458E-13</v>
      </c>
    </row>
    <row r="166" spans="1:18" x14ac:dyDescent="0.25">
      <c r="A166" s="22">
        <v>44805</v>
      </c>
      <c r="B166" s="12">
        <v>191.82</v>
      </c>
      <c r="C166" s="13">
        <v>-1.0800000000000001E-2</v>
      </c>
      <c r="D166" s="7">
        <v>796</v>
      </c>
      <c r="E166" s="7">
        <v>-5.7999999999999996E-3</v>
      </c>
      <c r="F166" s="7">
        <v>35</v>
      </c>
      <c r="G166" s="8">
        <f t="shared" si="10"/>
        <v>0.34435841430422159</v>
      </c>
      <c r="H166" s="9">
        <f t="shared" si="11"/>
        <v>1.0330752429128712E-2</v>
      </c>
      <c r="I166" s="10">
        <f>SUM($H$3:H166)</f>
        <v>0.10329870837496673</v>
      </c>
      <c r="J166" s="23">
        <v>-5.7999999999999996E-3</v>
      </c>
      <c r="Q166" s="7">
        <f t="shared" si="9"/>
        <v>9.4162561072522744E-13</v>
      </c>
      <c r="R166" s="7">
        <f t="shared" si="8"/>
        <v>8.6167626641853054E-13</v>
      </c>
    </row>
    <row r="167" spans="1:18" x14ac:dyDescent="0.25">
      <c r="A167" s="22">
        <v>44806</v>
      </c>
      <c r="B167" s="12">
        <v>191.61</v>
      </c>
      <c r="C167" s="13">
        <v>-1.1000000000000001E-3</v>
      </c>
      <c r="D167" s="7">
        <v>795</v>
      </c>
      <c r="E167" s="7">
        <v>-5.7000000000000002E-3</v>
      </c>
      <c r="F167" s="7">
        <v>893</v>
      </c>
      <c r="G167" s="8">
        <f t="shared" si="10"/>
        <v>1.5387168150094956E-12</v>
      </c>
      <c r="H167" s="9">
        <f t="shared" si="11"/>
        <v>4.6161504450294095E-14</v>
      </c>
      <c r="I167" s="10">
        <f>SUM($H$3:H167)</f>
        <v>0.10329870837501288</v>
      </c>
      <c r="J167" s="23">
        <v>-5.7000000000000002E-3</v>
      </c>
      <c r="Q167" s="7">
        <f t="shared" si="9"/>
        <v>9.7074805229404888E-13</v>
      </c>
      <c r="R167" s="7">
        <f t="shared" si="8"/>
        <v>8.8832604785415521E-13</v>
      </c>
    </row>
    <row r="168" spans="1:18" x14ac:dyDescent="0.25">
      <c r="A168" s="22">
        <v>44809</v>
      </c>
      <c r="B168" s="12">
        <v>192.98</v>
      </c>
      <c r="C168" s="13">
        <v>7.1000000000000004E-3</v>
      </c>
      <c r="D168" s="7">
        <v>794</v>
      </c>
      <c r="E168" s="7">
        <v>-5.5999999999999999E-3</v>
      </c>
      <c r="F168" s="7">
        <v>876</v>
      </c>
      <c r="G168" s="8">
        <f t="shared" si="10"/>
        <v>2.5824933818672266E-12</v>
      </c>
      <c r="H168" s="9">
        <f t="shared" si="11"/>
        <v>7.7474801456032282E-14</v>
      </c>
      <c r="I168" s="10">
        <f>SUM($H$3:H168)</f>
        <v>0.10329870837509036</v>
      </c>
      <c r="J168" s="23">
        <v>-5.5999999999999999E-3</v>
      </c>
      <c r="Q168" s="7">
        <f t="shared" si="9"/>
        <v>1.0007711879320093E-12</v>
      </c>
      <c r="R168" s="7">
        <f t="shared" si="8"/>
        <v>9.1580004933418062E-13</v>
      </c>
    </row>
    <row r="169" spans="1:18" x14ac:dyDescent="0.25">
      <c r="A169" s="22">
        <v>44810</v>
      </c>
      <c r="B169" s="12">
        <v>192.48</v>
      </c>
      <c r="C169" s="13">
        <v>-2.5999999999999999E-3</v>
      </c>
      <c r="D169" s="7">
        <v>793</v>
      </c>
      <c r="E169" s="7">
        <v>-5.5999999999999999E-3</v>
      </c>
      <c r="F169" s="7">
        <v>728</v>
      </c>
      <c r="G169" s="8">
        <f t="shared" si="10"/>
        <v>2.3432711512732685E-10</v>
      </c>
      <c r="H169" s="9">
        <f t="shared" si="11"/>
        <v>7.0298134538212104E-12</v>
      </c>
      <c r="I169" s="10">
        <f>SUM($H$3:H169)</f>
        <v>0.10329870838212017</v>
      </c>
      <c r="J169" s="23">
        <v>-5.5999999999999999E-3</v>
      </c>
      <c r="Q169" s="7">
        <f t="shared" si="9"/>
        <v>1.0317228741567106E-12</v>
      </c>
      <c r="R169" s="7">
        <f t="shared" si="8"/>
        <v>9.4412376220018638E-13</v>
      </c>
    </row>
    <row r="170" spans="1:18" x14ac:dyDescent="0.25">
      <c r="A170" s="22">
        <v>44811</v>
      </c>
      <c r="B170" s="12">
        <v>192.37</v>
      </c>
      <c r="C170" s="13">
        <v>-5.9999999999999995E-4</v>
      </c>
      <c r="D170" s="7">
        <v>792</v>
      </c>
      <c r="E170" s="7">
        <v>-5.5999999999999999E-3</v>
      </c>
      <c r="F170" s="7">
        <v>259</v>
      </c>
      <c r="G170" s="8">
        <f t="shared" si="10"/>
        <v>3.7486869553856309E-4</v>
      </c>
      <c r="H170" s="9">
        <f t="shared" si="11"/>
        <v>1.124606086615914E-5</v>
      </c>
      <c r="I170" s="10">
        <f>SUM($H$3:H170)</f>
        <v>0.10330995444298634</v>
      </c>
      <c r="J170" s="23">
        <v>-5.5999999999999999E-3</v>
      </c>
      <c r="Q170" s="7">
        <f t="shared" si="9"/>
        <v>1.0636318290275368E-12</v>
      </c>
      <c r="R170" s="7">
        <f t="shared" si="8"/>
        <v>9.7332346618575921E-13</v>
      </c>
    </row>
    <row r="171" spans="1:18" x14ac:dyDescent="0.25">
      <c r="A171" s="22">
        <v>44812</v>
      </c>
      <c r="B171" s="12">
        <v>194</v>
      </c>
      <c r="C171" s="13">
        <v>8.5000000000000006E-3</v>
      </c>
      <c r="D171" s="7">
        <v>791</v>
      </c>
      <c r="E171" s="7">
        <v>-5.5999999999999999E-3</v>
      </c>
      <c r="F171" s="7">
        <v>227</v>
      </c>
      <c r="G171" s="8">
        <f t="shared" si="10"/>
        <v>9.9353616102149838E-4</v>
      </c>
      <c r="H171" s="9">
        <f t="shared" si="11"/>
        <v>2.9806084830650909E-5</v>
      </c>
      <c r="I171" s="10">
        <f>SUM($H$3:H171)</f>
        <v>0.10333976052781699</v>
      </c>
      <c r="J171" s="23">
        <v>-5.5999999999999999E-3</v>
      </c>
      <c r="Q171" s="7">
        <f t="shared" si="9"/>
        <v>1.096527658791275E-12</v>
      </c>
      <c r="R171" s="7">
        <f t="shared" si="8"/>
        <v>1.0034262537997516E-12</v>
      </c>
    </row>
    <row r="172" spans="1:18" x14ac:dyDescent="0.25">
      <c r="A172" s="22">
        <v>44813</v>
      </c>
      <c r="B172" s="12">
        <v>194.6</v>
      </c>
      <c r="C172" s="13">
        <v>3.0999999999999999E-3</v>
      </c>
      <c r="D172" s="7">
        <v>790</v>
      </c>
      <c r="E172" s="7">
        <v>-5.4999999999999997E-3</v>
      </c>
      <c r="F172" s="7">
        <v>925</v>
      </c>
      <c r="G172" s="8">
        <f t="shared" si="10"/>
        <v>5.8056947283409534E-13</v>
      </c>
      <c r="H172" s="9">
        <f t="shared" si="11"/>
        <v>1.7417084185026342E-14</v>
      </c>
      <c r="I172" s="10">
        <f>SUM($H$3:H172)</f>
        <v>0.1033397605278344</v>
      </c>
      <c r="J172" s="23">
        <v>-5.4999999999999997E-3</v>
      </c>
      <c r="Q172" s="7">
        <f t="shared" si="9"/>
        <v>1.1304408853518298E-12</v>
      </c>
      <c r="R172" s="7">
        <f t="shared" si="8"/>
        <v>1.0344600554636615E-12</v>
      </c>
    </row>
    <row r="173" spans="1:18" x14ac:dyDescent="0.25">
      <c r="A173" s="22">
        <v>44816</v>
      </c>
      <c r="B173" s="12">
        <v>195.64</v>
      </c>
      <c r="C173" s="13">
        <v>5.3E-3</v>
      </c>
      <c r="D173" s="7">
        <v>789</v>
      </c>
      <c r="E173" s="7">
        <v>-5.4999999999999997E-3</v>
      </c>
      <c r="F173" s="7">
        <v>864</v>
      </c>
      <c r="G173" s="8">
        <f t="shared" si="10"/>
        <v>3.7220174596462944E-12</v>
      </c>
      <c r="H173" s="9">
        <f t="shared" si="11"/>
        <v>1.1166052378941115E-13</v>
      </c>
      <c r="I173" s="10">
        <f>SUM($H$3:H173)</f>
        <v>0.10333976052794606</v>
      </c>
      <c r="J173" s="23">
        <v>-5.4999999999999997E-3</v>
      </c>
      <c r="Q173" s="7">
        <f t="shared" si="9"/>
        <v>1.1654029745895154E-12</v>
      </c>
      <c r="R173" s="7">
        <f t="shared" si="8"/>
        <v>1.0664536654264552E-12</v>
      </c>
    </row>
    <row r="174" spans="1:18" x14ac:dyDescent="0.25">
      <c r="A174" s="22">
        <v>44817</v>
      </c>
      <c r="B174" s="12">
        <v>196.95</v>
      </c>
      <c r="C174" s="13">
        <v>6.7000000000000002E-3</v>
      </c>
      <c r="D174" s="7">
        <v>788</v>
      </c>
      <c r="E174" s="7">
        <v>-5.4999999999999997E-3</v>
      </c>
      <c r="F174" s="7">
        <v>394</v>
      </c>
      <c r="G174" s="8">
        <f t="shared" si="10"/>
        <v>6.13851471001422E-6</v>
      </c>
      <c r="H174" s="9">
        <f t="shared" si="11"/>
        <v>1.841554413004634E-7</v>
      </c>
      <c r="I174" s="10">
        <f>SUM($H$3:H174)</f>
        <v>0.10333994468338736</v>
      </c>
      <c r="J174" s="23">
        <v>-5.4999999999999997E-3</v>
      </c>
      <c r="Q174" s="7">
        <f t="shared" si="9"/>
        <v>1.2014463655562014E-12</v>
      </c>
      <c r="R174" s="7">
        <f t="shared" si="8"/>
        <v>1.0994367684808815E-12</v>
      </c>
    </row>
    <row r="175" spans="1:18" x14ac:dyDescent="0.25">
      <c r="A175" s="22">
        <v>44818</v>
      </c>
      <c r="B175" s="12">
        <v>196.27</v>
      </c>
      <c r="C175" s="13">
        <v>-3.5000000000000001E-3</v>
      </c>
      <c r="D175" s="7">
        <v>787</v>
      </c>
      <c r="E175" s="7">
        <v>-5.4999999999999997E-3</v>
      </c>
      <c r="F175" s="7">
        <v>216</v>
      </c>
      <c r="G175" s="8">
        <f t="shared" si="10"/>
        <v>1.3889755517495566E-3</v>
      </c>
      <c r="H175" s="9">
        <f t="shared" si="11"/>
        <v>4.1669266552495025E-5</v>
      </c>
      <c r="I175" s="10">
        <f>SUM($H$3:H175)</f>
        <v>0.10338161394993986</v>
      </c>
      <c r="J175" s="23">
        <v>-5.4999999999999997E-3</v>
      </c>
      <c r="Q175" s="7">
        <f t="shared" si="9"/>
        <v>1.2386045005734033E-12</v>
      </c>
      <c r="R175" s="7">
        <f t="shared" si="8"/>
        <v>1.1334399675060634E-12</v>
      </c>
    </row>
    <row r="176" spans="1:18" x14ac:dyDescent="0.25">
      <c r="A176" s="22">
        <v>44819</v>
      </c>
      <c r="B176" s="12">
        <v>195.69</v>
      </c>
      <c r="C176" s="13">
        <v>-3.0000000000000001E-3</v>
      </c>
      <c r="D176" s="7">
        <v>786</v>
      </c>
      <c r="E176" s="7">
        <v>-5.4999999999999997E-3</v>
      </c>
      <c r="F176" s="7">
        <v>76</v>
      </c>
      <c r="G176" s="8">
        <f t="shared" si="10"/>
        <v>9.8776083947668375E-2</v>
      </c>
      <c r="H176" s="9">
        <f t="shared" si="11"/>
        <v>2.9632825184306437E-3</v>
      </c>
      <c r="I176" s="10">
        <f>SUM($H$3:H176)</f>
        <v>0.1063448964683705</v>
      </c>
      <c r="J176" s="23">
        <v>-5.4999999999999997E-3</v>
      </c>
      <c r="Q176" s="7">
        <f t="shared" si="9"/>
        <v>1.2769118562612406E-12</v>
      </c>
      <c r="R176" s="7">
        <f t="shared" si="8"/>
        <v>1.168494811861921E-12</v>
      </c>
    </row>
    <row r="177" spans="1:18" x14ac:dyDescent="0.25">
      <c r="A177" s="22">
        <v>44820</v>
      </c>
      <c r="B177" s="12">
        <v>191.9</v>
      </c>
      <c r="C177" s="13">
        <v>-1.9400000000000001E-2</v>
      </c>
      <c r="D177" s="7">
        <v>785</v>
      </c>
      <c r="E177" s="7">
        <v>-5.4000000000000003E-3</v>
      </c>
      <c r="F177" s="7">
        <v>562</v>
      </c>
      <c r="G177" s="8">
        <f t="shared" si="10"/>
        <v>3.6788718311097515E-8</v>
      </c>
      <c r="H177" s="9">
        <f t="shared" si="11"/>
        <v>1.103661549333146E-9</v>
      </c>
      <c r="I177" s="10">
        <f>SUM($H$3:H177)</f>
        <v>0.10634489757203205</v>
      </c>
      <c r="J177" s="23">
        <v>-5.4000000000000003E-3</v>
      </c>
      <c r="Q177" s="7">
        <f t="shared" si="9"/>
        <v>1.316403975527052E-12</v>
      </c>
      <c r="R177" s="7">
        <f t="shared" si="8"/>
        <v>1.204633826661774E-12</v>
      </c>
    </row>
    <row r="178" spans="1:18" x14ac:dyDescent="0.25">
      <c r="A178" s="22">
        <v>44823</v>
      </c>
      <c r="B178" s="12">
        <v>192.75</v>
      </c>
      <c r="C178" s="13">
        <v>4.4000000000000003E-3</v>
      </c>
      <c r="D178" s="7">
        <v>784</v>
      </c>
      <c r="E178" s="7">
        <v>-5.4000000000000003E-3</v>
      </c>
      <c r="F178" s="7">
        <v>527</v>
      </c>
      <c r="G178" s="8">
        <f t="shared" si="10"/>
        <v>1.0683263943304351E-7</v>
      </c>
      <c r="H178" s="9">
        <f t="shared" si="11"/>
        <v>3.2049791829919457E-9</v>
      </c>
      <c r="I178" s="10">
        <f>SUM($H$3:H178)</f>
        <v>0.10634490077701124</v>
      </c>
      <c r="J178" s="23">
        <v>-5.4000000000000003E-3</v>
      </c>
      <c r="Q178" s="7">
        <f t="shared" si="9"/>
        <v>1.3571175005433528E-12</v>
      </c>
      <c r="R178" s="7">
        <f t="shared" si="8"/>
        <v>1.2418905429502827E-12</v>
      </c>
    </row>
    <row r="179" spans="1:18" x14ac:dyDescent="0.25">
      <c r="A179" s="22">
        <v>44824</v>
      </c>
      <c r="B179" s="12">
        <v>194.44</v>
      </c>
      <c r="C179" s="13">
        <v>8.8000000000000005E-3</v>
      </c>
      <c r="D179" s="7">
        <v>783</v>
      </c>
      <c r="E179" s="7">
        <v>-5.4000000000000003E-3</v>
      </c>
      <c r="F179" s="7">
        <v>526</v>
      </c>
      <c r="G179" s="8">
        <f t="shared" si="10"/>
        <v>1.1013674168355001E-7</v>
      </c>
      <c r="H179" s="9">
        <f t="shared" si="11"/>
        <v>3.3041022505071607E-9</v>
      </c>
      <c r="I179" s="10">
        <f>SUM($H$3:H179)</f>
        <v>0.10634490408111349</v>
      </c>
      <c r="J179" s="23">
        <v>-5.4000000000000003E-3</v>
      </c>
      <c r="Q179" s="7">
        <f t="shared" si="9"/>
        <v>1.3990902067457245E-12</v>
      </c>
      <c r="R179" s="7">
        <f t="shared" si="8"/>
        <v>1.2802995288147246E-12</v>
      </c>
    </row>
    <row r="180" spans="1:18" x14ac:dyDescent="0.25">
      <c r="A180" s="22">
        <v>44825</v>
      </c>
      <c r="B180" s="12">
        <v>193.5</v>
      </c>
      <c r="C180" s="13">
        <v>-4.7999999999999996E-3</v>
      </c>
      <c r="D180" s="7">
        <v>782</v>
      </c>
      <c r="E180" s="7">
        <v>-5.3E-3</v>
      </c>
      <c r="F180" s="7">
        <v>906</v>
      </c>
      <c r="G180" s="8">
        <f t="shared" si="10"/>
        <v>1.0355981005946821E-12</v>
      </c>
      <c r="H180" s="9">
        <f t="shared" si="11"/>
        <v>3.1067943017846676E-14</v>
      </c>
      <c r="I180" s="10">
        <f>SUM($H$3:H180)</f>
        <v>0.10634490408114457</v>
      </c>
      <c r="J180" s="23">
        <v>-5.3E-3</v>
      </c>
      <c r="Q180" s="7">
        <f t="shared" si="9"/>
        <v>1.4423610378821905E-12</v>
      </c>
      <c r="R180" s="7">
        <f t="shared" si="8"/>
        <v>1.3198964214584791E-12</v>
      </c>
    </row>
    <row r="181" spans="1:18" x14ac:dyDescent="0.25">
      <c r="A181" s="22">
        <v>44826</v>
      </c>
      <c r="B181" s="12">
        <v>192.92</v>
      </c>
      <c r="C181" s="13">
        <v>-3.0000000000000001E-3</v>
      </c>
      <c r="D181" s="7">
        <v>781</v>
      </c>
      <c r="E181" s="7">
        <v>-5.3E-3</v>
      </c>
      <c r="F181" s="7">
        <v>881</v>
      </c>
      <c r="G181" s="8">
        <f t="shared" si="10"/>
        <v>2.2176749381544507E-12</v>
      </c>
      <c r="H181" s="9">
        <f t="shared" si="11"/>
        <v>6.6530248144646824E-14</v>
      </c>
      <c r="I181" s="10">
        <f>SUM($H$3:H181)</f>
        <v>0.1063449040812111</v>
      </c>
      <c r="J181" s="23">
        <v>-5.3E-3</v>
      </c>
      <c r="Q181" s="7">
        <f t="shared" si="9"/>
        <v>1.4869701421465881E-12</v>
      </c>
      <c r="R181" s="7">
        <f t="shared" si="8"/>
        <v>1.3607179602664733E-12</v>
      </c>
    </row>
    <row r="182" spans="1:18" x14ac:dyDescent="0.25">
      <c r="A182" s="22">
        <v>44827</v>
      </c>
      <c r="B182" s="12">
        <v>189.64</v>
      </c>
      <c r="C182" s="13">
        <v>-1.7000000000000001E-2</v>
      </c>
      <c r="D182" s="7">
        <v>780</v>
      </c>
      <c r="E182" s="7">
        <v>-5.3E-3</v>
      </c>
      <c r="F182" s="7">
        <v>679</v>
      </c>
      <c r="G182" s="8">
        <f t="shared" si="10"/>
        <v>1.0423355900100686E-9</v>
      </c>
      <c r="H182" s="9">
        <f t="shared" si="11"/>
        <v>3.1270067700308308E-11</v>
      </c>
      <c r="I182" s="10">
        <f>SUM($H$3:H182)</f>
        <v>0.10634490411248117</v>
      </c>
      <c r="J182" s="23">
        <v>-5.3E-3</v>
      </c>
      <c r="Q182" s="7">
        <f t="shared" si="9"/>
        <v>1.5329589094294722E-12</v>
      </c>
      <c r="R182" s="7">
        <f t="shared" si="8"/>
        <v>1.4028020208932714E-12</v>
      </c>
    </row>
    <row r="183" spans="1:18" x14ac:dyDescent="0.25">
      <c r="A183" s="22">
        <v>44830</v>
      </c>
      <c r="B183" s="12">
        <v>186.21</v>
      </c>
      <c r="C183" s="13">
        <v>-1.8100000000000002E-2</v>
      </c>
      <c r="D183" s="7">
        <v>779</v>
      </c>
      <c r="E183" s="7">
        <v>-5.3E-3</v>
      </c>
      <c r="F183" s="7">
        <v>523</v>
      </c>
      <c r="G183" s="8">
        <f t="shared" si="10"/>
        <v>1.2067492046280542E-7</v>
      </c>
      <c r="H183" s="9">
        <f t="shared" si="11"/>
        <v>3.6202476138848861E-9</v>
      </c>
      <c r="I183" s="10">
        <f>SUM($H$3:H183)</f>
        <v>0.10634490773272878</v>
      </c>
      <c r="J183" s="23">
        <v>-5.3E-3</v>
      </c>
      <c r="Q183" s="7">
        <f t="shared" si="9"/>
        <v>1.5803700097211054E-12</v>
      </c>
      <c r="R183" s="7">
        <f t="shared" si="8"/>
        <v>1.4461876504054344E-12</v>
      </c>
    </row>
    <row r="184" spans="1:18" x14ac:dyDescent="0.25">
      <c r="A184" s="22">
        <v>44831</v>
      </c>
      <c r="B184" s="12">
        <v>186.05</v>
      </c>
      <c r="C184" s="13">
        <v>-8.9999999999999998E-4</v>
      </c>
      <c r="D184" s="7">
        <v>778</v>
      </c>
      <c r="E184" s="7">
        <v>-5.1999999999999998E-3</v>
      </c>
      <c r="F184" s="7">
        <v>767</v>
      </c>
      <c r="G184" s="8">
        <f t="shared" si="10"/>
        <v>7.1436502282414129E-11</v>
      </c>
      <c r="H184" s="9">
        <f t="shared" si="11"/>
        <v>2.1430950684728523E-12</v>
      </c>
      <c r="I184" s="10">
        <f>SUM($H$3:H184)</f>
        <v>0.10634490773487187</v>
      </c>
      <c r="J184" s="23">
        <v>-5.1999999999999998E-3</v>
      </c>
      <c r="Q184" s="7">
        <f t="shared" si="9"/>
        <v>1.6292474327021706E-12</v>
      </c>
      <c r="R184" s="7">
        <f t="shared" si="8"/>
        <v>1.4909151035107571E-12</v>
      </c>
    </row>
    <row r="185" spans="1:18" x14ac:dyDescent="0.25">
      <c r="A185" s="22">
        <v>44832</v>
      </c>
      <c r="B185" s="12">
        <v>184.47</v>
      </c>
      <c r="C185" s="13">
        <v>-8.5000000000000006E-3</v>
      </c>
      <c r="D185" s="7">
        <v>777</v>
      </c>
      <c r="E185" s="7">
        <v>-5.1999999999999998E-3</v>
      </c>
      <c r="F185" s="7">
        <v>656</v>
      </c>
      <c r="G185" s="8">
        <f t="shared" si="10"/>
        <v>2.100185610923498E-9</v>
      </c>
      <c r="H185" s="9">
        <f t="shared" si="11"/>
        <v>6.3005568327717531E-11</v>
      </c>
      <c r="I185" s="10">
        <f>SUM($H$3:H185)</f>
        <v>0.10634490779787745</v>
      </c>
      <c r="J185" s="23">
        <v>-5.1999999999999998E-3</v>
      </c>
      <c r="Q185" s="7">
        <f t="shared" si="9"/>
        <v>1.6796365285589384E-12</v>
      </c>
      <c r="R185" s="7">
        <f t="shared" si="8"/>
        <v>1.5370258799079968E-12</v>
      </c>
    </row>
    <row r="186" spans="1:18" x14ac:dyDescent="0.25">
      <c r="A186" s="22">
        <v>44833</v>
      </c>
      <c r="B186" s="12">
        <v>184.07</v>
      </c>
      <c r="C186" s="13">
        <v>-2.2000000000000001E-3</v>
      </c>
      <c r="D186" s="7">
        <v>776</v>
      </c>
      <c r="E186" s="7">
        <v>-5.1999999999999998E-3</v>
      </c>
      <c r="F186" s="7">
        <v>260</v>
      </c>
      <c r="G186" s="8">
        <f t="shared" si="10"/>
        <v>3.6362263467240618E-4</v>
      </c>
      <c r="H186" s="9">
        <f t="shared" si="11"/>
        <v>1.0908679040174366E-5</v>
      </c>
      <c r="I186" s="10">
        <f>SUM($H$3:H186)</f>
        <v>0.10635581647691762</v>
      </c>
      <c r="J186" s="23">
        <v>-5.1999999999999998E-3</v>
      </c>
      <c r="Q186" s="7">
        <f t="shared" si="9"/>
        <v>1.7315840500607615E-12</v>
      </c>
      <c r="R186" s="7">
        <f t="shared" si="8"/>
        <v>1.5845627627917496E-12</v>
      </c>
    </row>
    <row r="187" spans="1:18" x14ac:dyDescent="0.25">
      <c r="A187" s="22">
        <v>44834</v>
      </c>
      <c r="B187" s="12">
        <v>186.83</v>
      </c>
      <c r="C187" s="13">
        <v>1.4999999999999999E-2</v>
      </c>
      <c r="D187" s="7">
        <v>775</v>
      </c>
      <c r="E187" s="7">
        <v>-5.1999999999999998E-3</v>
      </c>
      <c r="F187" s="7">
        <v>36</v>
      </c>
      <c r="G187" s="8">
        <f t="shared" si="10"/>
        <v>0.33402766187509492</v>
      </c>
      <c r="H187" s="9">
        <f t="shared" si="11"/>
        <v>1.002082985625485E-2</v>
      </c>
      <c r="I187" s="10">
        <f>SUM($H$3:H187)</f>
        <v>0.11637664633317248</v>
      </c>
      <c r="J187" s="23">
        <v>-5.1999999999999998E-3</v>
      </c>
      <c r="Q187" s="7">
        <f t="shared" si="9"/>
        <v>1.7851381959389293E-12</v>
      </c>
      <c r="R187" s="7">
        <f t="shared" si="8"/>
        <v>1.6335698585481953E-12</v>
      </c>
    </row>
    <row r="188" spans="1:18" x14ac:dyDescent="0.25">
      <c r="A188" s="22">
        <v>44837</v>
      </c>
      <c r="B188" s="12">
        <v>184.25</v>
      </c>
      <c r="C188" s="13">
        <v>-1.38E-2</v>
      </c>
      <c r="D188" s="7">
        <v>774</v>
      </c>
      <c r="E188" s="7">
        <v>-5.1000000000000004E-3</v>
      </c>
      <c r="F188" s="7">
        <v>381</v>
      </c>
      <c r="G188" s="8">
        <f t="shared" si="10"/>
        <v>9.1207542752908375E-6</v>
      </c>
      <c r="H188" s="9">
        <f t="shared" si="11"/>
        <v>2.7362262825877983E-7</v>
      </c>
      <c r="I188" s="10">
        <f>SUM($H$3:H188)</f>
        <v>0.11637691995580074</v>
      </c>
      <c r="J188" s="23">
        <v>-5.1000000000000004E-3</v>
      </c>
      <c r="Q188" s="7">
        <f t="shared" si="9"/>
        <v>1.8403486556071435E-12</v>
      </c>
      <c r="R188" s="7">
        <f t="shared" si="8"/>
        <v>1.6840926376785517E-12</v>
      </c>
    </row>
    <row r="189" spans="1:18" x14ac:dyDescent="0.25">
      <c r="A189" s="22">
        <v>44838</v>
      </c>
      <c r="B189" s="12">
        <v>188.29</v>
      </c>
      <c r="C189" s="13">
        <v>2.1899999999999999E-2</v>
      </c>
      <c r="D189" s="7">
        <v>773</v>
      </c>
      <c r="E189" s="7">
        <v>-5.1000000000000004E-3</v>
      </c>
      <c r="F189" s="7">
        <v>201</v>
      </c>
      <c r="G189" s="8">
        <f t="shared" si="10"/>
        <v>2.1934037796958994E-3</v>
      </c>
      <c r="H189" s="9">
        <f t="shared" si="11"/>
        <v>6.5802113390890134E-5</v>
      </c>
      <c r="I189" s="10">
        <f>SUM($H$3:H189)</f>
        <v>0.11644272206919162</v>
      </c>
      <c r="J189" s="23">
        <v>-5.1000000000000004E-3</v>
      </c>
      <c r="Q189" s="7">
        <f t="shared" si="9"/>
        <v>1.8972666552650968E-12</v>
      </c>
      <c r="R189" s="7">
        <f t="shared" si="8"/>
        <v>1.7361779769881981E-12</v>
      </c>
    </row>
    <row r="190" spans="1:18" x14ac:dyDescent="0.25">
      <c r="A190" s="22">
        <v>44840</v>
      </c>
      <c r="B190" s="12">
        <v>188.94</v>
      </c>
      <c r="C190" s="13">
        <v>3.5000000000000001E-3</v>
      </c>
      <c r="D190" s="7">
        <v>772</v>
      </c>
      <c r="E190" s="7">
        <v>-5.1000000000000004E-3</v>
      </c>
      <c r="F190" s="7">
        <v>180</v>
      </c>
      <c r="G190" s="8">
        <f t="shared" si="10"/>
        <v>4.158265048925633E-3</v>
      </c>
      <c r="H190" s="9">
        <f t="shared" si="11"/>
        <v>1.2474795146779393E-4</v>
      </c>
      <c r="I190" s="10">
        <f>SUM($H$3:H190)</f>
        <v>0.11656747002065941</v>
      </c>
      <c r="J190" s="23">
        <v>-5.1000000000000004E-3</v>
      </c>
      <c r="Q190" s="7">
        <f t="shared" si="9"/>
        <v>1.9559450054279344E-12</v>
      </c>
      <c r="R190" s="7">
        <f t="shared" si="8"/>
        <v>1.7898742030806162E-12</v>
      </c>
    </row>
    <row r="191" spans="1:18" x14ac:dyDescent="0.25">
      <c r="A191" s="22">
        <v>44841</v>
      </c>
      <c r="B191" s="12">
        <v>189.19</v>
      </c>
      <c r="C191" s="13">
        <v>1.2999999999999999E-3</v>
      </c>
      <c r="D191" s="7">
        <v>771</v>
      </c>
      <c r="E191" s="7">
        <v>-5.1000000000000004E-3</v>
      </c>
      <c r="F191" s="7">
        <v>11</v>
      </c>
      <c r="G191" s="8">
        <f t="shared" si="10"/>
        <v>0.71530140308808032</v>
      </c>
      <c r="H191" s="9">
        <f t="shared" si="11"/>
        <v>2.14590420926467E-2</v>
      </c>
      <c r="I191" s="10">
        <f>SUM($H$3:H191)</f>
        <v>0.1380265121133061</v>
      </c>
      <c r="J191" s="23">
        <v>-5.1000000000000004E-3</v>
      </c>
      <c r="Q191" s="7">
        <f t="shared" si="9"/>
        <v>2.0164381499257064E-12</v>
      </c>
      <c r="R191" s="7">
        <f t="shared" si="8"/>
        <v>1.8452311371965124E-12</v>
      </c>
    </row>
    <row r="192" spans="1:18" x14ac:dyDescent="0.25">
      <c r="A192" s="22">
        <v>44844</v>
      </c>
      <c r="B192" s="12">
        <v>188.75</v>
      </c>
      <c r="C192" s="13">
        <v>-2.3E-3</v>
      </c>
      <c r="D192" s="7">
        <v>770</v>
      </c>
      <c r="E192" s="7">
        <v>-5.0000000000000001E-3</v>
      </c>
      <c r="F192" s="7">
        <v>572</v>
      </c>
      <c r="G192" s="8">
        <f t="shared" si="10"/>
        <v>2.7128888480144539E-8</v>
      </c>
      <c r="H192" s="9">
        <f t="shared" si="11"/>
        <v>8.1386665440449881E-10</v>
      </c>
      <c r="I192" s="10">
        <f>SUM($H$3:H192)</f>
        <v>0.13802651292717275</v>
      </c>
      <c r="J192" s="23">
        <v>-5.0000000000000001E-3</v>
      </c>
      <c r="Q192" s="7">
        <f t="shared" si="9"/>
        <v>2.0788022164182536E-12</v>
      </c>
      <c r="R192" s="7">
        <f t="shared" si="8"/>
        <v>1.9023001414397031E-12</v>
      </c>
    </row>
    <row r="193" spans="1:18" x14ac:dyDescent="0.25">
      <c r="A193" s="22">
        <v>44845</v>
      </c>
      <c r="B193" s="12">
        <v>185.87</v>
      </c>
      <c r="C193" s="13">
        <v>-1.5299999999999999E-2</v>
      </c>
      <c r="D193" s="7">
        <v>769</v>
      </c>
      <c r="E193" s="7">
        <v>-5.0000000000000001E-3</v>
      </c>
      <c r="F193" s="7">
        <v>96</v>
      </c>
      <c r="G193" s="8">
        <f t="shared" si="10"/>
        <v>5.3713875667199547E-2</v>
      </c>
      <c r="H193" s="9">
        <f t="shared" si="11"/>
        <v>1.6114162700163084E-3</v>
      </c>
      <c r="I193" s="10">
        <f>SUM($H$3:H193)</f>
        <v>0.13963792919718906</v>
      </c>
      <c r="J193" s="23">
        <v>-5.0000000000000001E-3</v>
      </c>
      <c r="Q193" s="7">
        <f t="shared" si="9"/>
        <v>2.1430950684724258E-12</v>
      </c>
      <c r="R193" s="7">
        <f t="shared" si="8"/>
        <v>1.9611341664326829E-12</v>
      </c>
    </row>
    <row r="194" spans="1:18" x14ac:dyDescent="0.25">
      <c r="A194" s="22">
        <v>44846</v>
      </c>
      <c r="B194" s="12">
        <v>187.21</v>
      </c>
      <c r="C194" s="13">
        <v>7.1999999999999998E-3</v>
      </c>
      <c r="D194" s="7">
        <v>768</v>
      </c>
      <c r="E194" s="7">
        <v>-5.0000000000000001E-3</v>
      </c>
      <c r="F194" s="7">
        <v>78</v>
      </c>
      <c r="G194" s="8">
        <f t="shared" si="10"/>
        <v>9.2938417386361175E-2</v>
      </c>
      <c r="H194" s="9">
        <f t="shared" si="11"/>
        <v>2.7881525215913924E-3</v>
      </c>
      <c r="I194" s="10">
        <f>SUM($H$3:H194)</f>
        <v>0.14242608171878046</v>
      </c>
      <c r="J194" s="23">
        <v>-5.0000000000000001E-3</v>
      </c>
      <c r="Q194" s="7">
        <f t="shared" si="9"/>
        <v>2.2093763592499241E-12</v>
      </c>
      <c r="R194" s="7">
        <f t="shared" ref="R194:R257" si="12">Q194/$U$2</f>
        <v>2.0217878004460656E-12</v>
      </c>
    </row>
    <row r="195" spans="1:18" x14ac:dyDescent="0.25">
      <c r="A195" s="22">
        <v>44847</v>
      </c>
      <c r="B195" s="12">
        <v>186.23</v>
      </c>
      <c r="C195" s="13">
        <v>-5.1999999999999998E-3</v>
      </c>
      <c r="D195" s="7">
        <v>767</v>
      </c>
      <c r="E195" s="7">
        <v>-4.8999999999999998E-3</v>
      </c>
      <c r="F195" s="7">
        <v>698</v>
      </c>
      <c r="G195" s="8">
        <f t="shared" si="10"/>
        <v>5.8434659513266859E-10</v>
      </c>
      <c r="H195" s="9">
        <f t="shared" si="11"/>
        <v>1.7530397853983561E-11</v>
      </c>
      <c r="I195" s="10">
        <f>SUM($H$3:H195)</f>
        <v>0.14242608173631086</v>
      </c>
      <c r="J195" s="23">
        <v>-4.8999999999999998E-3</v>
      </c>
      <c r="Q195" s="7">
        <f t="shared" ref="Q195:Q258" si="13">(1-$N$3) * $N$3^(D196-1)</f>
        <v>2.2777075868555918E-12</v>
      </c>
      <c r="R195" s="7">
        <f t="shared" si="12"/>
        <v>2.0843173200474902E-12</v>
      </c>
    </row>
    <row r="196" spans="1:18" x14ac:dyDescent="0.25">
      <c r="A196" s="22">
        <v>44848</v>
      </c>
      <c r="B196" s="12">
        <v>188.02</v>
      </c>
      <c r="C196" s="13">
        <v>9.5999999999999992E-3</v>
      </c>
      <c r="D196" s="7">
        <v>766</v>
      </c>
      <c r="E196" s="7">
        <v>-4.8999999999999998E-3</v>
      </c>
      <c r="F196" s="7">
        <v>417</v>
      </c>
      <c r="G196" s="8">
        <f t="shared" ref="G196:G259" si="14">$N$3^F196</f>
        <v>3.0465842251126753E-6</v>
      </c>
      <c r="H196" s="9">
        <f t="shared" si="11"/>
        <v>9.1397526753398534E-8</v>
      </c>
      <c r="I196" s="10">
        <f>SUM($H$3:H196)</f>
        <v>0.1424261731338376</v>
      </c>
      <c r="J196" s="23">
        <v>-4.8999999999999998E-3</v>
      </c>
      <c r="Q196" s="7">
        <f t="shared" si="13"/>
        <v>2.3481521513975171E-12</v>
      </c>
      <c r="R196" s="7">
        <f t="shared" si="12"/>
        <v>2.1487807423169999E-12</v>
      </c>
    </row>
    <row r="197" spans="1:18" x14ac:dyDescent="0.25">
      <c r="A197" s="22">
        <v>44851</v>
      </c>
      <c r="B197" s="12">
        <v>188.83</v>
      </c>
      <c r="C197" s="13">
        <v>4.3E-3</v>
      </c>
      <c r="D197" s="7">
        <v>765</v>
      </c>
      <c r="E197" s="7">
        <v>-4.8999999999999998E-3</v>
      </c>
      <c r="F197" s="7">
        <v>82</v>
      </c>
      <c r="G197" s="8">
        <f t="shared" si="14"/>
        <v>8.2277712684924537E-2</v>
      </c>
      <c r="H197" s="9">
        <f t="shared" ref="H197:H260" si="15">G197/$N$4</f>
        <v>2.4683313805482295E-3</v>
      </c>
      <c r="I197" s="10">
        <f>SUM($H$3:H197)</f>
        <v>0.14489450451438582</v>
      </c>
      <c r="J197" s="23">
        <v>-4.8999999999999998E-3</v>
      </c>
      <c r="Q197" s="7">
        <f t="shared" si="13"/>
        <v>2.4207754138118732E-12</v>
      </c>
      <c r="R197" s="7">
        <f t="shared" si="12"/>
        <v>2.2152378786773196E-12</v>
      </c>
    </row>
    <row r="198" spans="1:18" x14ac:dyDescent="0.25">
      <c r="A198" s="22">
        <v>44852</v>
      </c>
      <c r="B198" s="12">
        <v>190.64</v>
      </c>
      <c r="C198" s="13">
        <v>9.5999999999999992E-3</v>
      </c>
      <c r="D198" s="7">
        <v>764</v>
      </c>
      <c r="E198" s="7">
        <v>-4.8999999999999998E-3</v>
      </c>
      <c r="F198" s="7">
        <v>38</v>
      </c>
      <c r="G198" s="8">
        <f t="shared" si="14"/>
        <v>0.31428662705827681</v>
      </c>
      <c r="H198" s="9">
        <f t="shared" si="15"/>
        <v>9.4285988117501895E-3</v>
      </c>
      <c r="I198" s="10">
        <f>SUM($H$3:H198)</f>
        <v>0.154323103326136</v>
      </c>
      <c r="J198" s="23">
        <v>-4.8999999999999998E-3</v>
      </c>
      <c r="Q198" s="7">
        <f t="shared" si="13"/>
        <v>2.4956447565070865E-12</v>
      </c>
      <c r="R198" s="7">
        <f t="shared" si="12"/>
        <v>2.2837503903889897E-12</v>
      </c>
    </row>
    <row r="199" spans="1:18" x14ac:dyDescent="0.25">
      <c r="A199" s="22">
        <v>44853</v>
      </c>
      <c r="B199" s="12">
        <v>190.83</v>
      </c>
      <c r="C199" s="13">
        <v>1E-3</v>
      </c>
      <c r="D199" s="7">
        <v>763</v>
      </c>
      <c r="E199" s="7">
        <v>-4.7999999999999996E-3</v>
      </c>
      <c r="F199" s="7">
        <v>782</v>
      </c>
      <c r="G199" s="8">
        <f t="shared" si="14"/>
        <v>4.523725001811172E-11</v>
      </c>
      <c r="H199" s="9">
        <f t="shared" si="15"/>
        <v>1.3571175005436228E-12</v>
      </c>
      <c r="I199" s="10">
        <f>SUM($H$3:H199)</f>
        <v>0.15432310332749311</v>
      </c>
      <c r="J199" s="23">
        <v>-4.7999999999999996E-3</v>
      </c>
      <c r="Q199" s="7">
        <f t="shared" si="13"/>
        <v>2.5728296458835937E-12</v>
      </c>
      <c r="R199" s="7">
        <f t="shared" si="12"/>
        <v>2.3543818457618446E-12</v>
      </c>
    </row>
    <row r="200" spans="1:18" x14ac:dyDescent="0.25">
      <c r="A200" s="22">
        <v>44854</v>
      </c>
      <c r="B200" s="12">
        <v>191.44</v>
      </c>
      <c r="C200" s="13">
        <v>3.2000000000000002E-3</v>
      </c>
      <c r="D200" s="7">
        <v>762</v>
      </c>
      <c r="E200" s="7">
        <v>-4.7999999999999996E-3</v>
      </c>
      <c r="F200" s="7">
        <v>448</v>
      </c>
      <c r="G200" s="8">
        <f t="shared" si="14"/>
        <v>1.1850507549067938E-6</v>
      </c>
      <c r="H200" s="9">
        <f t="shared" si="15"/>
        <v>3.555152264721092E-8</v>
      </c>
      <c r="I200" s="10">
        <f>SUM($H$3:H200)</f>
        <v>0.15432313887901575</v>
      </c>
      <c r="J200" s="23">
        <v>-4.7999999999999996E-3</v>
      </c>
      <c r="Q200" s="7">
        <f t="shared" si="13"/>
        <v>2.6524016967872104E-12</v>
      </c>
      <c r="R200" s="7">
        <f t="shared" si="12"/>
        <v>2.4271977791359224E-12</v>
      </c>
    </row>
    <row r="201" spans="1:18" x14ac:dyDescent="0.25">
      <c r="A201" s="22">
        <v>44855</v>
      </c>
      <c r="B201" s="12">
        <v>191.52</v>
      </c>
      <c r="C201" s="13">
        <v>4.0000000000000002E-4</v>
      </c>
      <c r="D201" s="7">
        <v>761</v>
      </c>
      <c r="E201" s="7">
        <v>-4.7999999999999996E-3</v>
      </c>
      <c r="F201" s="7">
        <v>270</v>
      </c>
      <c r="G201" s="8">
        <f t="shared" si="14"/>
        <v>2.6814410389253254E-4</v>
      </c>
      <c r="H201" s="9">
        <f t="shared" si="15"/>
        <v>8.0443231167775845E-6</v>
      </c>
      <c r="I201" s="10">
        <f>SUM($H$3:H201)</f>
        <v>0.15433118320213252</v>
      </c>
      <c r="J201" s="23">
        <v>-4.7999999999999996E-3</v>
      </c>
      <c r="Q201" s="7">
        <f t="shared" si="13"/>
        <v>2.7344347389558867E-12</v>
      </c>
      <c r="R201" s="7">
        <f t="shared" si="12"/>
        <v>2.5022657516865178E-12</v>
      </c>
    </row>
    <row r="202" spans="1:18" x14ac:dyDescent="0.25">
      <c r="A202" s="22">
        <v>44858</v>
      </c>
      <c r="B202" s="12">
        <v>193.17</v>
      </c>
      <c r="C202" s="13">
        <v>8.6E-3</v>
      </c>
      <c r="D202" s="7">
        <v>760</v>
      </c>
      <c r="E202" s="7">
        <v>-4.7000000000000002E-3</v>
      </c>
      <c r="F202" s="7">
        <v>874</v>
      </c>
      <c r="G202" s="8">
        <f t="shared" si="14"/>
        <v>2.7447054754673463E-12</v>
      </c>
      <c r="H202" s="9">
        <f t="shared" si="15"/>
        <v>8.2341164264036842E-14</v>
      </c>
      <c r="I202" s="10">
        <f>SUM($H$3:H202)</f>
        <v>0.15433118320221487</v>
      </c>
      <c r="J202" s="23">
        <v>-4.7000000000000002E-3</v>
      </c>
      <c r="Q202" s="7">
        <f t="shared" si="13"/>
        <v>2.819004885521533E-12</v>
      </c>
      <c r="R202" s="7">
        <f t="shared" si="12"/>
        <v>2.5796554141098123E-12</v>
      </c>
    </row>
    <row r="203" spans="1:18" x14ac:dyDescent="0.25">
      <c r="A203" s="22">
        <v>44859</v>
      </c>
      <c r="B203" s="12">
        <v>192.49</v>
      </c>
      <c r="C203" s="13">
        <v>-3.5000000000000001E-3</v>
      </c>
      <c r="D203" s="7">
        <v>759</v>
      </c>
      <c r="E203" s="7">
        <v>-4.7000000000000002E-3</v>
      </c>
      <c r="F203" s="7">
        <v>673</v>
      </c>
      <c r="G203" s="8">
        <f t="shared" si="14"/>
        <v>1.2513452839257354E-9</v>
      </c>
      <c r="H203" s="9">
        <f t="shared" si="15"/>
        <v>3.7540358517779566E-11</v>
      </c>
      <c r="I203" s="10">
        <f>SUM($H$3:H203)</f>
        <v>0.15433118323975523</v>
      </c>
      <c r="J203" s="23">
        <v>-4.7000000000000002E-3</v>
      </c>
      <c r="Q203" s="7">
        <f t="shared" si="13"/>
        <v>2.9061906036304461E-12</v>
      </c>
      <c r="R203" s="7">
        <f t="shared" si="12"/>
        <v>2.6594385712472292E-12</v>
      </c>
    </row>
    <row r="204" spans="1:18" x14ac:dyDescent="0.25">
      <c r="A204" s="22">
        <v>44861</v>
      </c>
      <c r="B204" s="12">
        <v>193.45</v>
      </c>
      <c r="C204" s="13">
        <v>5.0000000000000001E-3</v>
      </c>
      <c r="D204" s="7">
        <v>758</v>
      </c>
      <c r="E204" s="7">
        <v>-4.7000000000000002E-3</v>
      </c>
      <c r="F204" s="7">
        <v>552</v>
      </c>
      <c r="G204" s="8">
        <f t="shared" si="14"/>
        <v>4.9888140310792073E-8</v>
      </c>
      <c r="H204" s="9">
        <f t="shared" si="15"/>
        <v>1.4966442093240614E-9</v>
      </c>
      <c r="I204" s="10">
        <f>SUM($H$3:H204)</f>
        <v>0.15433118473639942</v>
      </c>
      <c r="J204" s="23">
        <v>-4.7000000000000002E-3</v>
      </c>
      <c r="Q204" s="7">
        <f t="shared" si="13"/>
        <v>2.996072787247883E-12</v>
      </c>
      <c r="R204" s="7">
        <f t="shared" si="12"/>
        <v>2.7416892487084841E-12</v>
      </c>
    </row>
    <row r="205" spans="1:18" x14ac:dyDescent="0.25">
      <c r="A205" s="22">
        <v>44862</v>
      </c>
      <c r="B205" s="12">
        <v>193.96</v>
      </c>
      <c r="C205" s="13">
        <v>2.5999999999999999E-3</v>
      </c>
      <c r="D205" s="7">
        <v>757</v>
      </c>
      <c r="E205" s="7">
        <v>-4.7000000000000002E-3</v>
      </c>
      <c r="F205" s="7">
        <v>507</v>
      </c>
      <c r="G205" s="8">
        <f t="shared" si="14"/>
        <v>1.9645779847223342E-7</v>
      </c>
      <c r="H205" s="9">
        <f t="shared" si="15"/>
        <v>5.8937339541681806E-9</v>
      </c>
      <c r="I205" s="10">
        <f>SUM($H$3:H205)</f>
        <v>0.15433119063013337</v>
      </c>
      <c r="J205" s="23">
        <v>-4.7000000000000002E-3</v>
      </c>
      <c r="Q205" s="7">
        <f t="shared" si="13"/>
        <v>3.0887348322143121E-12</v>
      </c>
      <c r="R205" s="7">
        <f t="shared" si="12"/>
        <v>2.826483761555138E-12</v>
      </c>
    </row>
    <row r="206" spans="1:18" x14ac:dyDescent="0.25">
      <c r="A206" s="22">
        <v>44865</v>
      </c>
      <c r="B206" s="12">
        <v>196.27</v>
      </c>
      <c r="C206" s="13">
        <v>1.1900000000000001E-2</v>
      </c>
      <c r="D206" s="7">
        <v>756</v>
      </c>
      <c r="E206" s="7">
        <v>-4.7000000000000002E-3</v>
      </c>
      <c r="F206" s="7">
        <v>465</v>
      </c>
      <c r="G206" s="8">
        <f t="shared" si="14"/>
        <v>7.0608410306800525E-7</v>
      </c>
      <c r="H206" s="9">
        <f t="shared" si="15"/>
        <v>2.1182523092044392E-8</v>
      </c>
      <c r="I206" s="10">
        <f>SUM($H$3:H206)</f>
        <v>0.15433121181265647</v>
      </c>
      <c r="J206" s="23">
        <v>-4.7000000000000002E-3</v>
      </c>
      <c r="Q206" s="7">
        <f t="shared" si="13"/>
        <v>3.1842627136230026E-12</v>
      </c>
      <c r="R206" s="7">
        <f t="shared" si="12"/>
        <v>2.9139007851083902E-12</v>
      </c>
    </row>
    <row r="207" spans="1:18" x14ac:dyDescent="0.25">
      <c r="A207" s="22">
        <v>44866</v>
      </c>
      <c r="B207" s="12">
        <v>197.98</v>
      </c>
      <c r="C207" s="13">
        <v>8.6999999999999994E-3</v>
      </c>
      <c r="D207" s="7">
        <v>755</v>
      </c>
      <c r="E207" s="7">
        <v>-4.7000000000000002E-3</v>
      </c>
      <c r="F207" s="7">
        <v>185</v>
      </c>
      <c r="G207" s="8">
        <f t="shared" si="14"/>
        <v>3.5708436853915159E-3</v>
      </c>
      <c r="H207" s="9">
        <f t="shared" si="15"/>
        <v>1.0712531056176688E-4</v>
      </c>
      <c r="I207" s="10">
        <f>SUM($H$3:H207)</f>
        <v>0.15443833712321822</v>
      </c>
      <c r="J207" s="23">
        <v>-4.7000000000000002E-3</v>
      </c>
      <c r="Q207" s="7">
        <f t="shared" si="13"/>
        <v>3.2827450655907247E-12</v>
      </c>
      <c r="R207" s="7">
        <f t="shared" si="12"/>
        <v>3.0040214279467941E-12</v>
      </c>
    </row>
    <row r="208" spans="1:18" x14ac:dyDescent="0.25">
      <c r="A208" s="22">
        <v>44867</v>
      </c>
      <c r="B208" s="12">
        <v>197.41</v>
      </c>
      <c r="C208" s="13">
        <v>-2.8999999999999998E-3</v>
      </c>
      <c r="D208" s="7">
        <v>754</v>
      </c>
      <c r="E208" s="7">
        <v>-4.7000000000000002E-3</v>
      </c>
      <c r="F208" s="7">
        <v>88</v>
      </c>
      <c r="G208" s="8">
        <f t="shared" si="14"/>
        <v>6.8535031296133808E-2</v>
      </c>
      <c r="H208" s="9">
        <f t="shared" si="15"/>
        <v>2.0560509388844253E-3</v>
      </c>
      <c r="I208" s="10">
        <f>SUM($H$3:H208)</f>
        <v>0.15649438806210264</v>
      </c>
      <c r="J208" s="23">
        <v>-4.7000000000000002E-3</v>
      </c>
      <c r="Q208" s="7">
        <f t="shared" si="13"/>
        <v>3.3842732634955922E-12</v>
      </c>
      <c r="R208" s="7">
        <f t="shared" si="12"/>
        <v>3.0969293071616431E-12</v>
      </c>
    </row>
    <row r="209" spans="1:18" x14ac:dyDescent="0.25">
      <c r="A209" s="22">
        <v>44868</v>
      </c>
      <c r="B209" s="12">
        <v>197.39</v>
      </c>
      <c r="C209" s="13">
        <v>-1E-4</v>
      </c>
      <c r="D209" s="7">
        <v>753</v>
      </c>
      <c r="E209" s="7">
        <v>-4.7000000000000002E-3</v>
      </c>
      <c r="F209" s="7">
        <v>8</v>
      </c>
      <c r="G209" s="8">
        <f t="shared" si="14"/>
        <v>0.78374335943769602</v>
      </c>
      <c r="H209" s="9">
        <f t="shared" si="15"/>
        <v>2.3512300783135581E-2</v>
      </c>
      <c r="I209" s="10">
        <f>SUM($H$3:H209)</f>
        <v>0.18000668884523821</v>
      </c>
      <c r="J209" s="23">
        <v>-4.7000000000000002E-3</v>
      </c>
      <c r="Q209" s="7">
        <f t="shared" si="13"/>
        <v>3.4889415087583421E-12</v>
      </c>
      <c r="R209" s="7">
        <f t="shared" si="12"/>
        <v>3.1927106259398379E-12</v>
      </c>
    </row>
    <row r="210" spans="1:18" x14ac:dyDescent="0.25">
      <c r="A210" s="22">
        <v>44869</v>
      </c>
      <c r="B210" s="12">
        <v>197.77</v>
      </c>
      <c r="C210" s="13">
        <v>1.9E-3</v>
      </c>
      <c r="D210" s="7">
        <v>752</v>
      </c>
      <c r="E210" s="7">
        <v>-4.5999999999999999E-3</v>
      </c>
      <c r="F210" s="7">
        <v>891</v>
      </c>
      <c r="G210" s="8">
        <f t="shared" si="14"/>
        <v>1.6353670050053095E-12</v>
      </c>
      <c r="H210" s="9">
        <f t="shared" si="15"/>
        <v>4.9061010150169092E-14</v>
      </c>
      <c r="I210" s="10">
        <f>SUM($H$3:H210)</f>
        <v>0.18000668884528728</v>
      </c>
      <c r="J210" s="23">
        <v>-4.5999999999999999E-3</v>
      </c>
      <c r="Q210" s="7">
        <f t="shared" si="13"/>
        <v>3.5968469162457131E-12</v>
      </c>
      <c r="R210" s="7">
        <f t="shared" si="12"/>
        <v>3.2914542535462244E-12</v>
      </c>
    </row>
    <row r="211" spans="1:18" x14ac:dyDescent="0.25">
      <c r="A211" s="22">
        <v>44872</v>
      </c>
      <c r="B211" s="12">
        <v>198.62</v>
      </c>
      <c r="C211" s="13">
        <v>4.3E-3</v>
      </c>
      <c r="D211" s="7">
        <v>751</v>
      </c>
      <c r="E211" s="7">
        <v>-4.5999999999999999E-3</v>
      </c>
      <c r="F211" s="7">
        <v>839</v>
      </c>
      <c r="G211" s="8">
        <f t="shared" si="14"/>
        <v>7.9704905164377701E-12</v>
      </c>
      <c r="H211" s="9">
        <f t="shared" si="15"/>
        <v>2.3911471549318089E-13</v>
      </c>
      <c r="I211" s="10">
        <f>SUM($H$3:H211)</f>
        <v>0.1800066888455264</v>
      </c>
      <c r="J211" s="23">
        <v>-4.5999999999999999E-3</v>
      </c>
      <c r="Q211" s="7">
        <f t="shared" si="13"/>
        <v>3.7080896043770246E-12</v>
      </c>
      <c r="R211" s="7">
        <f t="shared" si="12"/>
        <v>3.3932518077796136E-12</v>
      </c>
    </row>
    <row r="212" spans="1:18" x14ac:dyDescent="0.25">
      <c r="A212" s="22">
        <v>44874</v>
      </c>
      <c r="B212" s="12">
        <v>198.32</v>
      </c>
      <c r="C212" s="13">
        <v>-1.5E-3</v>
      </c>
      <c r="D212" s="7">
        <v>750</v>
      </c>
      <c r="E212" s="7">
        <v>-4.5999999999999999E-3</v>
      </c>
      <c r="F212" s="7">
        <v>683</v>
      </c>
      <c r="G212" s="8">
        <f t="shared" si="14"/>
        <v>9.2277220344302141E-10</v>
      </c>
      <c r="H212" s="9">
        <f t="shared" si="15"/>
        <v>2.7683166103296176E-11</v>
      </c>
      <c r="I212" s="10">
        <f>SUM($H$3:H212)</f>
        <v>0.18000668887320956</v>
      </c>
      <c r="J212" s="23">
        <v>-4.5999999999999999E-3</v>
      </c>
      <c r="Q212" s="7">
        <f t="shared" si="13"/>
        <v>3.8227727880175504E-12</v>
      </c>
      <c r="R212" s="7">
        <f t="shared" si="12"/>
        <v>3.4981977399789824E-12</v>
      </c>
    </row>
    <row r="213" spans="1:18" x14ac:dyDescent="0.25">
      <c r="A213" s="22">
        <v>44875</v>
      </c>
      <c r="B213" s="12">
        <v>196.86</v>
      </c>
      <c r="C213" s="13">
        <v>-7.4000000000000003E-3</v>
      </c>
      <c r="D213" s="7">
        <v>749</v>
      </c>
      <c r="E213" s="7">
        <v>-4.5999999999999999E-3</v>
      </c>
      <c r="F213" s="7">
        <v>16</v>
      </c>
      <c r="G213" s="8">
        <f t="shared" si="14"/>
        <v>0.61425365346268557</v>
      </c>
      <c r="H213" s="9">
        <f t="shared" si="15"/>
        <v>1.8427609603884249E-2</v>
      </c>
      <c r="I213" s="10">
        <f>SUM($H$3:H213)</f>
        <v>0.19843429847709382</v>
      </c>
      <c r="J213" s="23">
        <v>-4.5999999999999999E-3</v>
      </c>
      <c r="Q213" s="7">
        <f t="shared" si="13"/>
        <v>3.9410028742448975E-12</v>
      </c>
      <c r="R213" s="7">
        <f t="shared" si="12"/>
        <v>3.6063894226587449E-12</v>
      </c>
    </row>
    <row r="214" spans="1:18" x14ac:dyDescent="0.25">
      <c r="A214" s="22">
        <v>44876</v>
      </c>
      <c r="B214" s="12">
        <v>200.22</v>
      </c>
      <c r="C214" s="13">
        <v>1.7100000000000001E-2</v>
      </c>
      <c r="D214" s="7">
        <v>748</v>
      </c>
      <c r="E214" s="7">
        <v>-4.4999999999999997E-3</v>
      </c>
      <c r="F214" s="7">
        <v>875</v>
      </c>
      <c r="G214" s="8">
        <f t="shared" si="14"/>
        <v>2.6623643112033262E-12</v>
      </c>
      <c r="H214" s="9">
        <f t="shared" si="15"/>
        <v>7.9870929336115754E-14</v>
      </c>
      <c r="I214" s="10">
        <f>SUM($H$3:H214)</f>
        <v>0.1984342984771737</v>
      </c>
      <c r="J214" s="23">
        <v>-4.4999999999999997E-3</v>
      </c>
      <c r="Q214" s="7">
        <f t="shared" si="13"/>
        <v>4.0628895610772134E-12</v>
      </c>
      <c r="R214" s="7">
        <f t="shared" si="12"/>
        <v>3.7179272398543755E-12</v>
      </c>
    </row>
    <row r="215" spans="1:18" x14ac:dyDescent="0.25">
      <c r="A215" s="22">
        <v>44879</v>
      </c>
      <c r="B215" s="12">
        <v>200.17</v>
      </c>
      <c r="C215" s="13">
        <v>-2.0000000000000001E-4</v>
      </c>
      <c r="D215" s="7">
        <v>747</v>
      </c>
      <c r="E215" s="7">
        <v>-4.4999999999999997E-3</v>
      </c>
      <c r="F215" s="7">
        <v>672</v>
      </c>
      <c r="G215" s="8">
        <f t="shared" si="14"/>
        <v>1.2900466844595211E-9</v>
      </c>
      <c r="H215" s="9">
        <f t="shared" si="15"/>
        <v>3.8701400533793369E-11</v>
      </c>
      <c r="I215" s="10">
        <f>SUM($H$3:H215)</f>
        <v>0.1984342985158751</v>
      </c>
      <c r="J215" s="23">
        <v>-4.4999999999999997E-3</v>
      </c>
      <c r="Q215" s="7">
        <f t="shared" si="13"/>
        <v>4.1885459392548605E-12</v>
      </c>
      <c r="R215" s="7">
        <f t="shared" si="12"/>
        <v>3.8329146802622439E-12</v>
      </c>
    </row>
    <row r="216" spans="1:18" x14ac:dyDescent="0.25">
      <c r="A216" s="22">
        <v>44880</v>
      </c>
      <c r="B216" s="12">
        <v>200.91</v>
      </c>
      <c r="C216" s="13">
        <v>3.7000000000000002E-3</v>
      </c>
      <c r="D216" s="7">
        <v>746</v>
      </c>
      <c r="E216" s="7">
        <v>-4.4999999999999997E-3</v>
      </c>
      <c r="F216" s="7">
        <v>154</v>
      </c>
      <c r="G216" s="8">
        <f t="shared" si="14"/>
        <v>9.1800929177186553E-3</v>
      </c>
      <c r="H216" s="9">
        <f t="shared" si="15"/>
        <v>2.7540278753161469E-4</v>
      </c>
      <c r="I216" s="10">
        <f>SUM($H$3:H216)</f>
        <v>0.19870970130340671</v>
      </c>
      <c r="J216" s="23">
        <v>-4.4999999999999997E-3</v>
      </c>
      <c r="Q216" s="7">
        <f t="shared" si="13"/>
        <v>4.3180885971699593E-12</v>
      </c>
      <c r="R216" s="7">
        <f t="shared" si="12"/>
        <v>3.9514584332600456E-12</v>
      </c>
    </row>
    <row r="217" spans="1:18" x14ac:dyDescent="0.25">
      <c r="A217" s="22">
        <v>44881</v>
      </c>
      <c r="B217" s="12">
        <v>200.87</v>
      </c>
      <c r="C217" s="13">
        <v>-2.0000000000000001E-4</v>
      </c>
      <c r="D217" s="7">
        <v>745</v>
      </c>
      <c r="E217" s="7">
        <v>-4.4000000000000003E-3</v>
      </c>
      <c r="F217" s="7">
        <v>800</v>
      </c>
      <c r="G217" s="8">
        <f t="shared" si="14"/>
        <v>2.6144925761942867E-11</v>
      </c>
      <c r="H217" s="9">
        <f t="shared" si="15"/>
        <v>7.8434777285844284E-13</v>
      </c>
      <c r="I217" s="10">
        <f>SUM($H$3:H217)</f>
        <v>0.19870970130419105</v>
      </c>
      <c r="J217" s="23">
        <v>-4.4000000000000003E-3</v>
      </c>
      <c r="Q217" s="7">
        <f t="shared" si="13"/>
        <v>4.4516377290411958E-12</v>
      </c>
      <c r="R217" s="7">
        <f t="shared" si="12"/>
        <v>4.0736684878969549E-12</v>
      </c>
    </row>
    <row r="218" spans="1:18" x14ac:dyDescent="0.25">
      <c r="A218" s="22">
        <v>44882</v>
      </c>
      <c r="B218" s="12">
        <v>200.2</v>
      </c>
      <c r="C218" s="13">
        <v>-3.3E-3</v>
      </c>
      <c r="D218" s="7">
        <v>744</v>
      </c>
      <c r="E218" s="7">
        <v>-4.4000000000000003E-3</v>
      </c>
      <c r="F218" s="7">
        <v>643</v>
      </c>
      <c r="G218" s="8">
        <f t="shared" si="14"/>
        <v>3.1205067992238186E-9</v>
      </c>
      <c r="H218" s="9">
        <f t="shared" si="15"/>
        <v>9.3615203976733264E-11</v>
      </c>
      <c r="I218" s="10">
        <f>SUM($H$3:H218)</f>
        <v>0.19870970139780625</v>
      </c>
      <c r="J218" s="23">
        <v>-4.4000000000000003E-3</v>
      </c>
      <c r="Q218" s="7">
        <f t="shared" si="13"/>
        <v>4.589317246434222E-12</v>
      </c>
      <c r="R218" s="7">
        <f t="shared" si="12"/>
        <v>4.1996582349453134E-12</v>
      </c>
    </row>
    <row r="219" spans="1:18" x14ac:dyDescent="0.25">
      <c r="A219" s="22">
        <v>44883</v>
      </c>
      <c r="B219" s="12">
        <v>199.92</v>
      </c>
      <c r="C219" s="13">
        <v>-1.4E-3</v>
      </c>
      <c r="D219" s="7">
        <v>743</v>
      </c>
      <c r="E219" s="7">
        <v>-4.4000000000000003E-3</v>
      </c>
      <c r="F219" s="7">
        <v>442</v>
      </c>
      <c r="G219" s="8">
        <f t="shared" si="14"/>
        <v>1.4226777705546105E-6</v>
      </c>
      <c r="H219" s="9">
        <f t="shared" si="15"/>
        <v>4.2680333116646845E-8</v>
      </c>
      <c r="I219" s="10">
        <f>SUM($H$3:H219)</f>
        <v>0.19870974407813938</v>
      </c>
      <c r="J219" s="23">
        <v>-4.4000000000000003E-3</v>
      </c>
      <c r="Q219" s="7">
        <f t="shared" si="13"/>
        <v>4.7312548932311569E-12</v>
      </c>
      <c r="R219" s="7">
        <f t="shared" si="12"/>
        <v>4.3295445721085707E-12</v>
      </c>
    </row>
    <row r="220" spans="1:18" x14ac:dyDescent="0.25">
      <c r="A220" s="22">
        <v>44886</v>
      </c>
      <c r="B220" s="12">
        <v>198.55</v>
      </c>
      <c r="C220" s="13">
        <v>-6.8999999999999999E-3</v>
      </c>
      <c r="D220" s="7">
        <v>742</v>
      </c>
      <c r="E220" s="7">
        <v>-4.3E-3</v>
      </c>
      <c r="F220" s="7">
        <v>719</v>
      </c>
      <c r="G220" s="8">
        <f t="shared" si="14"/>
        <v>3.0823144155940191E-10</v>
      </c>
      <c r="H220" s="9">
        <f t="shared" si="15"/>
        <v>9.2469432467839057E-12</v>
      </c>
      <c r="I220" s="10">
        <f>SUM($H$3:H220)</f>
        <v>0.19870974408738631</v>
      </c>
      <c r="J220" s="23">
        <v>-4.3E-3</v>
      </c>
      <c r="Q220" s="7">
        <f t="shared" si="13"/>
        <v>4.8775823641558315E-12</v>
      </c>
      <c r="R220" s="7">
        <f t="shared" si="12"/>
        <v>4.4634480124830626E-12</v>
      </c>
    </row>
    <row r="221" spans="1:18" x14ac:dyDescent="0.25">
      <c r="A221" s="22">
        <v>44887</v>
      </c>
      <c r="B221" s="12">
        <v>199.23</v>
      </c>
      <c r="C221" s="13">
        <v>3.3999999999999998E-3</v>
      </c>
      <c r="D221" s="7">
        <v>741</v>
      </c>
      <c r="E221" s="7">
        <v>-4.3E-3</v>
      </c>
      <c r="F221" s="7">
        <v>662</v>
      </c>
      <c r="G221" s="8">
        <f t="shared" si="14"/>
        <v>1.7493958190539829E-9</v>
      </c>
      <c r="H221" s="9">
        <f t="shared" si="15"/>
        <v>5.2481874571629979E-11</v>
      </c>
      <c r="I221" s="10">
        <f>SUM($H$3:H221)</f>
        <v>0.19870974413986819</v>
      </c>
      <c r="J221" s="23">
        <v>-4.3E-3</v>
      </c>
      <c r="Q221" s="7">
        <f t="shared" si="13"/>
        <v>5.0284354269647754E-12</v>
      </c>
      <c r="R221" s="7">
        <f t="shared" si="12"/>
        <v>4.6014927963742917E-12</v>
      </c>
    </row>
    <row r="222" spans="1:18" x14ac:dyDescent="0.25">
      <c r="A222" s="22">
        <v>44888</v>
      </c>
      <c r="B222" s="12">
        <v>199.51</v>
      </c>
      <c r="C222" s="13">
        <v>1.4E-3</v>
      </c>
      <c r="D222" s="7">
        <v>740</v>
      </c>
      <c r="E222" s="7">
        <v>-4.3E-3</v>
      </c>
      <c r="F222" s="7">
        <v>561</v>
      </c>
      <c r="G222" s="8">
        <f t="shared" si="14"/>
        <v>3.7926513722780943E-8</v>
      </c>
      <c r="H222" s="9">
        <f t="shared" si="15"/>
        <v>1.1377954116836558E-9</v>
      </c>
      <c r="I222" s="10">
        <f>SUM($H$3:H222)</f>
        <v>0.19870974527766361</v>
      </c>
      <c r="J222" s="23">
        <v>-4.3E-3</v>
      </c>
      <c r="Q222" s="7">
        <f t="shared" si="13"/>
        <v>5.183954048417294E-12</v>
      </c>
      <c r="R222" s="7">
        <f t="shared" si="12"/>
        <v>4.7438070065714346E-12</v>
      </c>
    </row>
    <row r="223" spans="1:18" x14ac:dyDescent="0.25">
      <c r="A223" s="22">
        <v>44889</v>
      </c>
      <c r="B223" s="12">
        <v>201.72</v>
      </c>
      <c r="C223" s="13">
        <v>1.11E-2</v>
      </c>
      <c r="D223" s="7">
        <v>739</v>
      </c>
      <c r="E223" s="7">
        <v>-4.3E-3</v>
      </c>
      <c r="F223" s="7">
        <v>170</v>
      </c>
      <c r="G223" s="8">
        <f t="shared" si="14"/>
        <v>5.6389056138356096E-3</v>
      </c>
      <c r="H223" s="9">
        <f t="shared" si="15"/>
        <v>1.6916716841510211E-4</v>
      </c>
      <c r="I223" s="10">
        <f>SUM($H$3:H223)</f>
        <v>0.19887891244607872</v>
      </c>
      <c r="J223" s="23">
        <v>-4.3E-3</v>
      </c>
      <c r="Q223" s="7">
        <f t="shared" si="13"/>
        <v>5.3442825241415406E-12</v>
      </c>
      <c r="R223" s="7">
        <f t="shared" si="12"/>
        <v>4.8905226871870466E-12</v>
      </c>
    </row>
    <row r="224" spans="1:18" x14ac:dyDescent="0.25">
      <c r="A224" s="22">
        <v>44890</v>
      </c>
      <c r="B224" s="12">
        <v>202.35</v>
      </c>
      <c r="C224" s="13">
        <v>3.0999999999999999E-3</v>
      </c>
      <c r="D224" s="7">
        <v>738</v>
      </c>
      <c r="E224" s="7">
        <v>-4.1999999999999997E-3</v>
      </c>
      <c r="F224" s="7">
        <v>248</v>
      </c>
      <c r="G224" s="8">
        <f t="shared" si="14"/>
        <v>5.2407096354094903E-4</v>
      </c>
      <c r="H224" s="9">
        <f t="shared" si="15"/>
        <v>1.5722128906231612E-5</v>
      </c>
      <c r="I224" s="10">
        <f>SUM($H$3:H224)</f>
        <v>0.19889463457498496</v>
      </c>
      <c r="J224" s="23">
        <v>-4.1999999999999997E-3</v>
      </c>
      <c r="Q224" s="7">
        <f t="shared" si="13"/>
        <v>5.5095696125170514E-12</v>
      </c>
      <c r="R224" s="7">
        <f t="shared" si="12"/>
        <v>5.0417759661722118E-12</v>
      </c>
    </row>
    <row r="225" spans="1:18" x14ac:dyDescent="0.25">
      <c r="A225" s="22">
        <v>44893</v>
      </c>
      <c r="B225" s="12">
        <v>203.04</v>
      </c>
      <c r="C225" s="13">
        <v>3.3999999999999998E-3</v>
      </c>
      <c r="D225" s="7">
        <v>737</v>
      </c>
      <c r="E225" s="7">
        <v>-4.1000000000000003E-3</v>
      </c>
      <c r="F225" s="7">
        <v>847</v>
      </c>
      <c r="G225" s="8">
        <f t="shared" si="14"/>
        <v>6.2468190137192348E-12</v>
      </c>
      <c r="H225" s="9">
        <f t="shared" si="15"/>
        <v>1.8740457041161451E-13</v>
      </c>
      <c r="I225" s="10">
        <f>SUM($H$3:H225)</f>
        <v>0.19889463457517237</v>
      </c>
      <c r="J225" s="23">
        <v>-4.1000000000000003E-3</v>
      </c>
      <c r="Q225" s="7">
        <f t="shared" si="13"/>
        <v>5.6799686726979908E-12</v>
      </c>
      <c r="R225" s="7">
        <f t="shared" si="12"/>
        <v>5.1977071816208369E-12</v>
      </c>
    </row>
    <row r="226" spans="1:18" x14ac:dyDescent="0.25">
      <c r="A226" s="22">
        <v>44894</v>
      </c>
      <c r="B226" s="12">
        <v>203.43</v>
      </c>
      <c r="C226" s="13">
        <v>1.9E-3</v>
      </c>
      <c r="D226" s="7">
        <v>736</v>
      </c>
      <c r="E226" s="7">
        <v>-4.1000000000000003E-3</v>
      </c>
      <c r="F226" s="7">
        <v>623</v>
      </c>
      <c r="G226" s="8">
        <f t="shared" si="14"/>
        <v>5.7383951117052584E-9</v>
      </c>
      <c r="H226" s="9">
        <f t="shared" si="15"/>
        <v>1.7215185335119217E-10</v>
      </c>
      <c r="I226" s="10">
        <f>SUM($H$3:H226)</f>
        <v>0.19889463474732422</v>
      </c>
      <c r="J226" s="23">
        <v>-4.1000000000000003E-3</v>
      </c>
      <c r="Q226" s="7">
        <f t="shared" si="13"/>
        <v>5.8556378069051456E-12</v>
      </c>
      <c r="R226" s="7">
        <f t="shared" si="12"/>
        <v>5.358461011980245E-12</v>
      </c>
    </row>
    <row r="227" spans="1:18" x14ac:dyDescent="0.25">
      <c r="A227" s="22">
        <v>44895</v>
      </c>
      <c r="B227" s="12">
        <v>204.7</v>
      </c>
      <c r="C227" s="13">
        <v>6.1999999999999998E-3</v>
      </c>
      <c r="D227" s="7">
        <v>735</v>
      </c>
      <c r="E227" s="7">
        <v>-4.1000000000000003E-3</v>
      </c>
      <c r="F227" s="7">
        <v>558</v>
      </c>
      <c r="G227" s="8">
        <f t="shared" si="14"/>
        <v>4.1555424256859737E-8</v>
      </c>
      <c r="H227" s="9">
        <f t="shared" si="15"/>
        <v>1.2466627277060413E-9</v>
      </c>
      <c r="I227" s="10">
        <f>SUM($H$3:H227)</f>
        <v>0.19889463599398693</v>
      </c>
      <c r="J227" s="23">
        <v>-4.1000000000000003E-3</v>
      </c>
      <c r="Q227" s="7">
        <f t="shared" si="13"/>
        <v>6.036740007118707E-12</v>
      </c>
      <c r="R227" s="7">
        <f t="shared" si="12"/>
        <v>5.5241866102889125E-12</v>
      </c>
    </row>
    <row r="228" spans="1:18" x14ac:dyDescent="0.25">
      <c r="A228" s="22">
        <v>44896</v>
      </c>
      <c r="B228" s="12">
        <v>205.54</v>
      </c>
      <c r="C228" s="13">
        <v>4.1000000000000003E-3</v>
      </c>
      <c r="D228" s="7">
        <v>734</v>
      </c>
      <c r="E228" s="7">
        <v>-4.0000000000000001E-3</v>
      </c>
      <c r="F228" s="7">
        <v>606</v>
      </c>
      <c r="G228" s="8">
        <f t="shared" si="14"/>
        <v>9.6309907410913805E-9</v>
      </c>
      <c r="H228" s="9">
        <f t="shared" si="15"/>
        <v>2.8892972223279916E-10</v>
      </c>
      <c r="I228" s="10">
        <f>SUM($H$3:H228)</f>
        <v>0.19889463628291665</v>
      </c>
      <c r="J228" s="23">
        <v>-4.0000000000000001E-3</v>
      </c>
      <c r="Q228" s="7">
        <f t="shared" si="13"/>
        <v>6.2234433063079447E-12</v>
      </c>
      <c r="R228" s="7">
        <f t="shared" si="12"/>
        <v>5.6950377425658882E-12</v>
      </c>
    </row>
    <row r="229" spans="1:18" x14ac:dyDescent="0.25">
      <c r="A229" s="22">
        <v>44897</v>
      </c>
      <c r="B229" s="12">
        <v>204.81</v>
      </c>
      <c r="C229" s="13">
        <v>-3.5999999999999999E-3</v>
      </c>
      <c r="D229" s="7">
        <v>733</v>
      </c>
      <c r="E229" s="7">
        <v>-4.0000000000000001E-3</v>
      </c>
      <c r="F229" s="7">
        <v>599</v>
      </c>
      <c r="G229" s="8">
        <f t="shared" si="14"/>
        <v>1.1919796074012273E-8</v>
      </c>
      <c r="H229" s="9">
        <f t="shared" si="15"/>
        <v>3.5759388222043966E-10</v>
      </c>
      <c r="I229" s="10">
        <f>SUM($H$3:H229)</f>
        <v>0.19889463664051052</v>
      </c>
      <c r="J229" s="23">
        <v>-4.0000000000000001E-3</v>
      </c>
      <c r="Q229" s="7">
        <f t="shared" si="13"/>
        <v>6.4159209343380893E-12</v>
      </c>
      <c r="R229" s="7">
        <f t="shared" si="12"/>
        <v>5.8711729304802993E-12</v>
      </c>
    </row>
    <row r="230" spans="1:18" x14ac:dyDescent="0.25">
      <c r="A230" s="22">
        <v>44900</v>
      </c>
      <c r="B230" s="12">
        <v>204.44</v>
      </c>
      <c r="C230" s="13">
        <v>-1.8E-3</v>
      </c>
      <c r="D230" s="7">
        <v>732</v>
      </c>
      <c r="E230" s="7">
        <v>-4.0000000000000001E-3</v>
      </c>
      <c r="F230" s="7">
        <v>105</v>
      </c>
      <c r="G230" s="8">
        <f t="shared" si="14"/>
        <v>4.0834956562914797E-2</v>
      </c>
      <c r="H230" s="9">
        <f t="shared" si="15"/>
        <v>1.2250486968876887E-3</v>
      </c>
      <c r="I230" s="10">
        <f>SUM($H$3:H230)</f>
        <v>0.20011968533739821</v>
      </c>
      <c r="J230" s="23">
        <v>-4.0000000000000001E-3</v>
      </c>
      <c r="Q230" s="7">
        <f t="shared" si="13"/>
        <v>6.6143514786990604E-12</v>
      </c>
      <c r="R230" s="7">
        <f t="shared" si="12"/>
        <v>6.0527555984332969E-12</v>
      </c>
    </row>
    <row r="231" spans="1:18" x14ac:dyDescent="0.25">
      <c r="A231" s="22">
        <v>44901</v>
      </c>
      <c r="B231" s="12">
        <v>204.14</v>
      </c>
      <c r="C231" s="13">
        <v>-1.5E-3</v>
      </c>
      <c r="D231" s="7">
        <v>731</v>
      </c>
      <c r="E231" s="7">
        <v>-3.8999999999999998E-3</v>
      </c>
      <c r="F231" s="7">
        <v>617</v>
      </c>
      <c r="G231" s="8">
        <f t="shared" si="14"/>
        <v>6.8890611902309756E-9</v>
      </c>
      <c r="H231" s="9">
        <f t="shared" si="15"/>
        <v>2.0667183570697057E-10</v>
      </c>
      <c r="I231" s="10">
        <f>SUM($H$3:H231)</f>
        <v>0.20011968554407006</v>
      </c>
      <c r="J231" s="23">
        <v>-3.8999999999999998E-3</v>
      </c>
      <c r="Q231" s="7">
        <f t="shared" si="13"/>
        <v>6.818919050205216E-12</v>
      </c>
      <c r="R231" s="7">
        <f t="shared" si="12"/>
        <v>6.239954225188965E-12</v>
      </c>
    </row>
    <row r="232" spans="1:18" x14ac:dyDescent="0.25">
      <c r="A232" s="22">
        <v>44902</v>
      </c>
      <c r="B232" s="12">
        <v>202.87</v>
      </c>
      <c r="C232" s="13">
        <v>-6.1999999999999998E-3</v>
      </c>
      <c r="D232" s="7">
        <v>730</v>
      </c>
      <c r="E232" s="7">
        <v>-3.8999999999999998E-3</v>
      </c>
      <c r="F232" s="7">
        <v>407</v>
      </c>
      <c r="G232" s="8">
        <f t="shared" si="14"/>
        <v>4.1313866932194475E-6</v>
      </c>
      <c r="H232" s="9">
        <f t="shared" si="15"/>
        <v>1.2394160079660819E-7</v>
      </c>
      <c r="I232" s="10">
        <f>SUM($H$3:H232)</f>
        <v>0.20011980948567085</v>
      </c>
      <c r="J232" s="23">
        <v>-3.8999999999999998E-3</v>
      </c>
      <c r="Q232" s="7">
        <f t="shared" si="13"/>
        <v>7.0298134538198121E-12</v>
      </c>
      <c r="R232" s="7">
        <f t="shared" si="12"/>
        <v>6.4329425001948112E-12</v>
      </c>
    </row>
    <row r="233" spans="1:18" x14ac:dyDescent="0.25">
      <c r="A233" s="22">
        <v>44903</v>
      </c>
      <c r="B233" s="12">
        <v>203.62</v>
      </c>
      <c r="C233" s="13">
        <v>3.7000000000000002E-3</v>
      </c>
      <c r="D233" s="7">
        <v>729</v>
      </c>
      <c r="E233" s="7">
        <v>-3.8E-3</v>
      </c>
      <c r="F233" s="7">
        <v>533</v>
      </c>
      <c r="G233" s="8">
        <f t="shared" si="14"/>
        <v>8.8988597860399191E-8</v>
      </c>
      <c r="H233" s="9">
        <f t="shared" si="15"/>
        <v>2.6696579358125094E-9</v>
      </c>
      <c r="I233" s="10">
        <f>SUM($H$3:H233)</f>
        <v>0.20011981215532879</v>
      </c>
      <c r="J233" s="23">
        <v>-3.8E-3</v>
      </c>
      <c r="Q233" s="7">
        <f t="shared" si="13"/>
        <v>7.2472303647626906E-12</v>
      </c>
      <c r="R233" s="7">
        <f t="shared" si="12"/>
        <v>6.6318994847369168E-12</v>
      </c>
    </row>
    <row r="234" spans="1:18" x14ac:dyDescent="0.25">
      <c r="A234" s="22">
        <v>44904</v>
      </c>
      <c r="B234" s="12">
        <v>202.48</v>
      </c>
      <c r="C234" s="13">
        <v>-5.5999999999999999E-3</v>
      </c>
      <c r="D234" s="7">
        <v>728</v>
      </c>
      <c r="E234" s="7">
        <v>-3.8E-3</v>
      </c>
      <c r="F234" s="7">
        <v>267</v>
      </c>
      <c r="G234" s="8">
        <f t="shared" si="14"/>
        <v>2.9380085078942029E-4</v>
      </c>
      <c r="H234" s="9">
        <f t="shared" si="15"/>
        <v>8.8140255236843698E-6</v>
      </c>
      <c r="I234" s="10">
        <f>SUM($H$3:H234)</f>
        <v>0.20012862618085248</v>
      </c>
      <c r="J234" s="23">
        <v>-3.8E-3</v>
      </c>
      <c r="Q234" s="7">
        <f t="shared" si="13"/>
        <v>7.4713715100646308E-12</v>
      </c>
      <c r="R234" s="7">
        <f t="shared" si="12"/>
        <v>6.837009778079297E-12</v>
      </c>
    </row>
    <row r="235" spans="1:18" x14ac:dyDescent="0.25">
      <c r="A235" s="22">
        <v>44907</v>
      </c>
      <c r="B235" s="12">
        <v>202.61</v>
      </c>
      <c r="C235" s="13">
        <v>5.9999999999999995E-4</v>
      </c>
      <c r="D235" s="7">
        <v>727</v>
      </c>
      <c r="E235" s="7">
        <v>-3.7000000000000002E-3</v>
      </c>
      <c r="F235" s="7">
        <v>713</v>
      </c>
      <c r="G235" s="8">
        <f t="shared" si="14"/>
        <v>3.7003817623579634E-10</v>
      </c>
      <c r="H235" s="9">
        <f t="shared" si="15"/>
        <v>1.1101145287076109E-11</v>
      </c>
      <c r="I235" s="10">
        <f>SUM($H$3:H235)</f>
        <v>0.20012862619195362</v>
      </c>
      <c r="J235" s="23">
        <v>-3.7000000000000002E-3</v>
      </c>
      <c r="Q235" s="7">
        <f t="shared" si="13"/>
        <v>7.7024448557367326E-12</v>
      </c>
      <c r="R235" s="7">
        <f t="shared" si="12"/>
        <v>7.0484636887415429E-12</v>
      </c>
    </row>
    <row r="236" spans="1:18" x14ac:dyDescent="0.25">
      <c r="A236" s="22">
        <v>44908</v>
      </c>
      <c r="B236" s="12">
        <v>203.77</v>
      </c>
      <c r="C236" s="13">
        <v>5.7000000000000002E-3</v>
      </c>
      <c r="D236" s="7">
        <v>726</v>
      </c>
      <c r="E236" s="7">
        <v>-3.7000000000000002E-3</v>
      </c>
      <c r="F236" s="7">
        <v>622</v>
      </c>
      <c r="G236" s="8">
        <f t="shared" si="14"/>
        <v>5.9158712491806778E-9</v>
      </c>
      <c r="H236" s="9">
        <f t="shared" si="15"/>
        <v>1.7747613747545579E-10</v>
      </c>
      <c r="I236" s="10">
        <f>SUM($H$3:H236)</f>
        <v>0.20012862636942977</v>
      </c>
      <c r="J236" s="23">
        <v>-3.7000000000000002E-3</v>
      </c>
      <c r="Q236" s="7">
        <f t="shared" si="13"/>
        <v>7.9406647997285908E-12</v>
      </c>
      <c r="R236" s="7">
        <f t="shared" si="12"/>
        <v>7.2664574110737559E-12</v>
      </c>
    </row>
    <row r="237" spans="1:18" x14ac:dyDescent="0.25">
      <c r="A237" s="22">
        <v>44909</v>
      </c>
      <c r="B237" s="12">
        <v>204.35</v>
      </c>
      <c r="C237" s="13">
        <v>2.8E-3</v>
      </c>
      <c r="D237" s="7">
        <v>725</v>
      </c>
      <c r="E237" s="7">
        <v>-3.7000000000000002E-3</v>
      </c>
      <c r="F237" s="7">
        <v>94</v>
      </c>
      <c r="G237" s="8">
        <f t="shared" si="14"/>
        <v>5.7087762426612329E-2</v>
      </c>
      <c r="H237" s="9">
        <f t="shared" si="15"/>
        <v>1.7126328727987122E-3</v>
      </c>
      <c r="I237" s="10">
        <f>SUM($H$3:H237)</f>
        <v>0.20184125924222848</v>
      </c>
      <c r="J237" s="23">
        <v>-3.7000000000000002E-3</v>
      </c>
      <c r="Q237" s="7">
        <f t="shared" si="13"/>
        <v>8.186252370854218E-12</v>
      </c>
      <c r="R237" s="7">
        <f t="shared" si="12"/>
        <v>7.4911932072925329E-12</v>
      </c>
    </row>
    <row r="238" spans="1:18" x14ac:dyDescent="0.25">
      <c r="A238" s="22">
        <v>44910</v>
      </c>
      <c r="B238" s="12">
        <v>201.58</v>
      </c>
      <c r="C238" s="13">
        <v>-1.3599999999999999E-2</v>
      </c>
      <c r="D238" s="7">
        <v>724</v>
      </c>
      <c r="E238" s="7">
        <v>-3.7000000000000002E-3</v>
      </c>
      <c r="F238" s="7">
        <v>32</v>
      </c>
      <c r="G238" s="8">
        <f t="shared" si="14"/>
        <v>0.37730755079225703</v>
      </c>
      <c r="H238" s="9">
        <f t="shared" si="15"/>
        <v>1.1319226523769974E-2</v>
      </c>
      <c r="I238" s="10">
        <f>SUM($H$3:H238)</f>
        <v>0.21316048576599844</v>
      </c>
      <c r="J238" s="23">
        <v>-3.7000000000000002E-3</v>
      </c>
      <c r="Q238" s="7">
        <f t="shared" si="13"/>
        <v>8.4394354338703279E-12</v>
      </c>
      <c r="R238" s="7">
        <f t="shared" si="12"/>
        <v>7.7228795951469411E-12</v>
      </c>
    </row>
    <row r="239" spans="1:18" x14ac:dyDescent="0.25">
      <c r="A239" s="22">
        <v>44911</v>
      </c>
      <c r="B239" s="12">
        <v>200.16</v>
      </c>
      <c r="C239" s="13">
        <v>-7.0000000000000001E-3</v>
      </c>
      <c r="D239" s="7">
        <v>723</v>
      </c>
      <c r="E239" s="7">
        <v>-3.5999999999999999E-3</v>
      </c>
      <c r="F239" s="7">
        <v>733</v>
      </c>
      <c r="G239" s="8">
        <f t="shared" si="14"/>
        <v>2.0122466690395672E-10</v>
      </c>
      <c r="H239" s="9">
        <f t="shared" si="15"/>
        <v>6.0367400071199082E-12</v>
      </c>
      <c r="I239" s="10">
        <f>SUM($H$3:H239)</f>
        <v>0.21316048577203517</v>
      </c>
      <c r="J239" s="23">
        <v>-3.5999999999999999E-3</v>
      </c>
      <c r="Q239" s="7">
        <f t="shared" si="13"/>
        <v>8.7004489008972441E-12</v>
      </c>
      <c r="R239" s="7">
        <f t="shared" si="12"/>
        <v>7.9617315413885978E-12</v>
      </c>
    </row>
    <row r="240" spans="1:18" x14ac:dyDescent="0.25">
      <c r="A240" s="22">
        <v>44914</v>
      </c>
      <c r="B240" s="12">
        <v>201.67</v>
      </c>
      <c r="C240" s="13">
        <v>7.4999999999999997E-3</v>
      </c>
      <c r="D240" s="7">
        <v>722</v>
      </c>
      <c r="E240" s="7">
        <v>-3.5999999999999999E-3</v>
      </c>
      <c r="F240" s="7">
        <v>678</v>
      </c>
      <c r="G240" s="8">
        <f t="shared" si="14"/>
        <v>1.0745727732062562E-9</v>
      </c>
      <c r="H240" s="9">
        <f t="shared" si="15"/>
        <v>3.2237183196194128E-11</v>
      </c>
      <c r="I240" s="10">
        <f>SUM($H$3:H240)</f>
        <v>0.21316048580427235</v>
      </c>
      <c r="J240" s="23">
        <v>-3.5999999999999999E-3</v>
      </c>
      <c r="Q240" s="7">
        <f t="shared" si="13"/>
        <v>8.9695349493786037E-12</v>
      </c>
      <c r="R240" s="7">
        <f t="shared" si="12"/>
        <v>8.2079706612253593E-12</v>
      </c>
    </row>
    <row r="241" spans="1:18" x14ac:dyDescent="0.25">
      <c r="A241" s="22">
        <v>44915</v>
      </c>
      <c r="B241" s="12">
        <v>201.21</v>
      </c>
      <c r="C241" s="13">
        <v>-2.3E-3</v>
      </c>
      <c r="D241" s="7">
        <v>721</v>
      </c>
      <c r="E241" s="7">
        <v>-3.5999999999999999E-3</v>
      </c>
      <c r="F241" s="7">
        <v>632</v>
      </c>
      <c r="G241" s="8">
        <f t="shared" si="14"/>
        <v>4.3625061907498697E-9</v>
      </c>
      <c r="H241" s="9">
        <f t="shared" si="15"/>
        <v>1.3087518572252225E-10</v>
      </c>
      <c r="I241" s="10">
        <f>SUM($H$3:H241)</f>
        <v>0.21316048593514755</v>
      </c>
      <c r="J241" s="23">
        <v>-3.5999999999999999E-3</v>
      </c>
      <c r="Q241" s="7">
        <f t="shared" si="13"/>
        <v>9.2469432467820655E-12</v>
      </c>
      <c r="R241" s="7">
        <f t="shared" si="12"/>
        <v>8.4618254239436696E-12</v>
      </c>
    </row>
    <row r="242" spans="1:18" x14ac:dyDescent="0.25">
      <c r="A242" s="22">
        <v>44916</v>
      </c>
      <c r="B242" s="12">
        <v>199.4</v>
      </c>
      <c r="C242" s="13">
        <v>-8.9999999999999993E-3</v>
      </c>
      <c r="D242" s="7">
        <v>720</v>
      </c>
      <c r="E242" s="7">
        <v>-3.5999999999999999E-3</v>
      </c>
      <c r="F242" s="7">
        <v>621</v>
      </c>
      <c r="G242" s="8">
        <f t="shared" si="14"/>
        <v>6.0988363393615239E-9</v>
      </c>
      <c r="H242" s="9">
        <f t="shared" si="15"/>
        <v>1.8296509018088228E-10</v>
      </c>
      <c r="I242" s="10">
        <f>SUM($H$3:H242)</f>
        <v>0.21316048611811264</v>
      </c>
      <c r="J242" s="23">
        <v>-3.5999999999999999E-3</v>
      </c>
      <c r="Q242" s="7">
        <f t="shared" si="13"/>
        <v>9.5329311822495512E-12</v>
      </c>
      <c r="R242" s="7">
        <f t="shared" si="12"/>
        <v>8.72353136489038E-12</v>
      </c>
    </row>
    <row r="243" spans="1:18" x14ac:dyDescent="0.25">
      <c r="A243" s="22">
        <v>44917</v>
      </c>
      <c r="B243" s="12">
        <v>198.55</v>
      </c>
      <c r="C243" s="13">
        <v>-4.3E-3</v>
      </c>
      <c r="D243" s="7">
        <v>719</v>
      </c>
      <c r="E243" s="7">
        <v>-3.5999999999999999E-3</v>
      </c>
      <c r="F243" s="7">
        <v>548</v>
      </c>
      <c r="G243" s="8">
        <f t="shared" si="14"/>
        <v>5.6352135414713327E-8</v>
      </c>
      <c r="H243" s="9">
        <f t="shared" si="15"/>
        <v>1.6905640624417378E-9</v>
      </c>
      <c r="I243" s="10">
        <f>SUM($H$3:H243)</f>
        <v>0.21316048780867669</v>
      </c>
      <c r="J243" s="23">
        <v>-3.5999999999999999E-3</v>
      </c>
      <c r="Q243" s="7">
        <f t="shared" si="13"/>
        <v>9.8277641054119084E-12</v>
      </c>
      <c r="R243" s="7">
        <f t="shared" si="12"/>
        <v>8.9933313040107015E-12</v>
      </c>
    </row>
    <row r="244" spans="1:18" x14ac:dyDescent="0.25">
      <c r="A244" s="22">
        <v>44918</v>
      </c>
      <c r="B244" s="12">
        <v>195.15</v>
      </c>
      <c r="C244" s="13">
        <v>-1.7100000000000001E-2</v>
      </c>
      <c r="D244" s="7">
        <v>718</v>
      </c>
      <c r="E244" s="7">
        <v>-3.5999999999999999E-3</v>
      </c>
      <c r="F244" s="7">
        <v>479</v>
      </c>
      <c r="G244" s="8">
        <f t="shared" si="14"/>
        <v>4.609573174210284E-7</v>
      </c>
      <c r="H244" s="9">
        <f t="shared" si="15"/>
        <v>1.3828719522633616E-8</v>
      </c>
      <c r="I244" s="10">
        <f>SUM($H$3:H244)</f>
        <v>0.21316050163739622</v>
      </c>
      <c r="J244" s="23">
        <v>-3.5999999999999999E-3</v>
      </c>
      <c r="Q244" s="7">
        <f t="shared" si="13"/>
        <v>1.0131715572589598E-11</v>
      </c>
      <c r="R244" s="7">
        <f t="shared" si="12"/>
        <v>9.2714755711450543E-12</v>
      </c>
    </row>
    <row r="245" spans="1:18" x14ac:dyDescent="0.25">
      <c r="A245" s="22">
        <v>44921</v>
      </c>
      <c r="B245" s="12">
        <v>197.23</v>
      </c>
      <c r="C245" s="13">
        <v>1.0699999999999999E-2</v>
      </c>
      <c r="D245" s="7">
        <v>717</v>
      </c>
      <c r="E245" s="7">
        <v>-3.5999999999999999E-3</v>
      </c>
      <c r="F245" s="7">
        <v>453</v>
      </c>
      <c r="G245" s="8">
        <f t="shared" si="14"/>
        <v>1.017643405419935E-6</v>
      </c>
      <c r="H245" s="9">
        <f t="shared" si="15"/>
        <v>3.0529302162604152E-8</v>
      </c>
      <c r="I245" s="10">
        <f>SUM($H$3:H245)</f>
        <v>0.21316053216669839</v>
      </c>
      <c r="J245" s="23">
        <v>-3.5999999999999999E-3</v>
      </c>
      <c r="Q245" s="7">
        <f t="shared" si="13"/>
        <v>1.0445067600607833E-11</v>
      </c>
      <c r="R245" s="7">
        <f t="shared" si="12"/>
        <v>9.558222238293871E-12</v>
      </c>
    </row>
    <row r="246" spans="1:18" x14ac:dyDescent="0.25">
      <c r="A246" s="22">
        <v>44922</v>
      </c>
      <c r="B246" s="12">
        <v>198</v>
      </c>
      <c r="C246" s="13">
        <v>3.8999999999999998E-3</v>
      </c>
      <c r="D246" s="7">
        <v>716</v>
      </c>
      <c r="E246" s="7">
        <v>-3.5999999999999999E-3</v>
      </c>
      <c r="F246" s="7">
        <v>264</v>
      </c>
      <c r="G246" s="8">
        <f t="shared" si="14"/>
        <v>3.219125040287379E-4</v>
      </c>
      <c r="H246" s="9">
        <f t="shared" si="15"/>
        <v>9.6573751208640681E-6</v>
      </c>
      <c r="I246" s="10">
        <f>SUM($H$3:H246)</f>
        <v>0.21317018954181927</v>
      </c>
      <c r="J246" s="23">
        <v>-3.5999999999999999E-3</v>
      </c>
      <c r="Q246" s="7">
        <f t="shared" si="13"/>
        <v>1.0768110928461683E-11</v>
      </c>
      <c r="R246" s="7">
        <f t="shared" si="12"/>
        <v>9.853837359065845E-12</v>
      </c>
    </row>
    <row r="247" spans="1:18" x14ac:dyDescent="0.25">
      <c r="A247" s="22">
        <v>44923</v>
      </c>
      <c r="B247" s="12">
        <v>197.99</v>
      </c>
      <c r="C247" s="13">
        <v>-1E-4</v>
      </c>
      <c r="D247" s="7">
        <v>715</v>
      </c>
      <c r="E247" s="7">
        <v>-3.5999999999999999E-3</v>
      </c>
      <c r="F247" s="7">
        <v>206</v>
      </c>
      <c r="G247" s="8">
        <f t="shared" si="14"/>
        <v>1.8835504577238557E-3</v>
      </c>
      <c r="H247" s="9">
        <f t="shared" si="15"/>
        <v>5.6506513731726963E-5</v>
      </c>
      <c r="I247" s="10">
        <f>SUM($H$3:H247)</f>
        <v>0.213226696055551</v>
      </c>
      <c r="J247" s="23">
        <v>-3.5999999999999999E-3</v>
      </c>
      <c r="Q247" s="7">
        <f t="shared" si="13"/>
        <v>1.11011452870739E-11</v>
      </c>
      <c r="R247" s="7">
        <f t="shared" si="12"/>
        <v>1.01585952155318E-11</v>
      </c>
    </row>
    <row r="248" spans="1:18" x14ac:dyDescent="0.25">
      <c r="A248" s="22">
        <v>44924</v>
      </c>
      <c r="B248" s="12">
        <v>198.78</v>
      </c>
      <c r="C248" s="13">
        <v>4.0000000000000001E-3</v>
      </c>
      <c r="D248" s="7">
        <v>714</v>
      </c>
      <c r="E248" s="7">
        <v>-3.5999999999999999E-3</v>
      </c>
      <c r="F248" s="7">
        <v>126</v>
      </c>
      <c r="G248" s="8">
        <f t="shared" si="14"/>
        <v>2.1539643821395334E-2</v>
      </c>
      <c r="H248" s="9">
        <f t="shared" si="15"/>
        <v>6.4618931464198914E-4</v>
      </c>
      <c r="I248" s="10">
        <f>SUM($H$3:H248)</f>
        <v>0.213872885370193</v>
      </c>
      <c r="J248" s="23">
        <v>-3.5999999999999999E-3</v>
      </c>
      <c r="Q248" s="7">
        <f t="shared" si="13"/>
        <v>1.1444479677395775E-11</v>
      </c>
      <c r="R248" s="7">
        <f t="shared" si="12"/>
        <v>1.0472778572713197E-11</v>
      </c>
    </row>
    <row r="249" spans="1:18" x14ac:dyDescent="0.25">
      <c r="A249" s="22">
        <v>44925</v>
      </c>
      <c r="B249" s="12">
        <v>198.04</v>
      </c>
      <c r="C249" s="13">
        <v>-3.7000000000000002E-3</v>
      </c>
      <c r="D249" s="7">
        <v>713</v>
      </c>
      <c r="E249" s="7">
        <v>-3.5999999999999999E-3</v>
      </c>
      <c r="F249" s="7">
        <v>27</v>
      </c>
      <c r="G249" s="8">
        <f t="shared" si="14"/>
        <v>0.43937650017383845</v>
      </c>
      <c r="H249" s="9">
        <f t="shared" si="15"/>
        <v>1.3181295005217789E-2</v>
      </c>
      <c r="I249" s="10">
        <f>SUM($H$3:H249)</f>
        <v>0.22705418037541078</v>
      </c>
      <c r="J249" s="23">
        <v>-3.5999999999999999E-3</v>
      </c>
      <c r="Q249" s="7">
        <f t="shared" si="13"/>
        <v>1.1798432657109043E-11</v>
      </c>
      <c r="R249" s="7">
        <f t="shared" si="12"/>
        <v>1.0796678940941437E-11</v>
      </c>
    </row>
    <row r="250" spans="1:18" x14ac:dyDescent="0.25">
      <c r="A250" s="22">
        <v>44928</v>
      </c>
      <c r="B250" s="12">
        <v>199.34</v>
      </c>
      <c r="C250" s="13">
        <v>6.6E-3</v>
      </c>
      <c r="D250" s="7">
        <v>712</v>
      </c>
      <c r="E250" s="7">
        <v>-3.5000000000000001E-3</v>
      </c>
      <c r="F250" s="7">
        <v>787</v>
      </c>
      <c r="G250" s="8">
        <f t="shared" si="14"/>
        <v>3.8846765819650478E-11</v>
      </c>
      <c r="H250" s="9">
        <f t="shared" si="15"/>
        <v>1.1654029745897473E-12</v>
      </c>
      <c r="I250" s="10">
        <f>SUM($H$3:H250)</f>
        <v>0.22705418037657618</v>
      </c>
      <c r="J250" s="23">
        <v>-3.5000000000000001E-3</v>
      </c>
      <c r="Q250" s="7">
        <f t="shared" si="13"/>
        <v>1.2163332636194895E-11</v>
      </c>
      <c r="R250" s="7">
        <f t="shared" si="12"/>
        <v>1.1130596846331383E-11</v>
      </c>
    </row>
    <row r="251" spans="1:18" x14ac:dyDescent="0.25">
      <c r="A251" s="22">
        <v>44929</v>
      </c>
      <c r="B251" s="12">
        <v>199.68</v>
      </c>
      <c r="C251" s="13">
        <v>1.6999999999999999E-3</v>
      </c>
      <c r="D251" s="7">
        <v>711</v>
      </c>
      <c r="E251" s="7">
        <v>-3.5000000000000001E-3</v>
      </c>
      <c r="F251" s="7">
        <v>759</v>
      </c>
      <c r="G251" s="8">
        <f t="shared" si="14"/>
        <v>9.1147824631862811E-11</v>
      </c>
      <c r="H251" s="9">
        <f t="shared" si="15"/>
        <v>2.7344347389564308E-12</v>
      </c>
      <c r="I251" s="10">
        <f>SUM($H$3:H251)</f>
        <v>0.22705418037931061</v>
      </c>
      <c r="J251" s="23">
        <v>-3.5000000000000001E-3</v>
      </c>
      <c r="Q251" s="7">
        <f t="shared" si="13"/>
        <v>1.2539518181644218E-11</v>
      </c>
      <c r="R251" s="7">
        <f t="shared" si="12"/>
        <v>1.147484210961998E-11</v>
      </c>
    </row>
    <row r="252" spans="1:18" x14ac:dyDescent="0.25">
      <c r="A252" s="22">
        <v>44930</v>
      </c>
      <c r="B252" s="12">
        <v>197.67</v>
      </c>
      <c r="C252" s="13">
        <v>-1.01E-2</v>
      </c>
      <c r="D252" s="7">
        <v>710</v>
      </c>
      <c r="E252" s="7">
        <v>-3.5000000000000001E-3</v>
      </c>
      <c r="F252" s="7">
        <v>642</v>
      </c>
      <c r="G252" s="8">
        <f t="shared" si="14"/>
        <v>3.2170173187874423E-9</v>
      </c>
      <c r="H252" s="9">
        <f t="shared" si="15"/>
        <v>9.6510519563642557E-11</v>
      </c>
      <c r="I252" s="10">
        <f>SUM($H$3:H252)</f>
        <v>0.22705418047582113</v>
      </c>
      <c r="J252" s="23">
        <v>-3.5000000000000001E-3</v>
      </c>
      <c r="Q252" s="7">
        <f t="shared" si="13"/>
        <v>1.292733833159198E-11</v>
      </c>
      <c r="R252" s="7">
        <f t="shared" si="12"/>
        <v>1.1829734133628848E-11</v>
      </c>
    </row>
    <row r="253" spans="1:18" x14ac:dyDescent="0.25">
      <c r="A253" s="22">
        <v>44931</v>
      </c>
      <c r="B253" s="12">
        <v>197.07</v>
      </c>
      <c r="C253" s="13">
        <v>-3.0000000000000001E-3</v>
      </c>
      <c r="D253" s="7">
        <v>709</v>
      </c>
      <c r="E253" s="7">
        <v>-3.5000000000000001E-3</v>
      </c>
      <c r="F253" s="7">
        <v>211</v>
      </c>
      <c r="G253" s="8">
        <f t="shared" si="14"/>
        <v>1.6174688671702841E-3</v>
      </c>
      <c r="H253" s="9">
        <f t="shared" si="15"/>
        <v>4.8524066015118222E-5</v>
      </c>
      <c r="I253" s="10">
        <f>SUM($H$3:H253)</f>
        <v>0.22710270454183626</v>
      </c>
      <c r="J253" s="23">
        <v>-3.5000000000000001E-3</v>
      </c>
      <c r="Q253" s="7">
        <f t="shared" si="13"/>
        <v>1.332715291916699E-11</v>
      </c>
      <c r="R253" s="7">
        <f t="shared" si="12"/>
        <v>1.2195602199617369E-11</v>
      </c>
    </row>
    <row r="254" spans="1:18" x14ac:dyDescent="0.25">
      <c r="A254" s="22">
        <v>44932</v>
      </c>
      <c r="B254" s="12">
        <v>195.72</v>
      </c>
      <c r="C254" s="13">
        <v>-6.8999999999999999E-3</v>
      </c>
      <c r="D254" s="7">
        <v>708</v>
      </c>
      <c r="E254" s="7">
        <v>-3.3999999999999998E-3</v>
      </c>
      <c r="F254" s="7">
        <v>835</v>
      </c>
      <c r="G254" s="8">
        <f t="shared" si="14"/>
        <v>9.0032251774842393E-12</v>
      </c>
      <c r="H254" s="9">
        <f t="shared" si="15"/>
        <v>2.7009675532458116E-13</v>
      </c>
      <c r="I254" s="10">
        <f>SUM($H$3:H254)</f>
        <v>0.22710270454210635</v>
      </c>
      <c r="J254" s="23">
        <v>-3.3999999999999998E-3</v>
      </c>
      <c r="Q254" s="7">
        <f t="shared" si="13"/>
        <v>1.3739332906357722E-11</v>
      </c>
      <c r="R254" s="7">
        <f t="shared" si="12"/>
        <v>1.2572785772801412E-11</v>
      </c>
    </row>
    <row r="255" spans="1:18" x14ac:dyDescent="0.25">
      <c r="A255" s="22">
        <v>44935</v>
      </c>
      <c r="B255" s="12">
        <v>198.28</v>
      </c>
      <c r="C255" s="13">
        <v>1.3100000000000001E-2</v>
      </c>
      <c r="D255" s="7">
        <v>707</v>
      </c>
      <c r="E255" s="7">
        <v>-3.3999999999999998E-3</v>
      </c>
      <c r="F255" s="7">
        <v>612</v>
      </c>
      <c r="G255" s="8">
        <f t="shared" si="14"/>
        <v>8.0223456670595223E-9</v>
      </c>
      <c r="H255" s="9">
        <f t="shared" si="15"/>
        <v>2.4067037001183375E-10</v>
      </c>
      <c r="I255" s="10">
        <f>SUM($H$3:H255)</f>
        <v>0.22710270478277672</v>
      </c>
      <c r="J255" s="23">
        <v>-3.3999999999999998E-3</v>
      </c>
      <c r="Q255" s="7">
        <f t="shared" si="13"/>
        <v>1.4164260728203836E-11</v>
      </c>
      <c r="R255" s="7">
        <f t="shared" si="12"/>
        <v>1.2961634817321042E-11</v>
      </c>
    </row>
    <row r="256" spans="1:18" x14ac:dyDescent="0.25">
      <c r="A256" s="22">
        <v>44936</v>
      </c>
      <c r="B256" s="12">
        <v>196.13</v>
      </c>
      <c r="C256" s="13">
        <v>-1.0800000000000001E-2</v>
      </c>
      <c r="D256" s="7">
        <v>706</v>
      </c>
      <c r="E256" s="7">
        <v>-3.3999999999999998E-3</v>
      </c>
      <c r="F256" s="7">
        <v>575</v>
      </c>
      <c r="G256" s="8">
        <f t="shared" si="14"/>
        <v>2.4759804035838955E-8</v>
      </c>
      <c r="H256" s="9">
        <f t="shared" si="15"/>
        <v>7.4279412107531714E-10</v>
      </c>
      <c r="I256" s="10">
        <f>SUM($H$3:H256)</f>
        <v>0.22710270552557085</v>
      </c>
      <c r="J256" s="23">
        <v>-3.3999999999999998E-3</v>
      </c>
      <c r="Q256" s="7">
        <f t="shared" si="13"/>
        <v>1.4602330647632819E-11</v>
      </c>
      <c r="R256" s="7">
        <f t="shared" si="12"/>
        <v>1.3362510120949526E-11</v>
      </c>
    </row>
    <row r="257" spans="1:18" x14ac:dyDescent="0.25">
      <c r="A257" s="22">
        <v>44937</v>
      </c>
      <c r="B257" s="12">
        <v>196.13</v>
      </c>
      <c r="C257" s="13">
        <v>0</v>
      </c>
      <c r="D257" s="7">
        <v>705</v>
      </c>
      <c r="E257" s="7">
        <v>-3.3999999999999998E-3</v>
      </c>
      <c r="F257" s="7">
        <v>455</v>
      </c>
      <c r="G257" s="8">
        <f t="shared" si="14"/>
        <v>9.5750068015961666E-7</v>
      </c>
      <c r="H257" s="9">
        <f t="shared" si="15"/>
        <v>2.872502040479424E-8</v>
      </c>
      <c r="I257" s="10">
        <f>SUM($H$3:H257)</f>
        <v>0.22710273425059127</v>
      </c>
      <c r="J257" s="23">
        <v>-3.3999999999999998E-3</v>
      </c>
      <c r="Q257" s="7">
        <f t="shared" si="13"/>
        <v>1.5053949121270944E-11</v>
      </c>
      <c r="R257" s="7">
        <f t="shared" si="12"/>
        <v>1.3775783629844869E-11</v>
      </c>
    </row>
    <row r="258" spans="1:18" x14ac:dyDescent="0.25">
      <c r="A258" s="22">
        <v>44938</v>
      </c>
      <c r="B258" s="12">
        <v>195.61</v>
      </c>
      <c r="C258" s="13">
        <v>-2.7000000000000001E-3</v>
      </c>
      <c r="D258" s="7">
        <v>704</v>
      </c>
      <c r="E258" s="7">
        <v>-3.3999999999999998E-3</v>
      </c>
      <c r="F258" s="7">
        <v>0</v>
      </c>
      <c r="G258" s="8">
        <f t="shared" si="14"/>
        <v>1</v>
      </c>
      <c r="H258" s="9">
        <f t="shared" si="15"/>
        <v>3.0000000000005998E-2</v>
      </c>
      <c r="I258" s="10">
        <f>SUM($H$3:H258)</f>
        <v>0.25710273425059726</v>
      </c>
      <c r="J258" s="23">
        <v>-3.3999999999999998E-3</v>
      </c>
      <c r="Q258" s="7">
        <f t="shared" si="13"/>
        <v>1.5519535176567985E-11</v>
      </c>
      <c r="R258" s="7">
        <f t="shared" ref="R258:R321" si="16">Q258/$U$2</f>
        <v>1.4201838793654505E-11</v>
      </c>
    </row>
    <row r="259" spans="1:18" x14ac:dyDescent="0.25">
      <c r="A259" s="22">
        <v>44939</v>
      </c>
      <c r="B259" s="12">
        <v>196.61</v>
      </c>
      <c r="C259" s="13">
        <v>5.1000000000000004E-3</v>
      </c>
      <c r="D259" s="7">
        <v>703</v>
      </c>
      <c r="E259" s="7">
        <v>-3.3E-3</v>
      </c>
      <c r="F259" s="7">
        <v>897</v>
      </c>
      <c r="G259" s="8">
        <f t="shared" si="14"/>
        <v>1.3622149329540069E-12</v>
      </c>
      <c r="H259" s="9">
        <f t="shared" si="15"/>
        <v>4.0866447988628377E-14</v>
      </c>
      <c r="I259" s="10">
        <f>SUM($H$3:H259)</f>
        <v>0.25710273425063812</v>
      </c>
      <c r="J259" s="23">
        <v>-3.3E-3</v>
      </c>
      <c r="Q259" s="7">
        <f t="shared" ref="Q259:Q322" si="17">(1-$N$3) * $N$3^(D260-1)</f>
        <v>1.5999520800585551E-11</v>
      </c>
      <c r="R259" s="7">
        <f t="shared" si="16"/>
        <v>1.4641070921293304E-11</v>
      </c>
    </row>
    <row r="260" spans="1:18" x14ac:dyDescent="0.25">
      <c r="A260" s="22">
        <v>44942</v>
      </c>
      <c r="B260" s="12">
        <v>196.06</v>
      </c>
      <c r="C260" s="13">
        <v>-2.8E-3</v>
      </c>
      <c r="D260" s="7">
        <v>702</v>
      </c>
      <c r="E260" s="7">
        <v>-3.3E-3</v>
      </c>
      <c r="F260" s="7">
        <v>850</v>
      </c>
      <c r="G260" s="8">
        <f t="shared" ref="G260:G323" si="18">$N$3^F260</f>
        <v>5.7013030497081746E-12</v>
      </c>
      <c r="H260" s="9">
        <f t="shared" si="15"/>
        <v>1.7103909149127941E-13</v>
      </c>
      <c r="I260" s="10">
        <f>SUM($H$3:H260)</f>
        <v>0.25710273425080915</v>
      </c>
      <c r="J260" s="23">
        <v>-3.3E-3</v>
      </c>
      <c r="Q260" s="7">
        <f t="shared" si="17"/>
        <v>1.6494351340809851E-11</v>
      </c>
      <c r="R260" s="7">
        <f t="shared" si="16"/>
        <v>1.5093887547725059E-11</v>
      </c>
    </row>
    <row r="261" spans="1:18" x14ac:dyDescent="0.25">
      <c r="A261" s="22">
        <v>44943</v>
      </c>
      <c r="B261" s="12">
        <v>197.47</v>
      </c>
      <c r="C261" s="13">
        <v>7.1999999999999998E-3</v>
      </c>
      <c r="D261" s="7">
        <v>701</v>
      </c>
      <c r="E261" s="7">
        <v>-3.3E-3</v>
      </c>
      <c r="F261" s="7">
        <v>744</v>
      </c>
      <c r="G261" s="8">
        <f t="shared" si="18"/>
        <v>1.4393628657233186E-10</v>
      </c>
      <c r="H261" s="9">
        <f t="shared" ref="H261:H324" si="19">G261/$N$4</f>
        <v>4.3180885971708188E-12</v>
      </c>
      <c r="I261" s="10">
        <f>SUM($H$3:H261)</f>
        <v>0.25710273425512725</v>
      </c>
      <c r="J261" s="23">
        <v>-3.3E-3</v>
      </c>
      <c r="Q261" s="7">
        <f t="shared" si="17"/>
        <v>1.7004485918360667E-11</v>
      </c>
      <c r="R261" s="7">
        <f t="shared" si="16"/>
        <v>1.5560708812087688E-11</v>
      </c>
    </row>
    <row r="262" spans="1:18" x14ac:dyDescent="0.25">
      <c r="A262" s="22">
        <v>44944</v>
      </c>
      <c r="B262" s="12">
        <v>198.65</v>
      </c>
      <c r="C262" s="13">
        <v>6.0000000000000001E-3</v>
      </c>
      <c r="D262" s="7">
        <v>700</v>
      </c>
      <c r="E262" s="7">
        <v>-3.3E-3</v>
      </c>
      <c r="F262" s="7">
        <v>688</v>
      </c>
      <c r="G262" s="8">
        <f t="shared" si="18"/>
        <v>7.9241588906668522E-10</v>
      </c>
      <c r="H262" s="9">
        <f t="shared" si="19"/>
        <v>2.3772476672005307E-11</v>
      </c>
      <c r="I262" s="10">
        <f>SUM($H$3:H262)</f>
        <v>0.25710273427889974</v>
      </c>
      <c r="J262" s="23">
        <v>-3.3E-3</v>
      </c>
      <c r="Q262" s="7">
        <f t="shared" si="17"/>
        <v>1.7530397853980072E-11</v>
      </c>
      <c r="R262" s="7">
        <f t="shared" si="16"/>
        <v>1.6041967847513082E-11</v>
      </c>
    </row>
    <row r="263" spans="1:18" x14ac:dyDescent="0.25">
      <c r="A263" s="22">
        <v>44945</v>
      </c>
      <c r="B263" s="12">
        <v>198.43</v>
      </c>
      <c r="C263" s="13">
        <v>-1.1000000000000001E-3</v>
      </c>
      <c r="D263" s="7">
        <v>699</v>
      </c>
      <c r="E263" s="7">
        <v>-3.3E-3</v>
      </c>
      <c r="F263" s="7">
        <v>611</v>
      </c>
      <c r="G263" s="8">
        <f t="shared" si="18"/>
        <v>8.2704594505768268E-9</v>
      </c>
      <c r="H263" s="9">
        <f t="shared" si="19"/>
        <v>2.4811378351735438E-10</v>
      </c>
      <c r="I263" s="10">
        <f>SUM($H$3:H263)</f>
        <v>0.25710273452701354</v>
      </c>
      <c r="J263" s="23">
        <v>-3.3E-3</v>
      </c>
      <c r="Q263" s="7">
        <f t="shared" si="17"/>
        <v>1.807257510719595E-11</v>
      </c>
      <c r="R263" s="7">
        <f t="shared" si="16"/>
        <v>1.6538111183003177E-11</v>
      </c>
    </row>
    <row r="264" spans="1:18" x14ac:dyDescent="0.25">
      <c r="A264" s="22">
        <v>44946</v>
      </c>
      <c r="B264" s="12">
        <v>197.45</v>
      </c>
      <c r="C264" s="13">
        <v>-4.8999999999999998E-3</v>
      </c>
      <c r="D264" s="7">
        <v>698</v>
      </c>
      <c r="E264" s="7">
        <v>-3.3E-3</v>
      </c>
      <c r="F264" s="7">
        <v>557</v>
      </c>
      <c r="G264" s="8">
        <f t="shared" si="18"/>
        <v>4.2840643563772922E-8</v>
      </c>
      <c r="H264" s="9">
        <f t="shared" si="19"/>
        <v>1.2852193069134445E-9</v>
      </c>
      <c r="I264" s="10">
        <f>SUM($H$3:H264)</f>
        <v>0.25710273581223286</v>
      </c>
      <c r="J264" s="23">
        <v>-3.3E-3</v>
      </c>
      <c r="Q264" s="7">
        <f t="shared" si="17"/>
        <v>1.8631520729067993E-11</v>
      </c>
      <c r="R264" s="7">
        <f t="shared" si="16"/>
        <v>1.7049599157735239E-11</v>
      </c>
    </row>
    <row r="265" spans="1:18" x14ac:dyDescent="0.25">
      <c r="A265" s="22">
        <v>44949</v>
      </c>
      <c r="B265" s="12">
        <v>198.44</v>
      </c>
      <c r="C265" s="13">
        <v>5.0000000000000001E-3</v>
      </c>
      <c r="D265" s="7">
        <v>697</v>
      </c>
      <c r="E265" s="7">
        <v>-3.3E-3</v>
      </c>
      <c r="F265" s="7">
        <v>427</v>
      </c>
      <c r="G265" s="8">
        <f t="shared" si="18"/>
        <v>2.2466247122155759E-6</v>
      </c>
      <c r="H265" s="9">
        <f t="shared" si="19"/>
        <v>6.7398741366480749E-8</v>
      </c>
      <c r="I265" s="10">
        <f>SUM($H$3:H265)</f>
        <v>0.25710280321097423</v>
      </c>
      <c r="J265" s="23">
        <v>-3.3E-3</v>
      </c>
      <c r="Q265" s="7">
        <f t="shared" si="17"/>
        <v>1.9207753328936073E-11</v>
      </c>
      <c r="R265" s="7">
        <f t="shared" si="16"/>
        <v>1.7576906348180657E-11</v>
      </c>
    </row>
    <row r="266" spans="1:18" x14ac:dyDescent="0.25">
      <c r="A266" s="22">
        <v>44950</v>
      </c>
      <c r="B266" s="12">
        <v>198.42</v>
      </c>
      <c r="C266" s="13">
        <v>-1E-4</v>
      </c>
      <c r="D266" s="7">
        <v>696</v>
      </c>
      <c r="E266" s="7">
        <v>-3.3E-3</v>
      </c>
      <c r="F266" s="7">
        <v>387</v>
      </c>
      <c r="G266" s="8">
        <f t="shared" si="18"/>
        <v>7.5973329751537585E-6</v>
      </c>
      <c r="H266" s="9">
        <f t="shared" si="19"/>
        <v>2.2791998925465832E-7</v>
      </c>
      <c r="I266" s="10">
        <f>SUM($H$3:H266)</f>
        <v>0.2571030311309635</v>
      </c>
      <c r="J266" s="23">
        <v>-3.3E-3</v>
      </c>
      <c r="Q266" s="7">
        <f t="shared" si="17"/>
        <v>1.9801807555604201E-11</v>
      </c>
      <c r="R266" s="7">
        <f t="shared" si="16"/>
        <v>1.8120522008433667E-11</v>
      </c>
    </row>
    <row r="267" spans="1:18" x14ac:dyDescent="0.25">
      <c r="A267" s="22">
        <v>44951</v>
      </c>
      <c r="B267" s="12">
        <v>196.04</v>
      </c>
      <c r="C267" s="13">
        <v>-1.2E-2</v>
      </c>
      <c r="D267" s="7">
        <v>695</v>
      </c>
      <c r="E267" s="7">
        <v>-3.3E-3</v>
      </c>
      <c r="F267" s="7">
        <v>271</v>
      </c>
      <c r="G267" s="8">
        <f t="shared" si="18"/>
        <v>2.6009978077575657E-4</v>
      </c>
      <c r="H267" s="9">
        <f t="shared" si="19"/>
        <v>7.8029934232742566E-6</v>
      </c>
      <c r="I267" s="10">
        <f>SUM($H$3:H267)</f>
        <v>0.25711083412438679</v>
      </c>
      <c r="J267" s="23">
        <v>-3.3E-3</v>
      </c>
      <c r="Q267" s="7">
        <f t="shared" si="17"/>
        <v>2.0414234593406394E-11</v>
      </c>
      <c r="R267" s="7">
        <f t="shared" si="16"/>
        <v>1.868095052415842E-11</v>
      </c>
    </row>
    <row r="268" spans="1:18" x14ac:dyDescent="0.25">
      <c r="A268" s="22">
        <v>44953</v>
      </c>
      <c r="B268" s="12">
        <v>193</v>
      </c>
      <c r="C268" s="13">
        <v>-1.55E-2</v>
      </c>
      <c r="D268" s="7">
        <v>694</v>
      </c>
      <c r="E268" s="7">
        <v>-3.3E-3</v>
      </c>
      <c r="F268" s="7">
        <v>195</v>
      </c>
      <c r="G268" s="8">
        <f t="shared" si="18"/>
        <v>2.6332262869781069E-3</v>
      </c>
      <c r="H268" s="9">
        <f t="shared" si="19"/>
        <v>7.8996788609358995E-5</v>
      </c>
      <c r="I268" s="10">
        <f>SUM($H$3:H268)</f>
        <v>0.25718983091299613</v>
      </c>
      <c r="J268" s="23">
        <v>-3.3E-3</v>
      </c>
      <c r="Q268" s="7">
        <f t="shared" si="17"/>
        <v>2.1045602673614837E-11</v>
      </c>
      <c r="R268" s="7">
        <f t="shared" si="16"/>
        <v>1.9258711880575689E-11</v>
      </c>
    </row>
    <row r="269" spans="1:18" x14ac:dyDescent="0.25">
      <c r="A269" s="22">
        <v>44956</v>
      </c>
      <c r="B269" s="12">
        <v>193.25</v>
      </c>
      <c r="C269" s="13">
        <v>1.2999999999999999E-3</v>
      </c>
      <c r="D269" s="7">
        <v>693</v>
      </c>
      <c r="E269" s="7">
        <v>-3.3E-3</v>
      </c>
      <c r="F269" s="7">
        <v>191</v>
      </c>
      <c r="G269" s="8">
        <f t="shared" si="18"/>
        <v>2.9744128239086298E-3</v>
      </c>
      <c r="H269" s="9">
        <f t="shared" si="19"/>
        <v>8.9232384717276728E-5</v>
      </c>
      <c r="I269" s="10">
        <f>SUM($H$3:H269)</f>
        <v>0.25727906329771338</v>
      </c>
      <c r="J269" s="23">
        <v>-3.3E-3</v>
      </c>
      <c r="Q269" s="7">
        <f t="shared" si="17"/>
        <v>2.1696497601664779E-11</v>
      </c>
      <c r="R269" s="7">
        <f t="shared" si="16"/>
        <v>1.9854342144923391E-11</v>
      </c>
    </row>
    <row r="270" spans="1:18" x14ac:dyDescent="0.25">
      <c r="A270" s="22">
        <v>44957</v>
      </c>
      <c r="B270" s="12">
        <v>193.44</v>
      </c>
      <c r="C270" s="13">
        <v>1E-3</v>
      </c>
      <c r="D270" s="7">
        <v>692</v>
      </c>
      <c r="E270" s="7">
        <v>-3.3E-3</v>
      </c>
      <c r="F270" s="7">
        <v>23</v>
      </c>
      <c r="G270" s="8">
        <f t="shared" si="18"/>
        <v>0.49630641434198303</v>
      </c>
      <c r="H270" s="9">
        <f t="shared" si="19"/>
        <v>1.4889192430262467E-2</v>
      </c>
      <c r="I270" s="10">
        <f>SUM($H$3:H270)</f>
        <v>0.27216825572797587</v>
      </c>
      <c r="J270" s="23">
        <v>-3.3E-3</v>
      </c>
      <c r="Q270" s="7">
        <f t="shared" si="17"/>
        <v>2.2367523300685343E-11</v>
      </c>
      <c r="R270" s="7">
        <f t="shared" si="16"/>
        <v>2.0468393963838551E-11</v>
      </c>
    </row>
    <row r="271" spans="1:18" x14ac:dyDescent="0.25">
      <c r="A271" s="22">
        <v>44958</v>
      </c>
      <c r="B271" s="12">
        <v>193.13</v>
      </c>
      <c r="C271" s="13">
        <v>-1.6000000000000001E-3</v>
      </c>
      <c r="D271" s="7">
        <v>691</v>
      </c>
      <c r="E271" s="7">
        <v>-3.2000000000000002E-3</v>
      </c>
      <c r="F271" s="7">
        <v>350</v>
      </c>
      <c r="G271" s="8">
        <f t="shared" si="18"/>
        <v>2.3448064128203158E-5</v>
      </c>
      <c r="H271" s="9">
        <f t="shared" si="19"/>
        <v>7.034419238462353E-7</v>
      </c>
      <c r="I271" s="10">
        <f>SUM($H$3:H271)</f>
        <v>0.27216895916989969</v>
      </c>
      <c r="J271" s="23">
        <v>-3.2000000000000002E-3</v>
      </c>
      <c r="Q271" s="7">
        <f t="shared" si="17"/>
        <v>2.3059302371840559E-11</v>
      </c>
      <c r="R271" s="7">
        <f t="shared" si="16"/>
        <v>2.1101437076122216E-11</v>
      </c>
    </row>
    <row r="272" spans="1:18" x14ac:dyDescent="0.25">
      <c r="A272" s="22">
        <v>44959</v>
      </c>
      <c r="B272" s="12">
        <v>192.91</v>
      </c>
      <c r="C272" s="13">
        <v>-1.1000000000000001E-3</v>
      </c>
      <c r="D272" s="7">
        <v>690</v>
      </c>
      <c r="E272" s="7">
        <v>-3.2000000000000002E-3</v>
      </c>
      <c r="F272" s="7">
        <v>231</v>
      </c>
      <c r="G272" s="8">
        <f t="shared" si="18"/>
        <v>8.7957041982733477E-4</v>
      </c>
      <c r="H272" s="9">
        <f t="shared" si="19"/>
        <v>2.6387112594825316E-5</v>
      </c>
      <c r="I272" s="10">
        <f>SUM($H$3:H272)</f>
        <v>0.27219534628249453</v>
      </c>
      <c r="J272" s="23">
        <v>-3.2000000000000002E-3</v>
      </c>
      <c r="Q272" s="7">
        <f t="shared" si="17"/>
        <v>2.3772476672000577E-11</v>
      </c>
      <c r="R272" s="7">
        <f t="shared" si="16"/>
        <v>2.1754058841363108E-11</v>
      </c>
    </row>
    <row r="273" spans="1:18" x14ac:dyDescent="0.25">
      <c r="A273" s="22">
        <v>44960</v>
      </c>
      <c r="B273" s="12">
        <v>195.12</v>
      </c>
      <c r="C273" s="13">
        <v>1.15E-2</v>
      </c>
      <c r="D273" s="7">
        <v>689</v>
      </c>
      <c r="E273" s="7">
        <v>-3.2000000000000002E-3</v>
      </c>
      <c r="F273" s="7">
        <v>142</v>
      </c>
      <c r="G273" s="8">
        <f t="shared" si="18"/>
        <v>1.3230804911577049E-2</v>
      </c>
      <c r="H273" s="9">
        <f t="shared" si="19"/>
        <v>3.969241473473908E-4</v>
      </c>
      <c r="I273" s="10">
        <f>SUM($H$3:H273)</f>
        <v>0.27259227042984191</v>
      </c>
      <c r="J273" s="23">
        <v>-3.2000000000000002E-3</v>
      </c>
      <c r="Q273" s="7">
        <f t="shared" si="17"/>
        <v>2.4507707909278943E-11</v>
      </c>
      <c r="R273" s="7">
        <f t="shared" si="16"/>
        <v>2.2426864784910419E-11</v>
      </c>
    </row>
    <row r="274" spans="1:18" x14ac:dyDescent="0.25">
      <c r="A274" s="22">
        <v>44963</v>
      </c>
      <c r="B274" s="12">
        <v>194.48</v>
      </c>
      <c r="C274" s="13">
        <v>-3.3E-3</v>
      </c>
      <c r="D274" s="7">
        <v>688</v>
      </c>
      <c r="E274" s="7">
        <v>-3.0999999999999999E-3</v>
      </c>
      <c r="F274" s="7">
        <v>860</v>
      </c>
      <c r="G274" s="8">
        <f t="shared" si="18"/>
        <v>4.2042784235944419E-12</v>
      </c>
      <c r="H274" s="9">
        <f t="shared" si="19"/>
        <v>1.2612835270785845E-13</v>
      </c>
      <c r="I274" s="10">
        <f>SUM($H$3:H274)</f>
        <v>0.27259227042996803</v>
      </c>
      <c r="J274" s="23">
        <v>-3.0999999999999999E-3</v>
      </c>
      <c r="Q274" s="7">
        <f t="shared" si="17"/>
        <v>2.5265678256988602E-11</v>
      </c>
      <c r="R274" s="7">
        <f t="shared" si="16"/>
        <v>2.3120479159701465E-11</v>
      </c>
    </row>
    <row r="275" spans="1:18" x14ac:dyDescent="0.25">
      <c r="A275" s="22">
        <v>44964</v>
      </c>
      <c r="B275" s="12">
        <v>194.04</v>
      </c>
      <c r="C275" s="13">
        <v>-2.3E-3</v>
      </c>
      <c r="D275" s="7">
        <v>687</v>
      </c>
      <c r="E275" s="7">
        <v>-3.0999999999999999E-3</v>
      </c>
      <c r="F275" s="7">
        <v>494</v>
      </c>
      <c r="G275" s="8">
        <f t="shared" si="18"/>
        <v>2.9190176939817068E-7</v>
      </c>
      <c r="H275" s="9">
        <f t="shared" si="19"/>
        <v>8.7570530819468715E-9</v>
      </c>
      <c r="I275" s="10">
        <f>SUM($H$3:H275)</f>
        <v>0.27259227918702111</v>
      </c>
      <c r="J275" s="23">
        <v>-3.0999999999999999E-3</v>
      </c>
      <c r="Q275" s="7">
        <f t="shared" si="17"/>
        <v>2.6047090986586188E-11</v>
      </c>
      <c r="R275" s="7">
        <f t="shared" si="16"/>
        <v>2.3835545525465426E-11</v>
      </c>
    </row>
    <row r="276" spans="1:18" x14ac:dyDescent="0.25">
      <c r="A276" s="22">
        <v>44965</v>
      </c>
      <c r="B276" s="12">
        <v>195.54</v>
      </c>
      <c r="C276" s="13">
        <v>7.7000000000000002E-3</v>
      </c>
      <c r="D276" s="7">
        <v>686</v>
      </c>
      <c r="E276" s="7">
        <v>-3.0999999999999999E-3</v>
      </c>
      <c r="F276" s="7">
        <v>330</v>
      </c>
      <c r="G276" s="8">
        <f t="shared" si="18"/>
        <v>4.3119360164733783E-5</v>
      </c>
      <c r="H276" s="9">
        <f t="shared" si="19"/>
        <v>1.2935808049422721E-6</v>
      </c>
      <c r="I276" s="10">
        <f>SUM($H$3:H276)</f>
        <v>0.27259357276782603</v>
      </c>
      <c r="J276" s="23">
        <v>-3.0999999999999999E-3</v>
      </c>
      <c r="Q276" s="7">
        <f t="shared" si="17"/>
        <v>2.6852671120191948E-11</v>
      </c>
      <c r="R276" s="7">
        <f t="shared" si="16"/>
        <v>2.457272734584065E-11</v>
      </c>
    </row>
    <row r="277" spans="1:18" x14ac:dyDescent="0.25">
      <c r="A277" s="22">
        <v>44966</v>
      </c>
      <c r="B277" s="12">
        <v>195.89</v>
      </c>
      <c r="C277" s="13">
        <v>1.8E-3</v>
      </c>
      <c r="D277" s="7">
        <v>685</v>
      </c>
      <c r="E277" s="7">
        <v>-3.0999999999999999E-3</v>
      </c>
      <c r="F277" s="7">
        <v>73</v>
      </c>
      <c r="G277" s="8">
        <f t="shared" si="18"/>
        <v>0.10822724453081047</v>
      </c>
      <c r="H277" s="9">
        <f t="shared" si="19"/>
        <v>3.2468173359249631E-3</v>
      </c>
      <c r="I277" s="10">
        <f>SUM($H$3:H277)</f>
        <v>0.275840390103751</v>
      </c>
      <c r="J277" s="23">
        <v>-3.0999999999999999E-3</v>
      </c>
      <c r="Q277" s="7">
        <f t="shared" si="17"/>
        <v>2.7683166103290667E-11</v>
      </c>
      <c r="R277" s="7">
        <f t="shared" si="16"/>
        <v>2.533270860395943E-11</v>
      </c>
    </row>
    <row r="278" spans="1:18" x14ac:dyDescent="0.25">
      <c r="A278" s="22">
        <v>44967</v>
      </c>
      <c r="B278" s="12">
        <v>195.49</v>
      </c>
      <c r="C278" s="13">
        <v>-2E-3</v>
      </c>
      <c r="D278" s="7">
        <v>684</v>
      </c>
      <c r="E278" s="7">
        <v>-3.0999999999999999E-3</v>
      </c>
      <c r="F278" s="7">
        <v>54</v>
      </c>
      <c r="G278" s="8">
        <f t="shared" si="18"/>
        <v>0.19305170890501105</v>
      </c>
      <c r="H278" s="9">
        <f t="shared" si="19"/>
        <v>5.7915512671514891E-3</v>
      </c>
      <c r="I278" s="10">
        <f>SUM($H$3:H278)</f>
        <v>0.28163194137090247</v>
      </c>
      <c r="J278" s="23">
        <v>-3.0999999999999999E-3</v>
      </c>
      <c r="Q278" s="7">
        <f t="shared" si="17"/>
        <v>2.8539346498237802E-11</v>
      </c>
      <c r="R278" s="7">
        <f t="shared" si="16"/>
        <v>2.6116194437071579E-11</v>
      </c>
    </row>
    <row r="279" spans="1:18" x14ac:dyDescent="0.25">
      <c r="A279" s="22">
        <v>44970</v>
      </c>
      <c r="B279" s="12">
        <v>194.6</v>
      </c>
      <c r="C279" s="13">
        <v>-4.5999999999999999E-3</v>
      </c>
      <c r="D279" s="7">
        <v>683</v>
      </c>
      <c r="E279" s="7">
        <v>-3.0999999999999999E-3</v>
      </c>
      <c r="F279" s="7">
        <v>24</v>
      </c>
      <c r="G279" s="8">
        <f t="shared" si="18"/>
        <v>0.48141722191172354</v>
      </c>
      <c r="H279" s="9">
        <f t="shared" si="19"/>
        <v>1.4442516657354593E-2</v>
      </c>
      <c r="I279" s="10">
        <f>SUM($H$3:H279)</f>
        <v>0.29607445802825705</v>
      </c>
      <c r="J279" s="23">
        <v>-3.0999999999999999E-3</v>
      </c>
      <c r="Q279" s="7">
        <f t="shared" si="17"/>
        <v>2.9422006699214229E-11</v>
      </c>
      <c r="R279" s="7">
        <f t="shared" si="16"/>
        <v>2.6923911790795443E-11</v>
      </c>
    </row>
    <row r="280" spans="1:18" x14ac:dyDescent="0.25">
      <c r="A280" s="22">
        <v>44971</v>
      </c>
      <c r="B280" s="12">
        <v>195.98</v>
      </c>
      <c r="C280" s="13">
        <v>7.1000000000000004E-3</v>
      </c>
      <c r="D280" s="7">
        <v>682</v>
      </c>
      <c r="E280" s="7">
        <v>-3.0000000000000001E-3</v>
      </c>
      <c r="F280" s="7">
        <v>786</v>
      </c>
      <c r="G280" s="8">
        <f t="shared" si="18"/>
        <v>4.0048212185206678E-11</v>
      </c>
      <c r="H280" s="9">
        <f t="shared" si="19"/>
        <v>1.2014463655564405E-12</v>
      </c>
      <c r="I280" s="10">
        <f>SUM($H$3:H280)</f>
        <v>0.29607445802945848</v>
      </c>
      <c r="J280" s="23">
        <v>-3.0000000000000001E-3</v>
      </c>
      <c r="Q280" s="7">
        <f t="shared" si="17"/>
        <v>3.0331965669293021E-11</v>
      </c>
      <c r="R280" s="7">
        <f t="shared" si="16"/>
        <v>2.7756610093603549E-11</v>
      </c>
    </row>
    <row r="281" spans="1:18" x14ac:dyDescent="0.25">
      <c r="A281" s="22">
        <v>44972</v>
      </c>
      <c r="B281" s="12">
        <v>197.08</v>
      </c>
      <c r="C281" s="13">
        <v>5.5999999999999999E-3</v>
      </c>
      <c r="D281" s="7">
        <v>681</v>
      </c>
      <c r="E281" s="7">
        <v>-3.0000000000000001E-3</v>
      </c>
      <c r="F281" s="7">
        <v>781</v>
      </c>
      <c r="G281" s="8">
        <f t="shared" si="18"/>
        <v>4.6636340224857444E-11</v>
      </c>
      <c r="H281" s="9">
        <f t="shared" si="19"/>
        <v>1.399090206746003E-12</v>
      </c>
      <c r="I281" s="10">
        <f>SUM($H$3:H281)</f>
        <v>0.29607445803085758</v>
      </c>
      <c r="J281" s="23">
        <v>-3.0000000000000001E-3</v>
      </c>
      <c r="Q281" s="7">
        <f t="shared" si="17"/>
        <v>3.1270067700302085E-11</v>
      </c>
      <c r="R281" s="7">
        <f t="shared" si="16"/>
        <v>2.861506195216861E-11</v>
      </c>
    </row>
    <row r="282" spans="1:18" x14ac:dyDescent="0.25">
      <c r="A282" s="22">
        <v>44973</v>
      </c>
      <c r="B282" s="12">
        <v>197.35</v>
      </c>
      <c r="C282" s="13">
        <v>1.4E-3</v>
      </c>
      <c r="D282" s="7">
        <v>680</v>
      </c>
      <c r="E282" s="7">
        <v>-3.0000000000000001E-3</v>
      </c>
      <c r="F282" s="7">
        <v>709</v>
      </c>
      <c r="G282" s="8">
        <f t="shared" si="18"/>
        <v>4.1798393938814025E-10</v>
      </c>
      <c r="H282" s="9">
        <f t="shared" si="19"/>
        <v>1.2539518181646715E-11</v>
      </c>
      <c r="I282" s="10">
        <f>SUM($H$3:H282)</f>
        <v>0.2960744580433971</v>
      </c>
      <c r="J282" s="23">
        <v>-3.0000000000000001E-3</v>
      </c>
      <c r="Q282" s="7">
        <f t="shared" si="17"/>
        <v>3.2237183196187711E-11</v>
      </c>
      <c r="R282" s="7">
        <f t="shared" si="16"/>
        <v>2.9500063868215058E-11</v>
      </c>
    </row>
    <row r="283" spans="1:18" x14ac:dyDescent="0.25">
      <c r="A283" s="22">
        <v>44974</v>
      </c>
      <c r="B283" s="12">
        <v>196.3</v>
      </c>
      <c r="C283" s="13">
        <v>-5.3E-3</v>
      </c>
      <c r="D283" s="7">
        <v>679</v>
      </c>
      <c r="E283" s="7">
        <v>-3.0000000000000001E-3</v>
      </c>
      <c r="F283" s="7">
        <v>596</v>
      </c>
      <c r="G283" s="8">
        <f t="shared" si="18"/>
        <v>1.3060314125664147E-8</v>
      </c>
      <c r="H283" s="9">
        <f t="shared" si="19"/>
        <v>3.9180942377000273E-10</v>
      </c>
      <c r="I283" s="10">
        <f>SUM($H$3:H283)</f>
        <v>0.29607445843520652</v>
      </c>
      <c r="J283" s="23">
        <v>-3.0000000000000001E-3</v>
      </c>
      <c r="Q283" s="7">
        <f t="shared" si="17"/>
        <v>3.3234209480605892E-11</v>
      </c>
      <c r="R283" s="7">
        <f t="shared" si="16"/>
        <v>3.0412436977541303E-11</v>
      </c>
    </row>
    <row r="284" spans="1:18" x14ac:dyDescent="0.25">
      <c r="A284" s="22">
        <v>44977</v>
      </c>
      <c r="B284" s="12">
        <v>195.59</v>
      </c>
      <c r="C284" s="13">
        <v>-3.5999999999999999E-3</v>
      </c>
      <c r="D284" s="7">
        <v>678</v>
      </c>
      <c r="E284" s="7">
        <v>-3.0000000000000001E-3</v>
      </c>
      <c r="F284" s="7">
        <v>298</v>
      </c>
      <c r="G284" s="8">
        <f t="shared" si="18"/>
        <v>1.1428173137323456E-4</v>
      </c>
      <c r="H284" s="9">
        <f t="shared" si="19"/>
        <v>3.428451941197722E-6</v>
      </c>
      <c r="I284" s="10">
        <f>SUM($H$3:H284)</f>
        <v>0.2960778868871477</v>
      </c>
      <c r="J284" s="23">
        <v>-3.0000000000000001E-3</v>
      </c>
      <c r="Q284" s="7">
        <f t="shared" si="17"/>
        <v>3.4262071629490618E-11</v>
      </c>
      <c r="R284" s="7">
        <f t="shared" si="16"/>
        <v>3.1353027811898253E-11</v>
      </c>
    </row>
    <row r="285" spans="1:18" x14ac:dyDescent="0.25">
      <c r="A285" s="22">
        <v>44978</v>
      </c>
      <c r="B285" s="12">
        <v>195.26</v>
      </c>
      <c r="C285" s="13">
        <v>-1.6999999999999999E-3</v>
      </c>
      <c r="D285" s="7">
        <v>677</v>
      </c>
      <c r="E285" s="7">
        <v>-3.0000000000000001E-3</v>
      </c>
      <c r="F285" s="7">
        <v>69</v>
      </c>
      <c r="G285" s="8">
        <f t="shared" si="18"/>
        <v>0.12225022422898756</v>
      </c>
      <c r="H285" s="9">
        <f t="shared" si="19"/>
        <v>3.6675067268703595E-3</v>
      </c>
      <c r="I285" s="10">
        <f>SUM($H$3:H285)</f>
        <v>0.29974539361401809</v>
      </c>
      <c r="J285" s="23">
        <v>-3.0000000000000001E-3</v>
      </c>
      <c r="Q285" s="7">
        <f t="shared" si="17"/>
        <v>3.5321723329371765E-11</v>
      </c>
      <c r="R285" s="7">
        <f t="shared" si="16"/>
        <v>3.2322709084431183E-11</v>
      </c>
    </row>
    <row r="286" spans="1:18" x14ac:dyDescent="0.25">
      <c r="A286" s="22">
        <v>44979</v>
      </c>
      <c r="B286" s="12">
        <v>192.51</v>
      </c>
      <c r="C286" s="13">
        <v>-1.41E-2</v>
      </c>
      <c r="D286" s="7">
        <v>676</v>
      </c>
      <c r="E286" s="7">
        <v>-2.8999999999999998E-3</v>
      </c>
      <c r="F286" s="7">
        <v>754</v>
      </c>
      <c r="G286" s="8">
        <f t="shared" si="18"/>
        <v>1.0614209045409999E-10</v>
      </c>
      <c r="H286" s="9">
        <f t="shared" si="19"/>
        <v>3.184262713623636E-12</v>
      </c>
      <c r="I286" s="10">
        <f>SUM($H$3:H286)</f>
        <v>0.29974539361720237</v>
      </c>
      <c r="J286" s="23">
        <v>-2.8999999999999998E-3</v>
      </c>
      <c r="Q286" s="7">
        <f t="shared" si="17"/>
        <v>3.6414147762238931E-11</v>
      </c>
      <c r="R286" s="7">
        <f t="shared" si="16"/>
        <v>3.3322380499413589E-11</v>
      </c>
    </row>
    <row r="287" spans="1:18" x14ac:dyDescent="0.25">
      <c r="A287" s="22">
        <v>44980</v>
      </c>
      <c r="B287" s="12">
        <v>192.01</v>
      </c>
      <c r="C287" s="13">
        <v>-2.5999999999999999E-3</v>
      </c>
      <c r="D287" s="7">
        <v>675</v>
      </c>
      <c r="E287" s="7">
        <v>-2.8999999999999998E-3</v>
      </c>
      <c r="F287" s="7">
        <v>674</v>
      </c>
      <c r="G287" s="8">
        <f t="shared" si="18"/>
        <v>1.2138049254079632E-9</v>
      </c>
      <c r="H287" s="9">
        <f t="shared" si="19"/>
        <v>3.6414147762246175E-11</v>
      </c>
      <c r="I287" s="10">
        <f>SUM($H$3:H287)</f>
        <v>0.29974539365361652</v>
      </c>
      <c r="J287" s="23">
        <v>-2.8999999999999998E-3</v>
      </c>
      <c r="Q287" s="7">
        <f t="shared" si="17"/>
        <v>3.7540358517772096E-11</v>
      </c>
      <c r="R287" s="7">
        <f t="shared" si="16"/>
        <v>3.435296958702432E-11</v>
      </c>
    </row>
    <row r="288" spans="1:18" x14ac:dyDescent="0.25">
      <c r="A288" s="22">
        <v>44981</v>
      </c>
      <c r="B288" s="12">
        <v>191.46</v>
      </c>
      <c r="C288" s="13">
        <v>-2.8999999999999998E-3</v>
      </c>
      <c r="D288" s="7">
        <v>674</v>
      </c>
      <c r="E288" s="7">
        <v>-2.8999999999999998E-3</v>
      </c>
      <c r="F288" s="7">
        <v>536</v>
      </c>
      <c r="G288" s="8">
        <f t="shared" si="18"/>
        <v>8.1217490575044099E-8</v>
      </c>
      <c r="H288" s="9">
        <f t="shared" si="19"/>
        <v>2.43652471725181E-9</v>
      </c>
      <c r="I288" s="10">
        <f>SUM($H$3:H288)</f>
        <v>0.29974539609014123</v>
      </c>
      <c r="J288" s="23">
        <v>-2.8999999999999998E-3</v>
      </c>
      <c r="Q288" s="7">
        <f t="shared" si="17"/>
        <v>3.8701400533785666E-11</v>
      </c>
      <c r="R288" s="7">
        <f t="shared" si="16"/>
        <v>3.5415432563942602E-11</v>
      </c>
    </row>
    <row r="289" spans="1:18" x14ac:dyDescent="0.25">
      <c r="A289" s="22">
        <v>44984</v>
      </c>
      <c r="B289" s="12">
        <v>190.56</v>
      </c>
      <c r="C289" s="13">
        <v>-4.7000000000000002E-3</v>
      </c>
      <c r="D289" s="7">
        <v>673</v>
      </c>
      <c r="E289" s="7">
        <v>-2.8999999999999998E-3</v>
      </c>
      <c r="F289" s="7">
        <v>83</v>
      </c>
      <c r="G289" s="8">
        <f t="shared" si="18"/>
        <v>7.98093813043768E-2</v>
      </c>
      <c r="H289" s="9">
        <f t="shared" si="19"/>
        <v>2.3942814391317824E-3</v>
      </c>
      <c r="I289" s="10">
        <f>SUM($H$3:H289)</f>
        <v>0.30213967752927301</v>
      </c>
      <c r="J289" s="23">
        <v>-2.8999999999999998E-3</v>
      </c>
      <c r="Q289" s="7">
        <f t="shared" si="17"/>
        <v>3.9898351065758413E-11</v>
      </c>
      <c r="R289" s="7">
        <f t="shared" si="16"/>
        <v>3.6510755220559375E-11</v>
      </c>
    </row>
    <row r="290" spans="1:18" x14ac:dyDescent="0.25">
      <c r="A290" s="22">
        <v>44985</v>
      </c>
      <c r="B290" s="12">
        <v>189.7</v>
      </c>
      <c r="C290" s="13">
        <v>-4.4999999999999997E-3</v>
      </c>
      <c r="D290" s="7">
        <v>672</v>
      </c>
      <c r="E290" s="7">
        <v>-2.8E-3</v>
      </c>
      <c r="F290" s="7">
        <v>702</v>
      </c>
      <c r="G290" s="8">
        <f t="shared" si="18"/>
        <v>5.1731783921893235E-10</v>
      </c>
      <c r="H290" s="9">
        <f t="shared" si="19"/>
        <v>1.5519535176571074E-11</v>
      </c>
      <c r="I290" s="10">
        <f>SUM($H$3:H290)</f>
        <v>0.30213967754479254</v>
      </c>
      <c r="J290" s="23">
        <v>-2.8E-3</v>
      </c>
      <c r="Q290" s="7">
        <f t="shared" si="17"/>
        <v>4.113232068634888E-11</v>
      </c>
      <c r="R290" s="7">
        <f t="shared" si="16"/>
        <v>3.7639953835628224E-11</v>
      </c>
    </row>
    <row r="291" spans="1:18" x14ac:dyDescent="0.25">
      <c r="A291" s="22">
        <v>44986</v>
      </c>
      <c r="B291" s="12">
        <v>191.28</v>
      </c>
      <c r="C291" s="13">
        <v>8.3000000000000001E-3</v>
      </c>
      <c r="D291" s="7">
        <v>671</v>
      </c>
      <c r="E291" s="7">
        <v>-2.8E-3</v>
      </c>
      <c r="F291" s="7">
        <v>553</v>
      </c>
      <c r="G291" s="8">
        <f t="shared" si="18"/>
        <v>4.8391496101468312E-8</v>
      </c>
      <c r="H291" s="9">
        <f t="shared" si="19"/>
        <v>1.4517448830443396E-9</v>
      </c>
      <c r="I291" s="10">
        <f>SUM($H$3:H291)</f>
        <v>0.30213967899653743</v>
      </c>
      <c r="J291" s="23">
        <v>-2.8E-3</v>
      </c>
      <c r="Q291" s="7">
        <f t="shared" si="17"/>
        <v>4.240445431582359E-11</v>
      </c>
      <c r="R291" s="7">
        <f t="shared" si="16"/>
        <v>3.8804076119204357E-11</v>
      </c>
    </row>
    <row r="292" spans="1:18" x14ac:dyDescent="0.25">
      <c r="A292" s="22">
        <v>44987</v>
      </c>
      <c r="B292" s="12">
        <v>189.93</v>
      </c>
      <c r="C292" s="13">
        <v>-7.1000000000000004E-3</v>
      </c>
      <c r="D292" s="7">
        <v>670</v>
      </c>
      <c r="E292" s="7">
        <v>-2.8E-3</v>
      </c>
      <c r="F292" s="7">
        <v>498</v>
      </c>
      <c r="G292" s="8">
        <f t="shared" si="18"/>
        <v>2.5841853767447851E-7</v>
      </c>
      <c r="H292" s="9">
        <f t="shared" si="19"/>
        <v>7.7525561302359056E-9</v>
      </c>
      <c r="I292" s="10">
        <f>SUM($H$3:H292)</f>
        <v>0.30213968674909358</v>
      </c>
      <c r="J292" s="23">
        <v>-2.8E-3</v>
      </c>
      <c r="Q292" s="7">
        <f t="shared" si="17"/>
        <v>4.3715932284354221E-11</v>
      </c>
      <c r="R292" s="7">
        <f t="shared" si="16"/>
        <v>4.0004202184746764E-11</v>
      </c>
    </row>
    <row r="293" spans="1:18" x14ac:dyDescent="0.25">
      <c r="A293" s="22">
        <v>44988</v>
      </c>
      <c r="B293" s="12">
        <v>192.51</v>
      </c>
      <c r="C293" s="13">
        <v>1.3599999999999999E-2</v>
      </c>
      <c r="D293" s="7">
        <v>669</v>
      </c>
      <c r="E293" s="7">
        <v>-2.8E-3</v>
      </c>
      <c r="F293" s="7">
        <v>328</v>
      </c>
      <c r="G293" s="8">
        <f t="shared" si="18"/>
        <v>4.5827782086017408E-5</v>
      </c>
      <c r="H293" s="9">
        <f t="shared" si="19"/>
        <v>1.3748334625807969E-6</v>
      </c>
      <c r="I293" s="10">
        <f>SUM($H$3:H293)</f>
        <v>0.30214106158255616</v>
      </c>
      <c r="J293" s="23">
        <v>-2.8E-3</v>
      </c>
      <c r="Q293" s="7">
        <f t="shared" si="17"/>
        <v>4.5067971427169301E-11</v>
      </c>
      <c r="R293" s="7">
        <f t="shared" si="16"/>
        <v>4.1241445551285323E-11</v>
      </c>
    </row>
    <row r="294" spans="1:18" x14ac:dyDescent="0.25">
      <c r="A294" s="22">
        <v>44991</v>
      </c>
      <c r="B294" s="12">
        <v>193.63</v>
      </c>
      <c r="C294" s="13">
        <v>5.7999999999999996E-3</v>
      </c>
      <c r="D294" s="7">
        <v>668</v>
      </c>
      <c r="E294" s="7">
        <v>-2.8E-3</v>
      </c>
      <c r="F294" s="7">
        <v>39</v>
      </c>
      <c r="G294" s="8">
        <f t="shared" si="18"/>
        <v>0.30485802824652852</v>
      </c>
      <c r="H294" s="9">
        <f t="shared" si="19"/>
        <v>9.1457408473976844E-3</v>
      </c>
      <c r="I294" s="10">
        <f>SUM($H$3:H294)</f>
        <v>0.31128680242995382</v>
      </c>
      <c r="J294" s="23">
        <v>-2.8E-3</v>
      </c>
      <c r="Q294" s="7">
        <f t="shared" si="17"/>
        <v>4.6461826213576601E-11</v>
      </c>
      <c r="R294" s="7">
        <f t="shared" si="16"/>
        <v>4.2516954176582806E-11</v>
      </c>
    </row>
    <row r="295" spans="1:18" x14ac:dyDescent="0.25">
      <c r="A295" s="22">
        <v>44993</v>
      </c>
      <c r="B295" s="12">
        <v>193.95</v>
      </c>
      <c r="C295" s="13">
        <v>1.6999999999999999E-3</v>
      </c>
      <c r="D295" s="7">
        <v>667</v>
      </c>
      <c r="E295" s="7">
        <v>-2.7000000000000001E-3</v>
      </c>
      <c r="F295" s="7">
        <v>854</v>
      </c>
      <c r="G295" s="8">
        <f t="shared" si="18"/>
        <v>5.0473225975377194E-12</v>
      </c>
      <c r="H295" s="9">
        <f t="shared" si="19"/>
        <v>1.5141967792616186E-13</v>
      </c>
      <c r="I295" s="10">
        <f>SUM($H$3:H295)</f>
        <v>0.31128680243010526</v>
      </c>
      <c r="J295" s="23">
        <v>-2.7000000000000001E-3</v>
      </c>
      <c r="Q295" s="7">
        <f t="shared" si="17"/>
        <v>4.7898789910903707E-11</v>
      </c>
      <c r="R295" s="7">
        <f t="shared" si="16"/>
        <v>4.3831911522250312E-11</v>
      </c>
    </row>
    <row r="296" spans="1:18" x14ac:dyDescent="0.25">
      <c r="A296" s="22">
        <v>44994</v>
      </c>
      <c r="B296" s="12">
        <v>192.64</v>
      </c>
      <c r="C296" s="13">
        <v>-6.7999999999999996E-3</v>
      </c>
      <c r="D296" s="7">
        <v>666</v>
      </c>
      <c r="E296" s="7">
        <v>-2.7000000000000001E-3</v>
      </c>
      <c r="F296" s="7">
        <v>704</v>
      </c>
      <c r="G296" s="8">
        <f t="shared" si="18"/>
        <v>4.8674435492109357E-10</v>
      </c>
      <c r="H296" s="9">
        <f t="shared" si="19"/>
        <v>1.4602330647635727E-11</v>
      </c>
      <c r="I296" s="10">
        <f>SUM($H$3:H296)</f>
        <v>0.31128680244470758</v>
      </c>
      <c r="J296" s="23">
        <v>-2.7000000000000001E-3</v>
      </c>
      <c r="Q296" s="7">
        <f t="shared" si="17"/>
        <v>4.9380195784436815E-11</v>
      </c>
      <c r="R296" s="7">
        <f t="shared" si="16"/>
        <v>4.5187537651804449E-11</v>
      </c>
    </row>
    <row r="297" spans="1:18" x14ac:dyDescent="0.25">
      <c r="A297" s="22">
        <v>44995</v>
      </c>
      <c r="B297" s="12">
        <v>190.75</v>
      </c>
      <c r="C297" s="13">
        <v>-9.7999999999999997E-3</v>
      </c>
      <c r="D297" s="7">
        <v>665</v>
      </c>
      <c r="E297" s="7">
        <v>-2.7000000000000001E-3</v>
      </c>
      <c r="F297" s="7">
        <v>234</v>
      </c>
      <c r="G297" s="8">
        <f t="shared" si="18"/>
        <v>8.0276017377507291E-4</v>
      </c>
      <c r="H297" s="9">
        <f t="shared" si="19"/>
        <v>2.4082805213257E-5</v>
      </c>
      <c r="I297" s="10">
        <f>SUM($H$3:H297)</f>
        <v>0.31131088524992084</v>
      </c>
      <c r="J297" s="23">
        <v>-2.7000000000000001E-3</v>
      </c>
      <c r="Q297" s="7">
        <f t="shared" si="17"/>
        <v>5.0907418334470944E-11</v>
      </c>
      <c r="R297" s="7">
        <f t="shared" si="16"/>
        <v>4.6585090362685004E-11</v>
      </c>
    </row>
    <row r="298" spans="1:18" x14ac:dyDescent="0.25">
      <c r="A298" s="22">
        <v>44998</v>
      </c>
      <c r="B298" s="12">
        <v>188.12</v>
      </c>
      <c r="C298" s="13">
        <v>-1.38E-2</v>
      </c>
      <c r="D298" s="7">
        <v>664</v>
      </c>
      <c r="E298" s="7">
        <v>-2.7000000000000001E-3</v>
      </c>
      <c r="F298" s="7">
        <v>167</v>
      </c>
      <c r="G298" s="8">
        <f t="shared" si="18"/>
        <v>6.1784512238617882E-3</v>
      </c>
      <c r="H298" s="9">
        <f t="shared" si="19"/>
        <v>1.853535367158907E-4</v>
      </c>
      <c r="I298" s="10">
        <f>SUM($H$3:H298)</f>
        <v>0.31149623878663674</v>
      </c>
      <c r="J298" s="23">
        <v>-2.7000000000000001E-3</v>
      </c>
      <c r="Q298" s="7">
        <f t="shared" si="17"/>
        <v>5.2481874571619536E-11</v>
      </c>
      <c r="R298" s="7">
        <f t="shared" si="16"/>
        <v>4.8025866353283514E-11</v>
      </c>
    </row>
    <row r="299" spans="1:18" x14ac:dyDescent="0.25">
      <c r="A299" s="22">
        <v>44999</v>
      </c>
      <c r="B299" s="12">
        <v>186.91</v>
      </c>
      <c r="C299" s="13">
        <v>-6.4000000000000003E-3</v>
      </c>
      <c r="D299" s="7">
        <v>663</v>
      </c>
      <c r="E299" s="7">
        <v>-2.7000000000000001E-3</v>
      </c>
      <c r="F299" s="7">
        <v>65</v>
      </c>
      <c r="G299" s="8">
        <f t="shared" si="18"/>
        <v>0.13809015824830609</v>
      </c>
      <c r="H299" s="9">
        <f t="shared" si="19"/>
        <v>4.1427047474500104E-3</v>
      </c>
      <c r="I299" s="10">
        <f>SUM($H$3:H299)</f>
        <v>0.31563894353408672</v>
      </c>
      <c r="J299" s="23">
        <v>-2.7000000000000001E-3</v>
      </c>
      <c r="Q299" s="7">
        <f t="shared" si="17"/>
        <v>5.4105025331566526E-11</v>
      </c>
      <c r="R299" s="7">
        <f t="shared" si="16"/>
        <v>4.9511202426065471E-11</v>
      </c>
    </row>
    <row r="300" spans="1:18" x14ac:dyDescent="0.25">
      <c r="A300" s="22">
        <v>45000</v>
      </c>
      <c r="B300" s="12">
        <v>186.1</v>
      </c>
      <c r="C300" s="13">
        <v>-4.3E-3</v>
      </c>
      <c r="D300" s="7">
        <v>662</v>
      </c>
      <c r="E300" s="7">
        <v>-2.5999999999999999E-3</v>
      </c>
      <c r="F300" s="7">
        <v>857</v>
      </c>
      <c r="G300" s="8">
        <f t="shared" si="18"/>
        <v>4.6065550570625417E-12</v>
      </c>
      <c r="H300" s="9">
        <f t="shared" si="19"/>
        <v>1.3819665171190386E-13</v>
      </c>
      <c r="I300" s="10">
        <f>SUM($H$3:H300)</f>
        <v>0.31563894353422495</v>
      </c>
      <c r="J300" s="23">
        <v>-2.5999999999999999E-3</v>
      </c>
      <c r="Q300" s="7">
        <f t="shared" si="17"/>
        <v>5.5778376630480959E-11</v>
      </c>
      <c r="R300" s="7">
        <f t="shared" si="16"/>
        <v>5.1042476727902551E-11</v>
      </c>
    </row>
    <row r="301" spans="1:18" x14ac:dyDescent="0.25">
      <c r="A301" s="22">
        <v>45001</v>
      </c>
      <c r="B301" s="12">
        <v>186.23</v>
      </c>
      <c r="C301" s="13">
        <v>6.9999999999999999E-4</v>
      </c>
      <c r="D301" s="7">
        <v>661</v>
      </c>
      <c r="E301" s="7">
        <v>-2.5999999999999999E-3</v>
      </c>
      <c r="F301" s="7">
        <v>793</v>
      </c>
      <c r="G301" s="8">
        <f t="shared" si="18"/>
        <v>3.23582684098016E-11</v>
      </c>
      <c r="H301" s="9">
        <f t="shared" si="19"/>
        <v>9.7074805229424194E-13</v>
      </c>
      <c r="I301" s="10">
        <f>SUM($H$3:H301)</f>
        <v>0.31563894353519567</v>
      </c>
      <c r="J301" s="23">
        <v>-2.5999999999999999E-3</v>
      </c>
      <c r="Q301" s="7">
        <f t="shared" si="17"/>
        <v>5.75034810623515E-11</v>
      </c>
      <c r="R301" s="7">
        <f t="shared" si="16"/>
        <v>5.2621110028765512E-11</v>
      </c>
    </row>
    <row r="302" spans="1:18" x14ac:dyDescent="0.25">
      <c r="A302" s="22">
        <v>45002</v>
      </c>
      <c r="B302" s="12">
        <v>187.42</v>
      </c>
      <c r="C302" s="13">
        <v>6.4000000000000003E-3</v>
      </c>
      <c r="D302" s="7">
        <v>660</v>
      </c>
      <c r="E302" s="7">
        <v>-2.5999999999999999E-3</v>
      </c>
      <c r="F302" s="7">
        <v>675</v>
      </c>
      <c r="G302" s="8">
        <f t="shared" si="18"/>
        <v>1.1773907776457244E-9</v>
      </c>
      <c r="H302" s="9">
        <f t="shared" si="19"/>
        <v>3.532172332937879E-11</v>
      </c>
      <c r="I302" s="10">
        <f>SUM($H$3:H302)</f>
        <v>0.31563894357051742</v>
      </c>
      <c r="J302" s="23">
        <v>-2.5999999999999999E-3</v>
      </c>
      <c r="Q302" s="7">
        <f t="shared" si="17"/>
        <v>5.928193923953764E-11</v>
      </c>
      <c r="R302" s="7">
        <f t="shared" si="16"/>
        <v>5.4248567039964456E-11</v>
      </c>
    </row>
    <row r="303" spans="1:18" x14ac:dyDescent="0.25">
      <c r="A303" s="22">
        <v>45005</v>
      </c>
      <c r="B303" s="12">
        <v>186.2</v>
      </c>
      <c r="C303" s="13">
        <v>-6.4999999999999997E-3</v>
      </c>
      <c r="D303" s="7">
        <v>659</v>
      </c>
      <c r="E303" s="7">
        <v>-2.5999999999999999E-3</v>
      </c>
      <c r="F303" s="7">
        <v>601</v>
      </c>
      <c r="G303" s="8">
        <f t="shared" si="18"/>
        <v>1.1215336126038146E-8</v>
      </c>
      <c r="H303" s="9">
        <f t="shared" si="19"/>
        <v>3.3646008378121162E-10</v>
      </c>
      <c r="I303" s="10">
        <f>SUM($H$3:H303)</f>
        <v>0.3156389439069775</v>
      </c>
      <c r="J303" s="23">
        <v>-2.5999999999999999E-3</v>
      </c>
      <c r="Q303" s="7">
        <f t="shared" si="17"/>
        <v>6.1115401277873845E-11</v>
      </c>
      <c r="R303" s="7">
        <f t="shared" si="16"/>
        <v>5.5926357773159222E-11</v>
      </c>
    </row>
    <row r="304" spans="1:18" x14ac:dyDescent="0.25">
      <c r="A304" s="22">
        <v>45006</v>
      </c>
      <c r="B304" s="12">
        <v>187.46</v>
      </c>
      <c r="C304" s="13">
        <v>6.7999999999999996E-3</v>
      </c>
      <c r="D304" s="7">
        <v>658</v>
      </c>
      <c r="E304" s="7">
        <v>-2.5999999999999999E-3</v>
      </c>
      <c r="F304" s="7">
        <v>508</v>
      </c>
      <c r="G304" s="8">
        <f t="shared" si="18"/>
        <v>1.9056406451806643E-7</v>
      </c>
      <c r="H304" s="9">
        <f t="shared" si="19"/>
        <v>5.7169219355431352E-9</v>
      </c>
      <c r="I304" s="10">
        <f>SUM($H$3:H304)</f>
        <v>0.31563894962389943</v>
      </c>
      <c r="J304" s="23">
        <v>-2.5999999999999999E-3</v>
      </c>
      <c r="Q304" s="7">
        <f t="shared" si="17"/>
        <v>6.3005568327704994E-11</v>
      </c>
      <c r="R304" s="7">
        <f t="shared" si="16"/>
        <v>5.7656038941401264E-11</v>
      </c>
    </row>
    <row r="305" spans="1:18" x14ac:dyDescent="0.25">
      <c r="A305" s="22">
        <v>45007</v>
      </c>
      <c r="B305" s="12">
        <v>187.88</v>
      </c>
      <c r="C305" s="13">
        <v>2.2000000000000001E-3</v>
      </c>
      <c r="D305" s="7">
        <v>657</v>
      </c>
      <c r="E305" s="7">
        <v>-2.5000000000000001E-3</v>
      </c>
      <c r="F305" s="7">
        <v>865</v>
      </c>
      <c r="G305" s="8">
        <f t="shared" si="18"/>
        <v>3.6103569358569053E-12</v>
      </c>
      <c r="H305" s="9">
        <f t="shared" si="19"/>
        <v>1.0831070807572881E-13</v>
      </c>
      <c r="I305" s="10">
        <f>SUM($H$3:H305)</f>
        <v>0.31563894962400774</v>
      </c>
      <c r="J305" s="23">
        <v>-2.5000000000000001E-3</v>
      </c>
      <c r="Q305" s="7">
        <f t="shared" si="17"/>
        <v>6.4954194152273207E-11</v>
      </c>
      <c r="R305" s="7">
        <f t="shared" si="16"/>
        <v>5.9439215403506467E-11</v>
      </c>
    </row>
    <row r="306" spans="1:18" x14ac:dyDescent="0.25">
      <c r="A306" s="22">
        <v>45008</v>
      </c>
      <c r="B306" s="12">
        <v>186.91</v>
      </c>
      <c r="C306" s="13">
        <v>-5.1999999999999998E-3</v>
      </c>
      <c r="D306" s="7">
        <v>656</v>
      </c>
      <c r="E306" s="7">
        <v>-2.5000000000000001E-3</v>
      </c>
      <c r="F306" s="7">
        <v>653</v>
      </c>
      <c r="G306" s="8">
        <f t="shared" si="18"/>
        <v>2.3011370018873115E-9</v>
      </c>
      <c r="H306" s="9">
        <f t="shared" si="19"/>
        <v>6.9034110056633141E-11</v>
      </c>
      <c r="I306" s="10">
        <f>SUM($H$3:H306)</f>
        <v>0.31563894969304185</v>
      </c>
      <c r="J306" s="23">
        <v>-2.5000000000000001E-3</v>
      </c>
      <c r="Q306" s="7">
        <f t="shared" si="17"/>
        <v>6.696308675492082E-11</v>
      </c>
      <c r="R306" s="7">
        <f t="shared" si="16"/>
        <v>6.1277541653099447E-11</v>
      </c>
    </row>
    <row r="307" spans="1:18" x14ac:dyDescent="0.25">
      <c r="A307" s="22">
        <v>45009</v>
      </c>
      <c r="B307" s="12">
        <v>185.68</v>
      </c>
      <c r="C307" s="13">
        <v>-6.6E-3</v>
      </c>
      <c r="D307" s="7">
        <v>655</v>
      </c>
      <c r="E307" s="7">
        <v>-2.5000000000000001E-3</v>
      </c>
      <c r="F307" s="7">
        <v>501</v>
      </c>
      <c r="G307" s="8">
        <f t="shared" si="18"/>
        <v>2.3585162203497933E-7</v>
      </c>
      <c r="H307" s="9">
        <f t="shared" si="19"/>
        <v>7.0755486610507939E-9</v>
      </c>
      <c r="I307" s="10">
        <f>SUM($H$3:H307)</f>
        <v>0.3156389567685905</v>
      </c>
      <c r="J307" s="23">
        <v>-2.5000000000000001E-3</v>
      </c>
      <c r="Q307" s="7">
        <f t="shared" si="17"/>
        <v>6.9034110056619402E-11</v>
      </c>
      <c r="R307" s="7">
        <f t="shared" si="16"/>
        <v>6.3172723353710768E-11</v>
      </c>
    </row>
    <row r="308" spans="1:18" x14ac:dyDescent="0.25">
      <c r="A308" s="22">
        <v>45012</v>
      </c>
      <c r="B308" s="12">
        <v>186.18</v>
      </c>
      <c r="C308" s="13">
        <v>2.7000000000000001E-3</v>
      </c>
      <c r="D308" s="7">
        <v>654</v>
      </c>
      <c r="E308" s="7">
        <v>-2.5000000000000001E-3</v>
      </c>
      <c r="F308" s="7">
        <v>253</v>
      </c>
      <c r="G308" s="8">
        <f t="shared" si="18"/>
        <v>4.5003756827399706E-4</v>
      </c>
      <c r="H308" s="9">
        <f t="shared" si="19"/>
        <v>1.350112704822261E-5</v>
      </c>
      <c r="I308" s="10">
        <f>SUM($H$3:H308)</f>
        <v>0.31565245789563873</v>
      </c>
      <c r="J308" s="23">
        <v>-2.5000000000000001E-3</v>
      </c>
      <c r="Q308" s="7">
        <f t="shared" si="17"/>
        <v>7.1169185625380829E-11</v>
      </c>
      <c r="R308" s="7">
        <f t="shared" si="16"/>
        <v>6.5126518921351305E-11</v>
      </c>
    </row>
    <row r="309" spans="1:18" x14ac:dyDescent="0.25">
      <c r="A309" s="22">
        <v>45013</v>
      </c>
      <c r="B309" s="12">
        <v>185.71</v>
      </c>
      <c r="C309" s="13">
        <v>-2.5000000000000001E-3</v>
      </c>
      <c r="D309" s="7">
        <v>653</v>
      </c>
      <c r="E309" s="7">
        <v>-2.5000000000000001E-3</v>
      </c>
      <c r="F309" s="7">
        <v>194</v>
      </c>
      <c r="G309" s="8">
        <f t="shared" si="18"/>
        <v>2.7146662752351616E-3</v>
      </c>
      <c r="H309" s="9">
        <f t="shared" si="19"/>
        <v>8.1439988257071125E-5</v>
      </c>
      <c r="I309" s="10">
        <f>SUM($H$3:H309)</f>
        <v>0.31573389788389578</v>
      </c>
      <c r="J309" s="23">
        <v>-2.5000000000000001E-3</v>
      </c>
      <c r="Q309" s="7">
        <f t="shared" si="17"/>
        <v>7.3370294459155501E-11</v>
      </c>
      <c r="R309" s="7">
        <f t="shared" si="16"/>
        <v>6.7140741156032289E-11</v>
      </c>
    </row>
    <row r="310" spans="1:18" x14ac:dyDescent="0.25">
      <c r="A310" s="22">
        <v>45014</v>
      </c>
      <c r="B310" s="12">
        <v>187.09</v>
      </c>
      <c r="C310" s="13">
        <v>7.4000000000000003E-3</v>
      </c>
      <c r="D310" s="7">
        <v>652</v>
      </c>
      <c r="E310" s="7">
        <v>-2.5000000000000001E-3</v>
      </c>
      <c r="F310" s="7">
        <v>70</v>
      </c>
      <c r="G310" s="8">
        <f t="shared" si="18"/>
        <v>0.11858271750211793</v>
      </c>
      <c r="H310" s="9">
        <f t="shared" si="19"/>
        <v>3.5574815250642489E-3</v>
      </c>
      <c r="I310" s="10">
        <f>SUM($H$3:H310)</f>
        <v>0.31929137940896002</v>
      </c>
      <c r="J310" s="23">
        <v>-2.5000000000000001E-3</v>
      </c>
      <c r="Q310" s="7">
        <f t="shared" si="17"/>
        <v>7.563947882387165E-11</v>
      </c>
      <c r="R310" s="7">
        <f t="shared" si="16"/>
        <v>6.9217258923744619E-11</v>
      </c>
    </row>
    <row r="311" spans="1:18" x14ac:dyDescent="0.25">
      <c r="A311" s="22">
        <v>45016</v>
      </c>
      <c r="B311" s="12">
        <v>189.86</v>
      </c>
      <c r="C311" s="13">
        <v>1.4800000000000001E-2</v>
      </c>
      <c r="D311" s="7">
        <v>651</v>
      </c>
      <c r="E311" s="7">
        <v>-2.3999999999999998E-3</v>
      </c>
      <c r="F311" s="7">
        <v>929</v>
      </c>
      <c r="G311" s="8">
        <f t="shared" si="18"/>
        <v>5.139739800055149E-13</v>
      </c>
      <c r="H311" s="9">
        <f t="shared" si="19"/>
        <v>1.541921940016853E-14</v>
      </c>
      <c r="I311" s="10">
        <f>SUM($H$3:H311)</f>
        <v>0.31929137940897545</v>
      </c>
      <c r="J311" s="23">
        <v>-2.3999999999999998E-3</v>
      </c>
      <c r="Q311" s="7">
        <f t="shared" si="17"/>
        <v>7.7978844148321294E-11</v>
      </c>
      <c r="R311" s="7">
        <f t="shared" si="16"/>
        <v>7.1357998890458373E-11</v>
      </c>
    </row>
    <row r="312" spans="1:18" x14ac:dyDescent="0.25">
      <c r="A312" s="22">
        <v>45019</v>
      </c>
      <c r="B312" s="12">
        <v>190.56</v>
      </c>
      <c r="C312" s="13">
        <v>3.7000000000000002E-3</v>
      </c>
      <c r="D312" s="7">
        <v>650</v>
      </c>
      <c r="E312" s="7">
        <v>-2.3999999999999998E-3</v>
      </c>
      <c r="F312" s="7">
        <v>821</v>
      </c>
      <c r="G312" s="8">
        <f t="shared" si="18"/>
        <v>1.3790938843816774E-11</v>
      </c>
      <c r="H312" s="9">
        <f t="shared" si="19"/>
        <v>4.1372816531458593E-13</v>
      </c>
      <c r="I312" s="10">
        <f>SUM($H$3:H312)</f>
        <v>0.31929137940938918</v>
      </c>
      <c r="J312" s="23">
        <v>-2.3999999999999998E-3</v>
      </c>
      <c r="Q312" s="7">
        <f t="shared" si="17"/>
        <v>8.0390560977650808E-11</v>
      </c>
      <c r="R312" s="7">
        <f t="shared" si="16"/>
        <v>7.3564947309750894E-11</v>
      </c>
    </row>
    <row r="313" spans="1:18" x14ac:dyDescent="0.25">
      <c r="A313" s="22">
        <v>45021</v>
      </c>
      <c r="B313" s="12">
        <v>192.19</v>
      </c>
      <c r="C313" s="13">
        <v>8.6E-3</v>
      </c>
      <c r="D313" s="7">
        <v>649</v>
      </c>
      <c r="E313" s="7">
        <v>-2.3999999999999998E-3</v>
      </c>
      <c r="F313" s="7">
        <v>519</v>
      </c>
      <c r="G313" s="8">
        <f t="shared" si="18"/>
        <v>1.3631074272794041E-7</v>
      </c>
      <c r="H313" s="9">
        <f t="shared" si="19"/>
        <v>4.0893222818390292E-9</v>
      </c>
      <c r="I313" s="10">
        <f>SUM($H$3:H313)</f>
        <v>0.31929138349871145</v>
      </c>
      <c r="J313" s="23">
        <v>-2.3999999999999998E-3</v>
      </c>
      <c r="Q313" s="7">
        <f t="shared" si="17"/>
        <v>8.2876866987268886E-11</v>
      </c>
      <c r="R313" s="7">
        <f t="shared" si="16"/>
        <v>7.5840151865722586E-11</v>
      </c>
    </row>
    <row r="314" spans="1:18" x14ac:dyDescent="0.25">
      <c r="A314" s="22">
        <v>45022</v>
      </c>
      <c r="B314" s="12">
        <v>192.94</v>
      </c>
      <c r="C314" s="13">
        <v>3.8999999999999998E-3</v>
      </c>
      <c r="D314" s="7">
        <v>648</v>
      </c>
      <c r="E314" s="7">
        <v>-2.3999999999999998E-3</v>
      </c>
      <c r="F314" s="7">
        <v>515</v>
      </c>
      <c r="G314" s="8">
        <f t="shared" si="18"/>
        <v>1.5397249496236214E-7</v>
      </c>
      <c r="H314" s="9">
        <f t="shared" si="19"/>
        <v>4.619174848871787E-9</v>
      </c>
      <c r="I314" s="10">
        <f>SUM($H$3:H314)</f>
        <v>0.31929138811788632</v>
      </c>
      <c r="J314" s="23">
        <v>-2.3999999999999998E-3</v>
      </c>
      <c r="Q314" s="7">
        <f t="shared" si="17"/>
        <v>8.5440069059040093E-11</v>
      </c>
      <c r="R314" s="7">
        <f t="shared" si="16"/>
        <v>7.8185723572909877E-11</v>
      </c>
    </row>
    <row r="315" spans="1:18" x14ac:dyDescent="0.25">
      <c r="A315" s="22">
        <v>45026</v>
      </c>
      <c r="B315" s="12">
        <v>192.64</v>
      </c>
      <c r="C315" s="13">
        <v>-1.6000000000000001E-3</v>
      </c>
      <c r="D315" s="7">
        <v>647</v>
      </c>
      <c r="E315" s="7">
        <v>-2.3999999999999998E-3</v>
      </c>
      <c r="F315" s="7">
        <v>275</v>
      </c>
      <c r="G315" s="8">
        <f t="shared" si="18"/>
        <v>2.3026446580335353E-4</v>
      </c>
      <c r="H315" s="9">
        <f t="shared" si="19"/>
        <v>6.9079339741019863E-6</v>
      </c>
      <c r="I315" s="10">
        <f>SUM($H$3:H315)</f>
        <v>0.31929829605186044</v>
      </c>
      <c r="J315" s="23">
        <v>-2.3999999999999998E-3</v>
      </c>
      <c r="Q315" s="7">
        <f t="shared" si="17"/>
        <v>8.8082545421690805E-11</v>
      </c>
      <c r="R315" s="7">
        <f t="shared" si="16"/>
        <v>8.0603838734958625E-11</v>
      </c>
    </row>
    <row r="316" spans="1:18" x14ac:dyDescent="0.25">
      <c r="A316" s="22">
        <v>45027</v>
      </c>
      <c r="B316" s="12">
        <v>193.76</v>
      </c>
      <c r="C316" s="13">
        <v>5.7999999999999996E-3</v>
      </c>
      <c r="D316" s="7">
        <v>646</v>
      </c>
      <c r="E316" s="7">
        <v>-2.3E-3</v>
      </c>
      <c r="F316" s="7">
        <v>770</v>
      </c>
      <c r="G316" s="8">
        <f t="shared" si="18"/>
        <v>6.5198166847597763E-11</v>
      </c>
      <c r="H316" s="9">
        <f t="shared" si="19"/>
        <v>1.9559450054283238E-12</v>
      </c>
      <c r="I316" s="10">
        <f>SUM($H$3:H316)</f>
        <v>0.31929829605381638</v>
      </c>
      <c r="J316" s="23">
        <v>-2.3E-3</v>
      </c>
      <c r="Q316" s="7">
        <f t="shared" si="17"/>
        <v>9.0806747857413208E-11</v>
      </c>
      <c r="R316" s="7">
        <f t="shared" si="16"/>
        <v>8.3096740963874879E-11</v>
      </c>
    </row>
    <row r="317" spans="1:18" x14ac:dyDescent="0.25">
      <c r="A317" s="22">
        <v>45028</v>
      </c>
      <c r="B317" s="12">
        <v>194.64</v>
      </c>
      <c r="C317" s="13">
        <v>4.4999999999999997E-3</v>
      </c>
      <c r="D317" s="7">
        <v>645</v>
      </c>
      <c r="E317" s="7">
        <v>-2.3E-3</v>
      </c>
      <c r="F317" s="7">
        <v>721</v>
      </c>
      <c r="G317" s="8">
        <f t="shared" si="18"/>
        <v>2.9001496336324124E-10</v>
      </c>
      <c r="H317" s="9">
        <f t="shared" si="19"/>
        <v>8.700448900898976E-12</v>
      </c>
      <c r="I317" s="10">
        <f>SUM($H$3:H317)</f>
        <v>0.31929829606251681</v>
      </c>
      <c r="J317" s="23">
        <v>-2.3E-3</v>
      </c>
      <c r="Q317" s="7">
        <f t="shared" si="17"/>
        <v>9.3615203976714639E-11</v>
      </c>
      <c r="R317" s="7">
        <f t="shared" si="16"/>
        <v>8.566674326172668E-11</v>
      </c>
    </row>
    <row r="318" spans="1:18" x14ac:dyDescent="0.25">
      <c r="A318" s="22">
        <v>45029</v>
      </c>
      <c r="B318" s="12">
        <v>194.77</v>
      </c>
      <c r="C318" s="13">
        <v>6.9999999999999999E-4</v>
      </c>
      <c r="D318" s="7">
        <v>644</v>
      </c>
      <c r="E318" s="7">
        <v>-2.3E-3</v>
      </c>
      <c r="F318" s="7">
        <v>687</v>
      </c>
      <c r="G318" s="8">
        <f t="shared" si="18"/>
        <v>8.1692359697596408E-10</v>
      </c>
      <c r="H318" s="9">
        <f t="shared" si="19"/>
        <v>2.4507707909283822E-11</v>
      </c>
      <c r="I318" s="10">
        <f>SUM($H$3:H318)</f>
        <v>0.31929829608702454</v>
      </c>
      <c r="J318" s="23">
        <v>-2.3E-3</v>
      </c>
      <c r="Q318" s="7">
        <f t="shared" si="17"/>
        <v>9.651051956362335E-11</v>
      </c>
      <c r="R318" s="7">
        <f t="shared" si="16"/>
        <v>8.8316230166728547E-11</v>
      </c>
    </row>
    <row r="319" spans="1:18" x14ac:dyDescent="0.25">
      <c r="A319" s="22">
        <v>45033</v>
      </c>
      <c r="B319" s="12">
        <v>193.91</v>
      </c>
      <c r="C319" s="13">
        <v>-4.4000000000000003E-3</v>
      </c>
      <c r="D319" s="7">
        <v>643</v>
      </c>
      <c r="E319" s="7">
        <v>-2.3E-3</v>
      </c>
      <c r="F319" s="7">
        <v>605</v>
      </c>
      <c r="G319" s="8">
        <f t="shared" si="18"/>
        <v>9.9288564341148257E-9</v>
      </c>
      <c r="H319" s="9">
        <f t="shared" si="19"/>
        <v>2.9786569302350433E-10</v>
      </c>
      <c r="I319" s="10">
        <f>SUM($H$3:H319)</f>
        <v>0.31929829638489021</v>
      </c>
      <c r="J319" s="23">
        <v>-2.3E-3</v>
      </c>
      <c r="Q319" s="7">
        <f t="shared" si="17"/>
        <v>9.9495380993426132E-11</v>
      </c>
      <c r="R319" s="7">
        <f t="shared" si="16"/>
        <v>9.1047659965699526E-11</v>
      </c>
    </row>
    <row r="320" spans="1:18" x14ac:dyDescent="0.25">
      <c r="A320" s="22">
        <v>45034</v>
      </c>
      <c r="B320" s="12">
        <v>193.24</v>
      </c>
      <c r="C320" s="13">
        <v>-3.5000000000000001E-3</v>
      </c>
      <c r="D320" s="7">
        <v>642</v>
      </c>
      <c r="E320" s="7">
        <v>-2.3E-3</v>
      </c>
      <c r="F320" s="7">
        <v>190</v>
      </c>
      <c r="G320" s="8">
        <f t="shared" si="18"/>
        <v>3.0664049731016804E-3</v>
      </c>
      <c r="H320" s="9">
        <f t="shared" si="19"/>
        <v>9.1992149193068797E-5</v>
      </c>
      <c r="I320" s="10">
        <f>SUM($H$3:H320)</f>
        <v>0.3193902885340833</v>
      </c>
      <c r="J320" s="23">
        <v>-2.3E-3</v>
      </c>
      <c r="Q320" s="7">
        <f t="shared" si="17"/>
        <v>1.0257255772518158E-10</v>
      </c>
      <c r="R320" s="7">
        <f t="shared" si="16"/>
        <v>9.3863566974947966E-11</v>
      </c>
    </row>
    <row r="321" spans="1:18" x14ac:dyDescent="0.25">
      <c r="A321" s="22">
        <v>45035</v>
      </c>
      <c r="B321" s="12">
        <v>192.86</v>
      </c>
      <c r="C321" s="13">
        <v>-2E-3</v>
      </c>
      <c r="D321" s="7">
        <v>641</v>
      </c>
      <c r="E321" s="7">
        <v>-2.3E-3</v>
      </c>
      <c r="F321" s="7">
        <v>174</v>
      </c>
      <c r="G321" s="8">
        <f t="shared" si="18"/>
        <v>4.9920825961973008E-3</v>
      </c>
      <c r="H321" s="9">
        <f t="shared" si="19"/>
        <v>1.4976247788594895E-4</v>
      </c>
      <c r="I321" s="10">
        <f>SUM($H$3:H321)</f>
        <v>0.31954005101196925</v>
      </c>
      <c r="J321" s="23">
        <v>-2.3E-3</v>
      </c>
      <c r="Q321" s="7">
        <f t="shared" si="17"/>
        <v>1.0574490487132119E-10</v>
      </c>
      <c r="R321" s="7">
        <f t="shared" si="16"/>
        <v>9.6766563891698909E-11</v>
      </c>
    </row>
    <row r="322" spans="1:18" x14ac:dyDescent="0.25">
      <c r="A322" s="22">
        <v>45036</v>
      </c>
      <c r="B322" s="12">
        <v>192.99</v>
      </c>
      <c r="C322" s="13">
        <v>6.9999999999999999E-4</v>
      </c>
      <c r="D322" s="7">
        <v>640</v>
      </c>
      <c r="E322" s="7">
        <v>-2.3E-3</v>
      </c>
      <c r="F322" s="7">
        <v>101</v>
      </c>
      <c r="G322" s="8">
        <f t="shared" si="18"/>
        <v>4.6125932687643534E-2</v>
      </c>
      <c r="H322" s="9">
        <f t="shared" si="19"/>
        <v>1.3837779806295826E-3</v>
      </c>
      <c r="I322" s="10">
        <f>SUM($H$3:H322)</f>
        <v>0.32092382899259886</v>
      </c>
      <c r="J322" s="23">
        <v>-2.3E-3</v>
      </c>
      <c r="Q322" s="7">
        <f t="shared" si="17"/>
        <v>1.0901536584672289E-10</v>
      </c>
      <c r="R322" s="7">
        <f t="shared" ref="R322:R385" si="20">Q322/$U$2</f>
        <v>9.9759344218246314E-11</v>
      </c>
    </row>
    <row r="323" spans="1:18" x14ac:dyDescent="0.25">
      <c r="A323" s="22">
        <v>45037</v>
      </c>
      <c r="B323" s="12">
        <v>192.85</v>
      </c>
      <c r="C323" s="13">
        <v>-6.9999999999999999E-4</v>
      </c>
      <c r="D323" s="7">
        <v>639</v>
      </c>
      <c r="E323" s="7">
        <v>-2.2000000000000001E-3</v>
      </c>
      <c r="F323" s="7">
        <v>937</v>
      </c>
      <c r="G323" s="8">
        <f t="shared" si="18"/>
        <v>4.0282369375308547E-13</v>
      </c>
      <c r="H323" s="9">
        <f t="shared" si="19"/>
        <v>1.208471081259498E-14</v>
      </c>
      <c r="I323" s="10">
        <f>SUM($H$3:H323)</f>
        <v>0.32092382899261096</v>
      </c>
      <c r="J323" s="23">
        <v>-2.2000000000000001E-3</v>
      </c>
      <c r="Q323" s="7">
        <f t="shared" ref="Q323:Q386" si="21">(1-$N$3) * $N$3^(D324-1)</f>
        <v>1.1238697509971433E-10</v>
      </c>
      <c r="R323" s="7">
        <f t="shared" si="20"/>
        <v>1.0284468476107868E-10</v>
      </c>
    </row>
    <row r="324" spans="1:18" x14ac:dyDescent="0.25">
      <c r="A324" s="22">
        <v>45040</v>
      </c>
      <c r="B324" s="12">
        <v>193.95</v>
      </c>
      <c r="C324" s="13">
        <v>5.7000000000000002E-3</v>
      </c>
      <c r="D324" s="7">
        <v>638</v>
      </c>
      <c r="E324" s="7">
        <v>-2.2000000000000001E-3</v>
      </c>
      <c r="F324" s="7">
        <v>869</v>
      </c>
      <c r="G324" s="8">
        <f t="shared" ref="G324:G387" si="22">$N$3^F324</f>
        <v>3.1962230368477491E-12</v>
      </c>
      <c r="H324" s="9">
        <f t="shared" si="19"/>
        <v>9.5886691105451636E-14</v>
      </c>
      <c r="I324" s="10">
        <f>SUM($H$3:H324)</f>
        <v>0.32092382899270683</v>
      </c>
      <c r="J324" s="23">
        <v>-2.2000000000000001E-3</v>
      </c>
      <c r="Q324" s="7">
        <f t="shared" si="21"/>
        <v>1.1586286092754055E-10</v>
      </c>
      <c r="R324" s="7">
        <f t="shared" si="20"/>
        <v>1.060254482072976E-10</v>
      </c>
    </row>
    <row r="325" spans="1:18" x14ac:dyDescent="0.25">
      <c r="A325" s="22">
        <v>45041</v>
      </c>
      <c r="B325" s="12">
        <v>194.13</v>
      </c>
      <c r="C325" s="13">
        <v>8.9999999999999998E-4</v>
      </c>
      <c r="D325" s="7">
        <v>637</v>
      </c>
      <c r="E325" s="7">
        <v>-2.2000000000000001E-3</v>
      </c>
      <c r="F325" s="7">
        <v>866</v>
      </c>
      <c r="G325" s="8">
        <f t="shared" si="22"/>
        <v>3.5020462277811976E-12</v>
      </c>
      <c r="H325" s="9">
        <f t="shared" ref="H325:H388" si="23">G325/$N$4</f>
        <v>1.0506138683345693E-13</v>
      </c>
      <c r="I325" s="10">
        <f>SUM($H$3:H325)</f>
        <v>0.32092382899281191</v>
      </c>
      <c r="J325" s="23">
        <v>-2.2000000000000001E-3</v>
      </c>
      <c r="Q325" s="7">
        <f t="shared" si="21"/>
        <v>1.1944624837890778E-10</v>
      </c>
      <c r="R325" s="7">
        <f t="shared" si="20"/>
        <v>1.0930458578071919E-10</v>
      </c>
    </row>
    <row r="326" spans="1:18" x14ac:dyDescent="0.25">
      <c r="A326" s="22">
        <v>45042</v>
      </c>
      <c r="B326" s="12">
        <v>194.62</v>
      </c>
      <c r="C326" s="13">
        <v>2.5000000000000001E-3</v>
      </c>
      <c r="D326" s="7">
        <v>636</v>
      </c>
      <c r="E326" s="7">
        <v>-2.2000000000000001E-3</v>
      </c>
      <c r="F326" s="7">
        <v>776</v>
      </c>
      <c r="G326" s="8">
        <f t="shared" si="22"/>
        <v>5.4308247756738972E-11</v>
      </c>
      <c r="H326" s="9">
        <f t="shared" si="23"/>
        <v>1.6292474327024947E-12</v>
      </c>
      <c r="I326" s="10">
        <f>SUM($H$3:H326)</f>
        <v>0.32092382899444116</v>
      </c>
      <c r="J326" s="23">
        <v>-2.2000000000000001E-3</v>
      </c>
      <c r="Q326" s="7">
        <f t="shared" si="21"/>
        <v>1.2314046224629669E-10</v>
      </c>
      <c r="R326" s="7">
        <f t="shared" si="20"/>
        <v>1.1268513998012289E-10</v>
      </c>
    </row>
    <row r="327" spans="1:18" x14ac:dyDescent="0.25">
      <c r="A327" s="22">
        <v>45043</v>
      </c>
      <c r="B327" s="12">
        <v>195.93</v>
      </c>
      <c r="C327" s="13">
        <v>6.7000000000000002E-3</v>
      </c>
      <c r="D327" s="7">
        <v>635</v>
      </c>
      <c r="E327" s="7">
        <v>-2.2000000000000001E-3</v>
      </c>
      <c r="F327" s="7">
        <v>229</v>
      </c>
      <c r="G327" s="8">
        <f t="shared" si="22"/>
        <v>9.3481817390512773E-4</v>
      </c>
      <c r="H327" s="9">
        <f t="shared" si="23"/>
        <v>2.8044545217159436E-5</v>
      </c>
      <c r="I327" s="10">
        <f>SUM($H$3:H327)</f>
        <v>0.32095187353965832</v>
      </c>
      <c r="J327" s="23">
        <v>-2.2000000000000001E-3</v>
      </c>
      <c r="Q327" s="7">
        <f t="shared" si="21"/>
        <v>1.2694893015082132E-10</v>
      </c>
      <c r="R327" s="7">
        <f t="shared" si="20"/>
        <v>1.1617024740218852E-10</v>
      </c>
    </row>
    <row r="328" spans="1:18" x14ac:dyDescent="0.25">
      <c r="A328" s="22">
        <v>45044</v>
      </c>
      <c r="B328" s="12">
        <v>197.29</v>
      </c>
      <c r="C328" s="13">
        <v>6.8999999999999999E-3</v>
      </c>
      <c r="D328" s="7">
        <v>634</v>
      </c>
      <c r="E328" s="7">
        <v>-2.0999999999999999E-3</v>
      </c>
      <c r="F328" s="7">
        <v>467</v>
      </c>
      <c r="G328" s="8">
        <f t="shared" si="22"/>
        <v>6.6435453257668604E-7</v>
      </c>
      <c r="H328" s="9">
        <f t="shared" si="23"/>
        <v>1.9930635977304564E-8</v>
      </c>
      <c r="I328" s="10">
        <f>SUM($H$3:H328)</f>
        <v>0.32095189347029429</v>
      </c>
      <c r="J328" s="23">
        <v>-2.0999999999999999E-3</v>
      </c>
      <c r="Q328" s="7">
        <f t="shared" si="21"/>
        <v>1.308751857224962E-10</v>
      </c>
      <c r="R328" s="7">
        <f t="shared" si="20"/>
        <v>1.1976314165174073E-10</v>
      </c>
    </row>
    <row r="329" spans="1:18" x14ac:dyDescent="0.25">
      <c r="A329" s="22">
        <v>45048</v>
      </c>
      <c r="B329" s="12">
        <v>198.39</v>
      </c>
      <c r="C329" s="13">
        <v>5.5999999999999999E-3</v>
      </c>
      <c r="D329" s="7">
        <v>633</v>
      </c>
      <c r="E329" s="7">
        <v>-2.0999999999999999E-3</v>
      </c>
      <c r="F329" s="7">
        <v>385</v>
      </c>
      <c r="G329" s="8">
        <f t="shared" si="22"/>
        <v>8.0745381816917412E-6</v>
      </c>
      <c r="H329" s="9">
        <f t="shared" si="23"/>
        <v>2.4223614545080064E-7</v>
      </c>
      <c r="I329" s="10">
        <f>SUM($H$3:H329)</f>
        <v>0.32095213570643977</v>
      </c>
      <c r="J329" s="23">
        <v>-2.0999999999999999E-3</v>
      </c>
      <c r="Q329" s="7">
        <f t="shared" si="21"/>
        <v>1.3492287187886208E-10</v>
      </c>
      <c r="R329" s="7">
        <f t="shared" si="20"/>
        <v>1.2346715634200077E-10</v>
      </c>
    </row>
    <row r="330" spans="1:18" x14ac:dyDescent="0.25">
      <c r="A330" s="22">
        <v>45049</v>
      </c>
      <c r="B330" s="12">
        <v>197.68</v>
      </c>
      <c r="C330" s="13">
        <v>-3.5999999999999999E-3</v>
      </c>
      <c r="D330" s="7">
        <v>632</v>
      </c>
      <c r="E330" s="7">
        <v>-2.0999999999999999E-3</v>
      </c>
      <c r="F330" s="7">
        <v>273</v>
      </c>
      <c r="G330" s="8">
        <f t="shared" si="22"/>
        <v>2.4472788373190935E-4</v>
      </c>
      <c r="H330" s="9">
        <f t="shared" si="23"/>
        <v>7.3418365119587479E-6</v>
      </c>
      <c r="I330" s="10">
        <f>SUM($H$3:H330)</f>
        <v>0.32095947754295173</v>
      </c>
      <c r="J330" s="23">
        <v>-2.0999999999999999E-3</v>
      </c>
      <c r="Q330" s="7">
        <f t="shared" si="21"/>
        <v>1.3909574420501244E-10</v>
      </c>
      <c r="R330" s="7">
        <f t="shared" si="20"/>
        <v>1.2728572818762966E-10</v>
      </c>
    </row>
    <row r="331" spans="1:18" x14ac:dyDescent="0.25">
      <c r="A331" s="22">
        <v>45050</v>
      </c>
      <c r="B331" s="12">
        <v>199.44</v>
      </c>
      <c r="C331" s="13">
        <v>8.8999999999999999E-3</v>
      </c>
      <c r="D331" s="7">
        <v>631</v>
      </c>
      <c r="E331" s="7">
        <v>-2E-3</v>
      </c>
      <c r="F331" s="7">
        <v>684</v>
      </c>
      <c r="G331" s="8">
        <f t="shared" si="22"/>
        <v>8.9508903733973082E-10</v>
      </c>
      <c r="H331" s="9">
        <f t="shared" si="23"/>
        <v>2.6852671120197292E-11</v>
      </c>
      <c r="I331" s="10">
        <f>SUM($H$3:H331)</f>
        <v>0.32095947756980442</v>
      </c>
      <c r="J331" s="23">
        <v>-2E-3</v>
      </c>
      <c r="Q331" s="7">
        <f t="shared" si="21"/>
        <v>1.4339767443815716E-10</v>
      </c>
      <c r="R331" s="7">
        <f t="shared" si="20"/>
        <v>1.3122240019343265E-10</v>
      </c>
    </row>
    <row r="332" spans="1:18" x14ac:dyDescent="0.25">
      <c r="A332" s="22">
        <v>45051</v>
      </c>
      <c r="B332" s="12">
        <v>197.84</v>
      </c>
      <c r="C332" s="13">
        <v>-8.0000000000000002E-3</v>
      </c>
      <c r="D332" s="7">
        <v>630</v>
      </c>
      <c r="E332" s="7">
        <v>-2E-3</v>
      </c>
      <c r="F332" s="7">
        <v>641</v>
      </c>
      <c r="G332" s="8">
        <f t="shared" si="22"/>
        <v>3.3165126997808681E-9</v>
      </c>
      <c r="H332" s="9">
        <f t="shared" si="23"/>
        <v>9.9495380993445933E-11</v>
      </c>
      <c r="I332" s="10">
        <f>SUM($H$3:H332)</f>
        <v>0.32095947766929978</v>
      </c>
      <c r="J332" s="23">
        <v>-2E-3</v>
      </c>
      <c r="Q332" s="7">
        <f t="shared" si="21"/>
        <v>1.4783265405995585E-10</v>
      </c>
      <c r="R332" s="7">
        <f t="shared" si="20"/>
        <v>1.3528082494168315E-10</v>
      </c>
    </row>
    <row r="333" spans="1:18" x14ac:dyDescent="0.25">
      <c r="A333" s="22">
        <v>45054</v>
      </c>
      <c r="B333" s="12">
        <v>199.71</v>
      </c>
      <c r="C333" s="13">
        <v>9.4999999999999998E-3</v>
      </c>
      <c r="D333" s="7">
        <v>629</v>
      </c>
      <c r="E333" s="7">
        <v>-2E-3</v>
      </c>
      <c r="F333" s="7">
        <v>420</v>
      </c>
      <c r="G333" s="8">
        <f t="shared" si="22"/>
        <v>2.7805351644862608E-6</v>
      </c>
      <c r="H333" s="9">
        <f t="shared" si="23"/>
        <v>8.3416054934604502E-8</v>
      </c>
      <c r="I333" s="10">
        <f>SUM($H$3:H333)</f>
        <v>0.32095956108535473</v>
      </c>
      <c r="J333" s="23">
        <v>-2E-3</v>
      </c>
      <c r="Q333" s="7">
        <f t="shared" si="21"/>
        <v>1.5240479799995448E-10</v>
      </c>
      <c r="R333" s="7">
        <f t="shared" si="20"/>
        <v>1.3946476798111664E-10</v>
      </c>
    </row>
    <row r="334" spans="1:18" x14ac:dyDescent="0.25">
      <c r="A334" s="22">
        <v>45055</v>
      </c>
      <c r="B334" s="12">
        <v>199.7</v>
      </c>
      <c r="C334" s="13">
        <v>-1E-4</v>
      </c>
      <c r="D334" s="7">
        <v>628</v>
      </c>
      <c r="E334" s="7">
        <v>-2E-3</v>
      </c>
      <c r="F334" s="7">
        <v>367</v>
      </c>
      <c r="G334" s="8">
        <f t="shared" si="22"/>
        <v>1.3970967285654848E-5</v>
      </c>
      <c r="H334" s="9">
        <f t="shared" si="23"/>
        <v>4.1912901856972924E-7</v>
      </c>
      <c r="I334" s="10">
        <f>SUM($H$3:H334)</f>
        <v>0.32095998021437327</v>
      </c>
      <c r="J334" s="23">
        <v>-2E-3</v>
      </c>
      <c r="Q334" s="7">
        <f t="shared" si="21"/>
        <v>1.5711834845356133E-10</v>
      </c>
      <c r="R334" s="7">
        <f t="shared" si="20"/>
        <v>1.4377811132073881E-10</v>
      </c>
    </row>
    <row r="335" spans="1:18" x14ac:dyDescent="0.25">
      <c r="A335" s="22">
        <v>45056</v>
      </c>
      <c r="B335" s="12">
        <v>200</v>
      </c>
      <c r="C335" s="13">
        <v>1.5E-3</v>
      </c>
      <c r="D335" s="7">
        <v>627</v>
      </c>
      <c r="E335" s="7">
        <v>-2E-3</v>
      </c>
      <c r="F335" s="7">
        <v>157</v>
      </c>
      <c r="G335" s="8">
        <f t="shared" si="22"/>
        <v>8.3784229434930371E-3</v>
      </c>
      <c r="H335" s="9">
        <f t="shared" si="23"/>
        <v>2.5135268830484133E-4</v>
      </c>
      <c r="I335" s="10">
        <f>SUM($H$3:H335)</f>
        <v>0.32121133290267811</v>
      </c>
      <c r="J335" s="23">
        <v>-2E-3</v>
      </c>
      <c r="Q335" s="7">
        <f t="shared" si="21"/>
        <v>1.6197767881810446E-10</v>
      </c>
      <c r="R335" s="7">
        <f t="shared" si="20"/>
        <v>1.4822485703168951E-10</v>
      </c>
    </row>
    <row r="336" spans="1:18" x14ac:dyDescent="0.25">
      <c r="A336" s="22">
        <v>45057</v>
      </c>
      <c r="B336" s="12">
        <v>200.35</v>
      </c>
      <c r="C336" s="13">
        <v>1.8E-3</v>
      </c>
      <c r="D336" s="7">
        <v>626</v>
      </c>
      <c r="E336" s="7">
        <v>-2E-3</v>
      </c>
      <c r="F336" s="7">
        <v>119</v>
      </c>
      <c r="G336" s="8">
        <f t="shared" si="22"/>
        <v>2.6658541032798896E-2</v>
      </c>
      <c r="H336" s="9">
        <f t="shared" si="23"/>
        <v>7.9975623098412678E-4</v>
      </c>
      <c r="I336" s="10">
        <f>SUM($H$3:H336)</f>
        <v>0.32201108913366222</v>
      </c>
      <c r="J336" s="23">
        <v>-2E-3</v>
      </c>
      <c r="Q336" s="7">
        <f t="shared" si="21"/>
        <v>1.6698729775062315E-10</v>
      </c>
      <c r="R336" s="7">
        <f t="shared" si="20"/>
        <v>1.5280913096050464E-10</v>
      </c>
    </row>
    <row r="337" spans="1:18" x14ac:dyDescent="0.25">
      <c r="A337" s="22">
        <v>45058</v>
      </c>
      <c r="B337" s="12">
        <v>200.26</v>
      </c>
      <c r="C337" s="13">
        <v>-4.0000000000000002E-4</v>
      </c>
      <c r="D337" s="7">
        <v>625</v>
      </c>
      <c r="E337" s="7">
        <v>-2E-3</v>
      </c>
      <c r="F337" s="7">
        <v>117</v>
      </c>
      <c r="G337" s="8">
        <f t="shared" si="22"/>
        <v>2.8333022672758952E-2</v>
      </c>
      <c r="H337" s="9">
        <f t="shared" si="23"/>
        <v>8.4999068018293841E-4</v>
      </c>
      <c r="I337" s="10">
        <f>SUM($H$3:H337)</f>
        <v>0.32286107981384515</v>
      </c>
      <c r="J337" s="23">
        <v>-2E-3</v>
      </c>
      <c r="Q337" s="7">
        <f t="shared" si="21"/>
        <v>1.7215185335115789E-10</v>
      </c>
      <c r="R337" s="7">
        <f t="shared" si="20"/>
        <v>1.5753518655722128E-10</v>
      </c>
    </row>
    <row r="338" spans="1:18" x14ac:dyDescent="0.25">
      <c r="A338" s="22">
        <v>45061</v>
      </c>
      <c r="B338" s="12">
        <v>201.34</v>
      </c>
      <c r="C338" s="13">
        <v>5.4000000000000003E-3</v>
      </c>
      <c r="D338" s="7">
        <v>624</v>
      </c>
      <c r="E338" s="7">
        <v>-1.9E-3</v>
      </c>
      <c r="F338" s="7">
        <v>926</v>
      </c>
      <c r="G338" s="8">
        <f t="shared" si="22"/>
        <v>5.6315238864907246E-13</v>
      </c>
      <c r="H338" s="9">
        <f t="shared" si="23"/>
        <v>1.6894571659475551E-14</v>
      </c>
      <c r="I338" s="10">
        <f>SUM($H$3:H338)</f>
        <v>0.32286107981386203</v>
      </c>
      <c r="J338" s="23">
        <v>-1.9E-3</v>
      </c>
      <c r="Q338" s="7">
        <f t="shared" si="21"/>
        <v>1.7747613747542048E-10</v>
      </c>
      <c r="R338" s="7">
        <f t="shared" si="20"/>
        <v>1.624074088218776E-10</v>
      </c>
    </row>
    <row r="339" spans="1:18" x14ac:dyDescent="0.25">
      <c r="A339" s="22">
        <v>45062</v>
      </c>
      <c r="B339" s="12">
        <v>200.51</v>
      </c>
      <c r="C339" s="13">
        <v>-4.1000000000000003E-3</v>
      </c>
      <c r="D339" s="7">
        <v>623</v>
      </c>
      <c r="E339" s="7">
        <v>-1.9E-3</v>
      </c>
      <c r="F339" s="7">
        <v>872</v>
      </c>
      <c r="G339" s="8">
        <f t="shared" si="22"/>
        <v>2.9171064677089456E-12</v>
      </c>
      <c r="H339" s="9">
        <f t="shared" si="23"/>
        <v>8.7513194031285861E-14</v>
      </c>
      <c r="I339" s="10">
        <f>SUM($H$3:H339)</f>
        <v>0.32286107981394951</v>
      </c>
      <c r="J339" s="23">
        <v>-1.9E-3</v>
      </c>
      <c r="Q339" s="7">
        <f t="shared" si="21"/>
        <v>1.8296509018084589E-10</v>
      </c>
      <c r="R339" s="7">
        <f t="shared" si="20"/>
        <v>1.674303183730697E-10</v>
      </c>
    </row>
    <row r="340" spans="1:18" x14ac:dyDescent="0.25">
      <c r="A340" s="22">
        <v>45063</v>
      </c>
      <c r="B340" s="12">
        <v>199.76</v>
      </c>
      <c r="C340" s="13">
        <v>-3.7000000000000002E-3</v>
      </c>
      <c r="D340" s="7">
        <v>622</v>
      </c>
      <c r="E340" s="7">
        <v>-1.9E-3</v>
      </c>
      <c r="F340" s="7">
        <v>358</v>
      </c>
      <c r="G340" s="8">
        <f t="shared" si="22"/>
        <v>1.8377264552148475E-5</v>
      </c>
      <c r="H340" s="9">
        <f t="shared" si="23"/>
        <v>5.5131793656456447E-7</v>
      </c>
      <c r="I340" s="10">
        <f>SUM($H$3:H340)</f>
        <v>0.3228616311318861</v>
      </c>
      <c r="J340" s="23">
        <v>-1.9E-3</v>
      </c>
      <c r="Q340" s="7">
        <f t="shared" si="21"/>
        <v>1.886238043101504E-10</v>
      </c>
      <c r="R340" s="7">
        <f t="shared" si="20"/>
        <v>1.7260857564233992E-10</v>
      </c>
    </row>
    <row r="341" spans="1:18" x14ac:dyDescent="0.25">
      <c r="A341" s="22">
        <v>45064</v>
      </c>
      <c r="B341" s="12">
        <v>199.05</v>
      </c>
      <c r="C341" s="13">
        <v>-3.5999999999999999E-3</v>
      </c>
      <c r="D341" s="7">
        <v>621</v>
      </c>
      <c r="E341" s="7">
        <v>-1.9E-3</v>
      </c>
      <c r="F341" s="7">
        <v>289</v>
      </c>
      <c r="G341" s="8">
        <f t="shared" si="22"/>
        <v>1.5032499668651668E-4</v>
      </c>
      <c r="H341" s="9">
        <f t="shared" si="23"/>
        <v>4.5097499005964014E-6</v>
      </c>
      <c r="I341" s="10">
        <f>SUM($H$3:H341)</f>
        <v>0.32286614088178667</v>
      </c>
      <c r="J341" s="23">
        <v>-1.9E-3</v>
      </c>
      <c r="Q341" s="7">
        <f t="shared" si="21"/>
        <v>1.944575302166499E-10</v>
      </c>
      <c r="R341" s="7">
        <f t="shared" si="20"/>
        <v>1.7794698519828856E-10</v>
      </c>
    </row>
    <row r="342" spans="1:18" x14ac:dyDescent="0.25">
      <c r="A342" s="22">
        <v>45065</v>
      </c>
      <c r="B342" s="12">
        <v>199.82</v>
      </c>
      <c r="C342" s="13">
        <v>3.8999999999999998E-3</v>
      </c>
      <c r="D342" s="7">
        <v>620</v>
      </c>
      <c r="E342" s="7">
        <v>-1.8E-3</v>
      </c>
      <c r="F342" s="7">
        <v>732</v>
      </c>
      <c r="G342" s="8">
        <f t="shared" si="22"/>
        <v>2.0744811021026463E-10</v>
      </c>
      <c r="H342" s="9">
        <f t="shared" si="23"/>
        <v>6.2234433063091831E-12</v>
      </c>
      <c r="I342" s="10">
        <f>SUM($H$3:H342)</f>
        <v>0.32286614088801013</v>
      </c>
      <c r="J342" s="23">
        <v>-1.8E-3</v>
      </c>
      <c r="Q342" s="7">
        <f t="shared" si="21"/>
        <v>2.0047168063572154E-10</v>
      </c>
      <c r="R342" s="7">
        <f t="shared" si="20"/>
        <v>1.834505002044212E-10</v>
      </c>
    </row>
    <row r="343" spans="1:18" x14ac:dyDescent="0.25">
      <c r="A343" s="22">
        <v>45068</v>
      </c>
      <c r="B343" s="12">
        <v>200.74</v>
      </c>
      <c r="C343" s="13">
        <v>4.5999999999999999E-3</v>
      </c>
      <c r="D343" s="7">
        <v>619</v>
      </c>
      <c r="E343" s="7">
        <v>-1.8E-3</v>
      </c>
      <c r="F343" s="7">
        <v>339</v>
      </c>
      <c r="G343" s="8">
        <f t="shared" si="22"/>
        <v>3.2780676826543041E-5</v>
      </c>
      <c r="H343" s="9">
        <f t="shared" si="23"/>
        <v>9.8342030479648789E-7</v>
      </c>
      <c r="I343" s="10">
        <f>SUM($H$3:H343)</f>
        <v>0.32286712430831493</v>
      </c>
      <c r="J343" s="23">
        <v>-1.8E-3</v>
      </c>
      <c r="Q343" s="7">
        <f t="shared" si="21"/>
        <v>2.0667183570692947E-10</v>
      </c>
      <c r="R343" s="7">
        <f t="shared" si="20"/>
        <v>1.8912422701486723E-10</v>
      </c>
    </row>
    <row r="344" spans="1:18" x14ac:dyDescent="0.25">
      <c r="A344" s="22">
        <v>45069</v>
      </c>
      <c r="B344" s="12">
        <v>201.02</v>
      </c>
      <c r="C344" s="13">
        <v>1.4E-3</v>
      </c>
      <c r="D344" s="7">
        <v>618</v>
      </c>
      <c r="E344" s="7">
        <v>-1.8E-3</v>
      </c>
      <c r="F344" s="7">
        <v>52</v>
      </c>
      <c r="G344" s="8">
        <f t="shared" si="22"/>
        <v>0.20517771166437568</v>
      </c>
      <c r="H344" s="9">
        <f t="shared" si="23"/>
        <v>6.1553313499325005E-3</v>
      </c>
      <c r="I344" s="10">
        <f>SUM($H$3:H344)</f>
        <v>0.32902245565824745</v>
      </c>
      <c r="J344" s="23">
        <v>-1.8E-3</v>
      </c>
      <c r="Q344" s="7">
        <f t="shared" si="21"/>
        <v>2.1306374815147363E-10</v>
      </c>
      <c r="R344" s="7">
        <f t="shared" si="20"/>
        <v>1.9497342991223423E-10</v>
      </c>
    </row>
    <row r="345" spans="1:18" x14ac:dyDescent="0.25">
      <c r="A345" s="22">
        <v>45070</v>
      </c>
      <c r="B345" s="12">
        <v>200.24</v>
      </c>
      <c r="C345" s="13">
        <v>-3.8999999999999998E-3</v>
      </c>
      <c r="D345" s="7">
        <v>617</v>
      </c>
      <c r="E345" s="7">
        <v>-1.6999999999999999E-3</v>
      </c>
      <c r="F345" s="7">
        <v>880</v>
      </c>
      <c r="G345" s="8">
        <f t="shared" si="22"/>
        <v>2.2862628228396401E-12</v>
      </c>
      <c r="H345" s="9">
        <f t="shared" si="23"/>
        <v>6.8587884685202907E-14</v>
      </c>
      <c r="I345" s="10">
        <f>SUM($H$3:H345)</f>
        <v>0.32902245565831606</v>
      </c>
      <c r="J345" s="23">
        <v>-1.6999999999999999E-3</v>
      </c>
      <c r="Q345" s="7">
        <f t="shared" si="21"/>
        <v>2.1965334860976666E-10</v>
      </c>
      <c r="R345" s="7">
        <f t="shared" si="20"/>
        <v>2.0100353599199408E-10</v>
      </c>
    </row>
    <row r="346" spans="1:18" x14ac:dyDescent="0.25">
      <c r="A346" s="22">
        <v>45071</v>
      </c>
      <c r="B346" s="12">
        <v>200.7</v>
      </c>
      <c r="C346" s="13">
        <v>2.3E-3</v>
      </c>
      <c r="D346" s="7">
        <v>616</v>
      </c>
      <c r="E346" s="7">
        <v>-1.6999999999999999E-3</v>
      </c>
      <c r="F346" s="7">
        <v>677</v>
      </c>
      <c r="G346" s="8">
        <f t="shared" si="22"/>
        <v>1.107806982686862E-9</v>
      </c>
      <c r="H346" s="9">
        <f t="shared" si="23"/>
        <v>3.3234209480612503E-11</v>
      </c>
      <c r="I346" s="10">
        <f>SUM($H$3:H346)</f>
        <v>0.32902245569155025</v>
      </c>
      <c r="J346" s="23">
        <v>-1.6999999999999999E-3</v>
      </c>
      <c r="Q346" s="7">
        <f t="shared" si="21"/>
        <v>2.2644675114408935E-10</v>
      </c>
      <c r="R346" s="7">
        <f t="shared" si="20"/>
        <v>2.0722014019793205E-10</v>
      </c>
    </row>
    <row r="347" spans="1:18" x14ac:dyDescent="0.25">
      <c r="A347" s="22">
        <v>45072</v>
      </c>
      <c r="B347" s="12">
        <v>202.85</v>
      </c>
      <c r="C347" s="13">
        <v>1.0699999999999999E-2</v>
      </c>
      <c r="D347" s="7">
        <v>615</v>
      </c>
      <c r="E347" s="7">
        <v>-1.6999999999999999E-3</v>
      </c>
      <c r="F347" s="7">
        <v>337</v>
      </c>
      <c r="G347" s="8">
        <f t="shared" si="22"/>
        <v>3.4839703291043725E-5</v>
      </c>
      <c r="H347" s="9">
        <f t="shared" si="23"/>
        <v>1.0451910987315206E-6</v>
      </c>
      <c r="I347" s="10">
        <f>SUM($H$3:H347)</f>
        <v>0.32902350088264898</v>
      </c>
      <c r="J347" s="23">
        <v>-1.6999999999999999E-3</v>
      </c>
      <c r="Q347" s="7">
        <f t="shared" si="21"/>
        <v>2.334502589114323E-10</v>
      </c>
      <c r="R347" s="7">
        <f t="shared" si="20"/>
        <v>2.13629010513332E-10</v>
      </c>
    </row>
    <row r="348" spans="1:18" x14ac:dyDescent="0.25">
      <c r="A348" s="22">
        <v>45075</v>
      </c>
      <c r="B348" s="12">
        <v>204.14</v>
      </c>
      <c r="C348" s="13">
        <v>6.4000000000000003E-3</v>
      </c>
      <c r="D348" s="7">
        <v>614</v>
      </c>
      <c r="E348" s="7">
        <v>-1.6999999999999999E-3</v>
      </c>
      <c r="F348" s="7">
        <v>265</v>
      </c>
      <c r="G348" s="8">
        <f t="shared" si="22"/>
        <v>3.1225512890787575E-4</v>
      </c>
      <c r="H348" s="9">
        <f t="shared" si="23"/>
        <v>9.3676538672381439E-6</v>
      </c>
      <c r="I348" s="10">
        <f>SUM($H$3:H348)</f>
        <v>0.3290328685365162</v>
      </c>
      <c r="J348" s="23">
        <v>-1.6999999999999999E-3</v>
      </c>
      <c r="Q348" s="7">
        <f t="shared" si="21"/>
        <v>2.4067037001178588E-10</v>
      </c>
      <c r="R348" s="7">
        <f t="shared" si="20"/>
        <v>2.202360933127134E-10</v>
      </c>
    </row>
    <row r="349" spans="1:18" x14ac:dyDescent="0.25">
      <c r="A349" s="22">
        <v>45076</v>
      </c>
      <c r="B349" s="12">
        <v>204.36</v>
      </c>
      <c r="C349" s="13">
        <v>1.1000000000000001E-3</v>
      </c>
      <c r="D349" s="7">
        <v>613</v>
      </c>
      <c r="E349" s="7">
        <v>-1.6999999999999999E-3</v>
      </c>
      <c r="F349" s="7">
        <v>233</v>
      </c>
      <c r="G349" s="8">
        <f t="shared" si="22"/>
        <v>8.2758780801553921E-4</v>
      </c>
      <c r="H349" s="9">
        <f t="shared" si="23"/>
        <v>2.4827634240471138E-5</v>
      </c>
      <c r="I349" s="10">
        <f>SUM($H$3:H349)</f>
        <v>0.3290576961707567</v>
      </c>
      <c r="J349" s="23">
        <v>-1.6999999999999999E-3</v>
      </c>
      <c r="Q349" s="7">
        <f t="shared" si="21"/>
        <v>2.4811378351730501E-10</v>
      </c>
      <c r="R349" s="7">
        <f t="shared" si="20"/>
        <v>2.2704751887908595E-10</v>
      </c>
    </row>
    <row r="350" spans="1:18" x14ac:dyDescent="0.25">
      <c r="A350" s="22">
        <v>45077</v>
      </c>
      <c r="B350" s="12">
        <v>203.66</v>
      </c>
      <c r="C350" s="13">
        <v>-3.3999999999999998E-3</v>
      </c>
      <c r="D350" s="7">
        <v>612</v>
      </c>
      <c r="E350" s="7">
        <v>-1.6000000000000001E-3</v>
      </c>
      <c r="F350" s="7">
        <v>927</v>
      </c>
      <c r="G350" s="8">
        <f t="shared" si="22"/>
        <v>5.4625781698960021E-13</v>
      </c>
      <c r="H350" s="9">
        <f t="shared" si="23"/>
        <v>1.638773450969128E-14</v>
      </c>
      <c r="I350" s="10">
        <f>SUM($H$3:H350)</f>
        <v>0.32905769617077307</v>
      </c>
      <c r="J350" s="23">
        <v>-1.6000000000000001E-3</v>
      </c>
      <c r="Q350" s="7">
        <f t="shared" si="21"/>
        <v>2.5578740568794334E-10</v>
      </c>
      <c r="R350" s="7">
        <f t="shared" si="20"/>
        <v>2.3406960709184123E-10</v>
      </c>
    </row>
    <row r="351" spans="1:18" x14ac:dyDescent="0.25">
      <c r="A351" s="22">
        <v>45078</v>
      </c>
      <c r="B351" s="12">
        <v>202.99</v>
      </c>
      <c r="C351" s="13">
        <v>-3.3E-3</v>
      </c>
      <c r="D351" s="7">
        <v>611</v>
      </c>
      <c r="E351" s="7">
        <v>-1.6000000000000001E-3</v>
      </c>
      <c r="F351" s="7">
        <v>859</v>
      </c>
      <c r="G351" s="8">
        <f t="shared" si="22"/>
        <v>4.334307653190147E-12</v>
      </c>
      <c r="H351" s="9">
        <f t="shared" si="23"/>
        <v>1.300292295957304E-13</v>
      </c>
      <c r="I351" s="10">
        <f>SUM($H$3:H351)</f>
        <v>0.32905769617090308</v>
      </c>
      <c r="J351" s="23">
        <v>-1.6000000000000001E-3</v>
      </c>
      <c r="Q351" s="7">
        <f t="shared" si="21"/>
        <v>2.6369835637932309E-10</v>
      </c>
      <c r="R351" s="7">
        <f t="shared" si="20"/>
        <v>2.4130887329055803E-10</v>
      </c>
    </row>
    <row r="352" spans="1:18" x14ac:dyDescent="0.25">
      <c r="A352" s="22">
        <v>45079</v>
      </c>
      <c r="B352" s="12">
        <v>203.84</v>
      </c>
      <c r="C352" s="13">
        <v>4.1999999999999997E-3</v>
      </c>
      <c r="D352" s="7">
        <v>610</v>
      </c>
      <c r="E352" s="7">
        <v>-1.6000000000000001E-3</v>
      </c>
      <c r="F352" s="7">
        <v>691</v>
      </c>
      <c r="G352" s="8">
        <f t="shared" si="22"/>
        <v>7.232165867221587E-10</v>
      </c>
      <c r="H352" s="9">
        <f t="shared" si="23"/>
        <v>2.1696497601669096E-11</v>
      </c>
      <c r="I352" s="10">
        <f>SUM($H$3:H352)</f>
        <v>0.32905769619259956</v>
      </c>
      <c r="J352" s="23">
        <v>-1.6000000000000001E-3</v>
      </c>
      <c r="Q352" s="7">
        <f t="shared" si="21"/>
        <v>2.7185397564878668E-10</v>
      </c>
      <c r="R352" s="7">
        <f t="shared" si="20"/>
        <v>2.4877203432016288E-10</v>
      </c>
    </row>
    <row r="353" spans="1:18" x14ac:dyDescent="0.25">
      <c r="A353" s="22">
        <v>45082</v>
      </c>
      <c r="B353" s="12">
        <v>204.28</v>
      </c>
      <c r="C353" s="13">
        <v>2.2000000000000001E-3</v>
      </c>
      <c r="D353" s="7">
        <v>609</v>
      </c>
      <c r="E353" s="7">
        <v>-1.6000000000000001E-3</v>
      </c>
      <c r="F353" s="7">
        <v>647</v>
      </c>
      <c r="G353" s="8">
        <f t="shared" si="22"/>
        <v>2.7625622329089604E-9</v>
      </c>
      <c r="H353" s="9">
        <f t="shared" si="23"/>
        <v>8.2876866987285378E-11</v>
      </c>
      <c r="I353" s="10">
        <f>SUM($H$3:H353)</f>
        <v>0.32905769627547643</v>
      </c>
      <c r="J353" s="23">
        <v>-1.6000000000000001E-3</v>
      </c>
      <c r="Q353" s="7">
        <f t="shared" si="21"/>
        <v>2.8026183056575939E-10</v>
      </c>
      <c r="R353" s="7">
        <f t="shared" si="20"/>
        <v>2.5646601476305445E-10</v>
      </c>
    </row>
    <row r="354" spans="1:18" x14ac:dyDescent="0.25">
      <c r="A354" s="22">
        <v>45083</v>
      </c>
      <c r="B354" s="12">
        <v>204.04</v>
      </c>
      <c r="C354" s="13">
        <v>-1.1999999999999999E-3</v>
      </c>
      <c r="D354" s="7">
        <v>608</v>
      </c>
      <c r="E354" s="7">
        <v>-1.6000000000000001E-3</v>
      </c>
      <c r="F354" s="7">
        <v>569</v>
      </c>
      <c r="G354" s="8">
        <f t="shared" si="22"/>
        <v>2.9724653276852211E-8</v>
      </c>
      <c r="H354" s="9">
        <f t="shared" si="23"/>
        <v>8.9173959830574452E-10</v>
      </c>
      <c r="I354" s="10">
        <f>SUM($H$3:H354)</f>
        <v>0.329057697167216</v>
      </c>
      <c r="J354" s="23">
        <v>-1.6000000000000001E-3</v>
      </c>
      <c r="Q354" s="7">
        <f t="shared" si="21"/>
        <v>2.8892972223274168E-10</v>
      </c>
      <c r="R354" s="7">
        <f t="shared" si="20"/>
        <v>2.6439795336397373E-10</v>
      </c>
    </row>
    <row r="355" spans="1:18" x14ac:dyDescent="0.25">
      <c r="A355" s="22">
        <v>45084</v>
      </c>
      <c r="B355" s="12">
        <v>205.34</v>
      </c>
      <c r="C355" s="13">
        <v>6.4000000000000003E-3</v>
      </c>
      <c r="D355" s="7">
        <v>607</v>
      </c>
      <c r="E355" s="7">
        <v>-1.6000000000000001E-3</v>
      </c>
      <c r="F355" s="7">
        <v>299</v>
      </c>
      <c r="G355" s="8">
        <f t="shared" si="22"/>
        <v>1.1085327943203752E-4</v>
      </c>
      <c r="H355" s="9">
        <f t="shared" si="23"/>
        <v>3.3255983829617901E-6</v>
      </c>
      <c r="I355" s="10">
        <f>SUM($H$3:H355)</f>
        <v>0.32906102276559895</v>
      </c>
      <c r="J355" s="23">
        <v>-1.6000000000000001E-3</v>
      </c>
      <c r="Q355" s="7">
        <f t="shared" si="21"/>
        <v>2.9786569302344503E-10</v>
      </c>
      <c r="R355" s="7">
        <f t="shared" si="20"/>
        <v>2.7257520965358112E-10</v>
      </c>
    </row>
    <row r="356" spans="1:18" x14ac:dyDescent="0.25">
      <c r="A356" s="22">
        <v>45085</v>
      </c>
      <c r="B356" s="12">
        <v>204.51</v>
      </c>
      <c r="C356" s="13">
        <v>-4.0000000000000001E-3</v>
      </c>
      <c r="D356" s="7">
        <v>606</v>
      </c>
      <c r="E356" s="7">
        <v>-1.6000000000000001E-3</v>
      </c>
      <c r="F356" s="7">
        <v>175</v>
      </c>
      <c r="G356" s="8">
        <f t="shared" si="22"/>
        <v>4.8423201183113822E-3</v>
      </c>
      <c r="H356" s="9">
        <f t="shared" si="23"/>
        <v>1.4526960354937051E-4</v>
      </c>
      <c r="I356" s="10">
        <f>SUM($H$3:H356)</f>
        <v>0.32920629236914833</v>
      </c>
      <c r="J356" s="23">
        <v>-1.6000000000000001E-3</v>
      </c>
      <c r="Q356" s="7">
        <f t="shared" si="21"/>
        <v>3.0707803404478865E-10</v>
      </c>
      <c r="R356" s="7">
        <f t="shared" si="20"/>
        <v>2.8100537077688772E-10</v>
      </c>
    </row>
    <row r="357" spans="1:18" x14ac:dyDescent="0.25">
      <c r="A357" s="22">
        <v>45086</v>
      </c>
      <c r="B357" s="12">
        <v>204.03</v>
      </c>
      <c r="C357" s="13">
        <v>-2.3E-3</v>
      </c>
      <c r="D357" s="7">
        <v>605</v>
      </c>
      <c r="E357" s="7">
        <v>-1.5E-3</v>
      </c>
      <c r="F357" s="7">
        <v>904</v>
      </c>
      <c r="G357" s="8">
        <f t="shared" si="22"/>
        <v>1.1006462967315144E-12</v>
      </c>
      <c r="H357" s="9">
        <f t="shared" si="23"/>
        <v>3.3019388901952034E-14</v>
      </c>
      <c r="I357" s="10">
        <f>SUM($H$3:H357)</f>
        <v>0.32920629236918136</v>
      </c>
      <c r="J357" s="23">
        <v>-1.5E-3</v>
      </c>
      <c r="Q357" s="7">
        <f t="shared" si="21"/>
        <v>3.1657529282967906E-10</v>
      </c>
      <c r="R357" s="7">
        <f t="shared" si="20"/>
        <v>2.8969625853287398E-10</v>
      </c>
    </row>
    <row r="358" spans="1:18" x14ac:dyDescent="0.25">
      <c r="A358" s="22">
        <v>45089</v>
      </c>
      <c r="B358" s="12">
        <v>204.46</v>
      </c>
      <c r="C358" s="13">
        <v>2.0999999999999999E-3</v>
      </c>
      <c r="D358" s="7">
        <v>604</v>
      </c>
      <c r="E358" s="7">
        <v>-1.5E-3</v>
      </c>
      <c r="F358" s="7">
        <v>838</v>
      </c>
      <c r="G358" s="8">
        <f t="shared" si="22"/>
        <v>8.2170005324100727E-12</v>
      </c>
      <c r="H358" s="9">
        <f t="shared" si="23"/>
        <v>2.4651001597235147E-13</v>
      </c>
      <c r="I358" s="10">
        <f>SUM($H$3:H358)</f>
        <v>0.32920629236942789</v>
      </c>
      <c r="J358" s="23">
        <v>-1.5E-3</v>
      </c>
      <c r="Q358" s="7">
        <f t="shared" si="21"/>
        <v>3.2636628126771039E-10</v>
      </c>
      <c r="R358" s="7">
        <f t="shared" si="20"/>
        <v>2.9865593663182889E-10</v>
      </c>
    </row>
    <row r="359" spans="1:18" x14ac:dyDescent="0.25">
      <c r="A359" s="22">
        <v>45090</v>
      </c>
      <c r="B359" s="12">
        <v>205.45</v>
      </c>
      <c r="C359" s="13">
        <v>4.7999999999999996E-3</v>
      </c>
      <c r="D359" s="7">
        <v>603</v>
      </c>
      <c r="E359" s="7">
        <v>-1.5E-3</v>
      </c>
      <c r="F359" s="7">
        <v>750</v>
      </c>
      <c r="G359" s="8">
        <f t="shared" si="22"/>
        <v>1.1989489720819034E-10</v>
      </c>
      <c r="H359" s="9">
        <f t="shared" si="23"/>
        <v>3.5968469162464292E-12</v>
      </c>
      <c r="I359" s="10">
        <f>SUM($H$3:H359)</f>
        <v>0.32920629237302473</v>
      </c>
      <c r="J359" s="23">
        <v>-1.5E-3</v>
      </c>
      <c r="Q359" s="7">
        <f t="shared" si="21"/>
        <v>3.3646008378114467E-10</v>
      </c>
      <c r="R359" s="7">
        <f t="shared" si="20"/>
        <v>3.0789271817714309E-10</v>
      </c>
    </row>
    <row r="360" spans="1:18" x14ac:dyDescent="0.25">
      <c r="A360" s="22">
        <v>45091</v>
      </c>
      <c r="B360" s="12">
        <v>205.85</v>
      </c>
      <c r="C360" s="13">
        <v>1.9E-3</v>
      </c>
      <c r="D360" s="7">
        <v>602</v>
      </c>
      <c r="E360" s="7">
        <v>-1.5E-3</v>
      </c>
      <c r="F360" s="7">
        <v>731</v>
      </c>
      <c r="G360" s="8">
        <f t="shared" si="22"/>
        <v>2.1386403114460278E-10</v>
      </c>
      <c r="H360" s="9">
        <f t="shared" si="23"/>
        <v>6.4159209343393656E-12</v>
      </c>
      <c r="I360" s="10">
        <f>SUM($H$3:H360)</f>
        <v>0.32920629237944066</v>
      </c>
      <c r="J360" s="23">
        <v>-1.5E-3</v>
      </c>
      <c r="Q360" s="7">
        <f t="shared" si="21"/>
        <v>3.4686606575375749E-10</v>
      </c>
      <c r="R360" s="7">
        <f t="shared" si="20"/>
        <v>3.1741517337849815E-10</v>
      </c>
    </row>
    <row r="361" spans="1:18" x14ac:dyDescent="0.25">
      <c r="A361" s="22">
        <v>45092</v>
      </c>
      <c r="B361" s="12">
        <v>205.31</v>
      </c>
      <c r="C361" s="13">
        <v>-2.5999999999999999E-3</v>
      </c>
      <c r="D361" s="7">
        <v>601</v>
      </c>
      <c r="E361" s="7">
        <v>-1.5E-3</v>
      </c>
      <c r="F361" s="7">
        <v>382</v>
      </c>
      <c r="G361" s="8">
        <f t="shared" si="22"/>
        <v>8.8471316470321124E-6</v>
      </c>
      <c r="H361" s="9">
        <f t="shared" si="23"/>
        <v>2.6541394941101641E-7</v>
      </c>
      <c r="I361" s="10">
        <f>SUM($H$3:H361)</f>
        <v>0.32920655779339009</v>
      </c>
      <c r="J361" s="23">
        <v>-1.5E-3</v>
      </c>
      <c r="Q361" s="7">
        <f t="shared" si="21"/>
        <v>3.5759388222036852E-10</v>
      </c>
      <c r="R361" s="7">
        <f t="shared" si="20"/>
        <v>3.2723213750360633E-10</v>
      </c>
    </row>
    <row r="362" spans="1:18" x14ac:dyDescent="0.25">
      <c r="A362" s="22">
        <v>45093</v>
      </c>
      <c r="B362" s="12">
        <v>206.69</v>
      </c>
      <c r="C362" s="13">
        <v>6.7000000000000002E-3</v>
      </c>
      <c r="D362" s="7">
        <v>600</v>
      </c>
      <c r="E362" s="7">
        <v>-1.4E-3</v>
      </c>
      <c r="F362" s="7">
        <v>743</v>
      </c>
      <c r="G362" s="8">
        <f t="shared" si="22"/>
        <v>1.4838792430137305E-10</v>
      </c>
      <c r="H362" s="9">
        <f t="shared" si="23"/>
        <v>4.4516377290420812E-12</v>
      </c>
      <c r="I362" s="10">
        <f>SUM($H$3:H362)</f>
        <v>0.32920655779784175</v>
      </c>
      <c r="J362" s="23">
        <v>-1.4E-3</v>
      </c>
      <c r="Q362" s="7">
        <f t="shared" si="21"/>
        <v>3.686534868251222E-10</v>
      </c>
      <c r="R362" s="7">
        <f t="shared" si="20"/>
        <v>3.3735271907588281E-10</v>
      </c>
    </row>
    <row r="363" spans="1:18" x14ac:dyDescent="0.25">
      <c r="A363" s="22">
        <v>45096</v>
      </c>
      <c r="B363" s="12">
        <v>205.87</v>
      </c>
      <c r="C363" s="13">
        <v>-4.0000000000000001E-3</v>
      </c>
      <c r="D363" s="7">
        <v>599</v>
      </c>
      <c r="E363" s="7">
        <v>-1.4E-3</v>
      </c>
      <c r="F363" s="7">
        <v>93</v>
      </c>
      <c r="G363" s="8">
        <f t="shared" si="22"/>
        <v>5.8853363326404465E-2</v>
      </c>
      <c r="H363" s="9">
        <f t="shared" si="23"/>
        <v>1.7656008997924868E-3</v>
      </c>
      <c r="I363" s="10">
        <f>SUM($H$3:H363)</f>
        <v>0.33097215869763424</v>
      </c>
      <c r="J363" s="23">
        <v>-1.4E-3</v>
      </c>
      <c r="Q363" s="7">
        <f t="shared" si="21"/>
        <v>3.8005514105682693E-10</v>
      </c>
      <c r="R363" s="7">
        <f t="shared" si="20"/>
        <v>3.4778630832565233E-10</v>
      </c>
    </row>
    <row r="364" spans="1:18" x14ac:dyDescent="0.25">
      <c r="A364" s="22">
        <v>45097</v>
      </c>
      <c r="B364" s="12">
        <v>206.5</v>
      </c>
      <c r="C364" s="13">
        <v>3.0999999999999999E-3</v>
      </c>
      <c r="D364" s="7">
        <v>598</v>
      </c>
      <c r="E364" s="7">
        <v>-1.4E-3</v>
      </c>
      <c r="F364" s="7">
        <v>89</v>
      </c>
      <c r="G364" s="8">
        <f t="shared" si="22"/>
        <v>6.6478980357249778E-2</v>
      </c>
      <c r="H364" s="9">
        <f t="shared" si="23"/>
        <v>1.9943694107178922E-3</v>
      </c>
      <c r="I364" s="10">
        <f>SUM($H$3:H364)</f>
        <v>0.33296652810835214</v>
      </c>
      <c r="J364" s="23">
        <v>-1.4E-3</v>
      </c>
      <c r="Q364" s="7">
        <f t="shared" si="21"/>
        <v>3.9180942376992477E-10</v>
      </c>
      <c r="R364" s="7">
        <f t="shared" si="20"/>
        <v>3.5854258590273443E-10</v>
      </c>
    </row>
    <row r="365" spans="1:18" x14ac:dyDescent="0.25">
      <c r="A365" s="22">
        <v>45098</v>
      </c>
      <c r="B365" s="12">
        <v>206.87</v>
      </c>
      <c r="C365" s="13">
        <v>1.8E-3</v>
      </c>
      <c r="D365" s="7">
        <v>597</v>
      </c>
      <c r="E365" s="7">
        <v>-1.4E-3</v>
      </c>
      <c r="F365" s="7">
        <v>86</v>
      </c>
      <c r="G365" s="8">
        <f t="shared" si="22"/>
        <v>7.2839867463209487E-2</v>
      </c>
      <c r="H365" s="9">
        <f t="shared" si="23"/>
        <v>2.1851960238967213E-3</v>
      </c>
      <c r="I365" s="10">
        <f>SUM($H$3:H365)</f>
        <v>0.33515172413224886</v>
      </c>
      <c r="J365" s="23">
        <v>-1.4E-3</v>
      </c>
      <c r="Q365" s="7">
        <f t="shared" si="21"/>
        <v>4.0392724099992242E-10</v>
      </c>
      <c r="R365" s="7">
        <f t="shared" si="20"/>
        <v>3.6963153185848907E-10</v>
      </c>
    </row>
    <row r="366" spans="1:18" x14ac:dyDescent="0.25">
      <c r="A366" s="22">
        <v>45099</v>
      </c>
      <c r="B366" s="12">
        <v>206.24</v>
      </c>
      <c r="C366" s="13">
        <v>-3.0000000000000001E-3</v>
      </c>
      <c r="D366" s="7">
        <v>596</v>
      </c>
      <c r="E366" s="7">
        <v>-1.4E-3</v>
      </c>
      <c r="F366" s="7">
        <v>43</v>
      </c>
      <c r="G366" s="8">
        <f t="shared" si="22"/>
        <v>0.26988862047742856</v>
      </c>
      <c r="H366" s="9">
        <f t="shared" si="23"/>
        <v>8.0966586143244746E-3</v>
      </c>
      <c r="I366" s="10">
        <f>SUM($H$3:H366)</f>
        <v>0.34324838274657332</v>
      </c>
      <c r="J366" s="23">
        <v>-1.4E-3</v>
      </c>
      <c r="Q366" s="7">
        <f t="shared" si="21"/>
        <v>4.1641983608239425E-10</v>
      </c>
      <c r="R366" s="7">
        <f t="shared" si="20"/>
        <v>3.8106343490565884E-10</v>
      </c>
    </row>
    <row r="367" spans="1:18" x14ac:dyDescent="0.25">
      <c r="A367" s="22">
        <v>45100</v>
      </c>
      <c r="B367" s="12">
        <v>204.98</v>
      </c>
      <c r="C367" s="13">
        <v>-6.1000000000000004E-3</v>
      </c>
      <c r="D367" s="7">
        <v>595</v>
      </c>
      <c r="E367" s="7">
        <v>-1.2999999999999999E-3</v>
      </c>
      <c r="F367" s="7">
        <v>905</v>
      </c>
      <c r="G367" s="8">
        <f t="shared" si="22"/>
        <v>1.067626907829569E-12</v>
      </c>
      <c r="H367" s="9">
        <f t="shared" si="23"/>
        <v>3.2028807234893473E-14</v>
      </c>
      <c r="I367" s="10">
        <f>SUM($H$3:H367)</f>
        <v>0.34324838274660535</v>
      </c>
      <c r="J367" s="23">
        <v>-1.2999999999999999E-3</v>
      </c>
      <c r="Q367" s="7">
        <f t="shared" si="21"/>
        <v>4.2929880008494254E-10</v>
      </c>
      <c r="R367" s="7">
        <f t="shared" si="20"/>
        <v>3.9284890196459677E-10</v>
      </c>
    </row>
    <row r="368" spans="1:18" x14ac:dyDescent="0.25">
      <c r="A368" s="22">
        <v>45103</v>
      </c>
      <c r="B368" s="12">
        <v>205.17</v>
      </c>
      <c r="C368" s="13">
        <v>8.9999999999999998E-4</v>
      </c>
      <c r="D368" s="7">
        <v>594</v>
      </c>
      <c r="E368" s="7">
        <v>-1.2999999999999999E-3</v>
      </c>
      <c r="F368" s="7">
        <v>571</v>
      </c>
      <c r="G368" s="8">
        <f t="shared" si="22"/>
        <v>2.7967926268190247E-8</v>
      </c>
      <c r="H368" s="9">
        <f t="shared" si="23"/>
        <v>8.3903778804587515E-10</v>
      </c>
      <c r="I368" s="10">
        <f>SUM($H$3:H368)</f>
        <v>0.34324838358564314</v>
      </c>
      <c r="J368" s="23">
        <v>-1.2999999999999999E-3</v>
      </c>
      <c r="Q368" s="7">
        <f t="shared" si="21"/>
        <v>4.4257608256179645E-10</v>
      </c>
      <c r="R368" s="7">
        <f t="shared" si="20"/>
        <v>4.0499886800473896E-10</v>
      </c>
    </row>
    <row r="369" spans="1:18" x14ac:dyDescent="0.25">
      <c r="A369" s="22">
        <v>45104</v>
      </c>
      <c r="B369" s="12">
        <v>206.46</v>
      </c>
      <c r="C369" s="13">
        <v>6.3E-3</v>
      </c>
      <c r="D369" s="7">
        <v>593</v>
      </c>
      <c r="E369" s="7">
        <v>-1.2999999999999999E-3</v>
      </c>
      <c r="F369" s="7">
        <v>168</v>
      </c>
      <c r="G369" s="8">
        <f t="shared" si="22"/>
        <v>5.9930976871459341E-3</v>
      </c>
      <c r="H369" s="9">
        <f t="shared" si="23"/>
        <v>1.7979293061441397E-4</v>
      </c>
      <c r="I369" s="10">
        <f>SUM($H$3:H369)</f>
        <v>0.34342817651625757</v>
      </c>
      <c r="J369" s="23">
        <v>-1.2999999999999999E-3</v>
      </c>
      <c r="Q369" s="7">
        <f t="shared" si="21"/>
        <v>4.5626400264102724E-10</v>
      </c>
      <c r="R369" s="7">
        <f t="shared" si="20"/>
        <v>4.175246061904525E-10</v>
      </c>
    </row>
    <row r="370" spans="1:18" x14ac:dyDescent="0.25">
      <c r="A370" s="22">
        <v>45105</v>
      </c>
      <c r="B370" s="12">
        <v>208.18</v>
      </c>
      <c r="C370" s="13">
        <v>8.3000000000000001E-3</v>
      </c>
      <c r="D370" s="7">
        <v>592</v>
      </c>
      <c r="E370" s="7">
        <v>-1.2999999999999999E-3</v>
      </c>
      <c r="F370" s="7">
        <v>116</v>
      </c>
      <c r="G370" s="8">
        <f t="shared" si="22"/>
        <v>2.9209301724493767E-2</v>
      </c>
      <c r="H370" s="9">
        <f t="shared" si="23"/>
        <v>8.7627905173498814E-4</v>
      </c>
      <c r="I370" s="10">
        <f>SUM($H$3:H370)</f>
        <v>0.34430445556799255</v>
      </c>
      <c r="J370" s="23">
        <v>-1.2999999999999999E-3</v>
      </c>
      <c r="Q370" s="7">
        <f t="shared" si="21"/>
        <v>4.7037526045466733E-10</v>
      </c>
      <c r="R370" s="7">
        <f t="shared" si="20"/>
        <v>4.3043773834067277E-10</v>
      </c>
    </row>
    <row r="371" spans="1:18" x14ac:dyDescent="0.25">
      <c r="A371" s="22">
        <v>45107</v>
      </c>
      <c r="B371" s="12">
        <v>210.61</v>
      </c>
      <c r="C371" s="13">
        <v>1.17E-2</v>
      </c>
      <c r="D371" s="7">
        <v>591</v>
      </c>
      <c r="E371" s="7">
        <v>-1.2999999999999999E-3</v>
      </c>
      <c r="F371" s="7">
        <v>104</v>
      </c>
      <c r="G371" s="8">
        <f t="shared" si="22"/>
        <v>4.2097893363829686E-2</v>
      </c>
      <c r="H371" s="9">
        <f t="shared" si="23"/>
        <v>1.2629368009151431E-3</v>
      </c>
      <c r="I371" s="10">
        <f>SUM($H$3:H371)</f>
        <v>0.34556739236890771</v>
      </c>
      <c r="J371" s="23">
        <v>-1.2999999999999999E-3</v>
      </c>
      <c r="Q371" s="7">
        <f t="shared" si="21"/>
        <v>4.8492294892233744E-10</v>
      </c>
      <c r="R371" s="7">
        <f t="shared" si="20"/>
        <v>4.4375024571203376E-10</v>
      </c>
    </row>
    <row r="372" spans="1:18" x14ac:dyDescent="0.25">
      <c r="A372" s="22">
        <v>45110</v>
      </c>
      <c r="B372" s="12">
        <v>212.3</v>
      </c>
      <c r="C372" s="13">
        <v>8.0000000000000002E-3</v>
      </c>
      <c r="D372" s="7">
        <v>590</v>
      </c>
      <c r="E372" s="7">
        <v>-1.1999999999999999E-3</v>
      </c>
      <c r="F372" s="7">
        <v>942</v>
      </c>
      <c r="G372" s="8">
        <f t="shared" si="22"/>
        <v>3.4591841218393102E-13</v>
      </c>
      <c r="H372" s="9">
        <f t="shared" si="23"/>
        <v>1.0377552365520005E-14</v>
      </c>
      <c r="I372" s="10">
        <f>SUM($H$3:H372)</f>
        <v>0.34556739236891809</v>
      </c>
      <c r="J372" s="23">
        <v>-1.1999999999999999E-3</v>
      </c>
      <c r="Q372" s="7">
        <f t="shared" si="21"/>
        <v>4.9992056589931686E-10</v>
      </c>
      <c r="R372" s="7">
        <f t="shared" si="20"/>
        <v>4.5747448011549863E-10</v>
      </c>
    </row>
    <row r="373" spans="1:18" x14ac:dyDescent="0.25">
      <c r="A373" s="22">
        <v>45111</v>
      </c>
      <c r="B373" s="12">
        <v>213.06</v>
      </c>
      <c r="C373" s="13">
        <v>3.5999999999999999E-3</v>
      </c>
      <c r="D373" s="7">
        <v>589</v>
      </c>
      <c r="E373" s="7">
        <v>-1.1999999999999999E-3</v>
      </c>
      <c r="F373" s="7">
        <v>924</v>
      </c>
      <c r="G373" s="8">
        <f t="shared" si="22"/>
        <v>5.9852522972587151E-13</v>
      </c>
      <c r="H373" s="9">
        <f t="shared" si="23"/>
        <v>1.7955756891779735E-14</v>
      </c>
      <c r="I373" s="10">
        <f>SUM($H$3:H373)</f>
        <v>0.34556739236893602</v>
      </c>
      <c r="J373" s="23">
        <v>-1.1999999999999999E-3</v>
      </c>
      <c r="Q373" s="7">
        <f t="shared" si="21"/>
        <v>5.1538202670032678E-10</v>
      </c>
      <c r="R373" s="7">
        <f t="shared" si="20"/>
        <v>4.7162317537680284E-10</v>
      </c>
    </row>
    <row r="374" spans="1:18" x14ac:dyDescent="0.25">
      <c r="A374" s="22">
        <v>45112</v>
      </c>
      <c r="B374" s="12">
        <v>212.92</v>
      </c>
      <c r="C374" s="13">
        <v>-6.9999999999999999E-4</v>
      </c>
      <c r="D374" s="7">
        <v>588</v>
      </c>
      <c r="E374" s="7">
        <v>-1.1999999999999999E-3</v>
      </c>
      <c r="F374" s="7">
        <v>849</v>
      </c>
      <c r="G374" s="8">
        <f t="shared" si="22"/>
        <v>5.8776320100084272E-12</v>
      </c>
      <c r="H374" s="9">
        <f t="shared" si="23"/>
        <v>1.7632896030028807E-13</v>
      </c>
      <c r="I374" s="10">
        <f>SUM($H$3:H374)</f>
        <v>0.34556739236911233</v>
      </c>
      <c r="J374" s="23">
        <v>-1.1999999999999999E-3</v>
      </c>
      <c r="Q374" s="7">
        <f t="shared" si="21"/>
        <v>5.3132167701064621E-10</v>
      </c>
      <c r="R374" s="7">
        <f t="shared" si="20"/>
        <v>4.8620945915134319E-10</v>
      </c>
    </row>
    <row r="375" spans="1:18" x14ac:dyDescent="0.25">
      <c r="A375" s="22">
        <v>45113</v>
      </c>
      <c r="B375" s="12">
        <v>213.96</v>
      </c>
      <c r="C375" s="13">
        <v>4.8999999999999998E-3</v>
      </c>
      <c r="D375" s="7">
        <v>587</v>
      </c>
      <c r="E375" s="7">
        <v>-1.1999999999999999E-3</v>
      </c>
      <c r="F375" s="7">
        <v>608</v>
      </c>
      <c r="G375" s="8">
        <f t="shared" si="22"/>
        <v>9.0617991882928806E-9</v>
      </c>
      <c r="H375" s="9">
        <f t="shared" si="23"/>
        <v>2.7185397564884075E-10</v>
      </c>
      <c r="I375" s="10">
        <f>SUM($H$3:H375)</f>
        <v>0.34556739264096631</v>
      </c>
      <c r="J375" s="23">
        <v>-1.1999999999999999E-3</v>
      </c>
      <c r="Q375" s="7">
        <f t="shared" si="21"/>
        <v>5.4775430619654244E-10</v>
      </c>
      <c r="R375" s="7">
        <f t="shared" si="20"/>
        <v>5.0124686510447746E-10</v>
      </c>
    </row>
    <row r="376" spans="1:18" x14ac:dyDescent="0.25">
      <c r="A376" s="22">
        <v>45114</v>
      </c>
      <c r="B376" s="12">
        <v>212.72</v>
      </c>
      <c r="C376" s="13">
        <v>-5.7999999999999996E-3</v>
      </c>
      <c r="D376" s="7">
        <v>586</v>
      </c>
      <c r="E376" s="7">
        <v>-1.1999999999999999E-3</v>
      </c>
      <c r="F376" s="7">
        <v>103</v>
      </c>
      <c r="G376" s="8">
        <f t="shared" si="22"/>
        <v>4.3399890065803803E-2</v>
      </c>
      <c r="H376" s="9">
        <f t="shared" si="23"/>
        <v>1.3019967019743744E-3</v>
      </c>
      <c r="I376" s="10">
        <f>SUM($H$3:H376)</f>
        <v>0.3468693893429407</v>
      </c>
      <c r="J376" s="23">
        <v>-1.1999999999999999E-3</v>
      </c>
      <c r="Q376" s="7">
        <f t="shared" si="21"/>
        <v>5.6469516102736336E-10</v>
      </c>
      <c r="R376" s="7">
        <f t="shared" si="20"/>
        <v>5.1674934546853348E-10</v>
      </c>
    </row>
    <row r="377" spans="1:18" x14ac:dyDescent="0.25">
      <c r="A377" s="22">
        <v>45117</v>
      </c>
      <c r="B377" s="12">
        <v>212.64</v>
      </c>
      <c r="C377" s="13">
        <v>-4.0000000000000002E-4</v>
      </c>
      <c r="D377" s="7">
        <v>585</v>
      </c>
      <c r="E377" s="7">
        <v>-1.1000000000000001E-3</v>
      </c>
      <c r="F377" s="7">
        <v>928</v>
      </c>
      <c r="G377" s="8">
        <f t="shared" si="22"/>
        <v>5.2987008247991235E-13</v>
      </c>
      <c r="H377" s="9">
        <f t="shared" si="23"/>
        <v>1.5896102474400547E-14</v>
      </c>
      <c r="I377" s="10">
        <f>SUM($H$3:H377)</f>
        <v>0.34686938934295658</v>
      </c>
      <c r="J377" s="23">
        <v>-1.1000000000000001E-3</v>
      </c>
      <c r="Q377" s="7">
        <f t="shared" si="21"/>
        <v>5.8215995982202404E-10</v>
      </c>
      <c r="R377" s="7">
        <f t="shared" si="20"/>
        <v>5.3273128398817873E-10</v>
      </c>
    </row>
    <row r="378" spans="1:18" x14ac:dyDescent="0.25">
      <c r="A378" s="22">
        <v>45118</v>
      </c>
      <c r="B378" s="12">
        <v>213.45</v>
      </c>
      <c r="C378" s="13">
        <v>3.8E-3</v>
      </c>
      <c r="D378" s="7">
        <v>584</v>
      </c>
      <c r="E378" s="7">
        <v>-1.1000000000000001E-3</v>
      </c>
      <c r="F378" s="7">
        <v>795</v>
      </c>
      <c r="G378" s="8">
        <f t="shared" si="22"/>
        <v>3.0445894746782325E-11</v>
      </c>
      <c r="H378" s="9">
        <f t="shared" si="23"/>
        <v>9.1337684240365237E-13</v>
      </c>
      <c r="I378" s="10">
        <f>SUM($H$3:H378)</f>
        <v>0.34686938934386996</v>
      </c>
      <c r="J378" s="23">
        <v>-1.1000000000000001E-3</v>
      </c>
      <c r="Q378" s="7">
        <f t="shared" si="21"/>
        <v>6.0016490703301448E-10</v>
      </c>
      <c r="R378" s="7">
        <f t="shared" si="20"/>
        <v>5.492075092661637E-10</v>
      </c>
    </row>
    <row r="379" spans="1:18" x14ac:dyDescent="0.25">
      <c r="A379" s="22">
        <v>45119</v>
      </c>
      <c r="B379" s="12">
        <v>213.25</v>
      </c>
      <c r="C379" s="13">
        <v>-8.9999999999999998E-4</v>
      </c>
      <c r="D379" s="7">
        <v>583</v>
      </c>
      <c r="E379" s="7">
        <v>-1.1000000000000001E-3</v>
      </c>
      <c r="F379" s="7">
        <v>699</v>
      </c>
      <c r="G379" s="8">
        <f t="shared" si="22"/>
        <v>5.6681619727868843E-10</v>
      </c>
      <c r="H379" s="9">
        <f t="shared" si="23"/>
        <v>1.700448591836405E-11</v>
      </c>
      <c r="I379" s="10">
        <f>SUM($H$3:H379)</f>
        <v>0.34686938936087447</v>
      </c>
      <c r="J379" s="23">
        <v>-1.1000000000000001E-3</v>
      </c>
      <c r="Q379" s="7">
        <f t="shared" si="21"/>
        <v>6.1872670828145826E-10</v>
      </c>
      <c r="R379" s="7">
        <f t="shared" si="20"/>
        <v>5.6619330852181826E-10</v>
      </c>
    </row>
    <row r="380" spans="1:18" x14ac:dyDescent="0.25">
      <c r="A380" s="22">
        <v>45120</v>
      </c>
      <c r="B380" s="12">
        <v>213.69</v>
      </c>
      <c r="C380" s="13">
        <v>2.0999999999999999E-3</v>
      </c>
      <c r="D380" s="7">
        <v>582</v>
      </c>
      <c r="E380" s="7">
        <v>-1.1000000000000001E-3</v>
      </c>
      <c r="F380" s="7">
        <v>690</v>
      </c>
      <c r="G380" s="8">
        <f t="shared" si="22"/>
        <v>7.4558411002284407E-10</v>
      </c>
      <c r="H380" s="9">
        <f t="shared" si="23"/>
        <v>2.2367523300689792E-11</v>
      </c>
      <c r="I380" s="10">
        <f>SUM($H$3:H380)</f>
        <v>0.34686938938324197</v>
      </c>
      <c r="J380" s="23">
        <v>-1.1000000000000001E-3</v>
      </c>
      <c r="Q380" s="7">
        <f t="shared" si="21"/>
        <v>6.378625858571735E-10</v>
      </c>
      <c r="R380" s="7">
        <f t="shared" si="20"/>
        <v>5.8370444177507044E-10</v>
      </c>
    </row>
    <row r="381" spans="1:18" x14ac:dyDescent="0.25">
      <c r="A381" s="22">
        <v>45121</v>
      </c>
      <c r="B381" s="12">
        <v>214.83</v>
      </c>
      <c r="C381" s="13">
        <v>5.3E-3</v>
      </c>
      <c r="D381" s="7">
        <v>581</v>
      </c>
      <c r="E381" s="7">
        <v>-1.1000000000000001E-3</v>
      </c>
      <c r="F381" s="7">
        <v>531</v>
      </c>
      <c r="G381" s="8">
        <f t="shared" si="22"/>
        <v>9.457816756339589E-8</v>
      </c>
      <c r="H381" s="9">
        <f t="shared" si="23"/>
        <v>2.8373450269024439E-9</v>
      </c>
      <c r="I381" s="10">
        <f>SUM($H$3:H381)</f>
        <v>0.34686939222058699</v>
      </c>
      <c r="J381" s="23">
        <v>-1.1000000000000001E-3</v>
      </c>
      <c r="Q381" s="7">
        <f t="shared" si="21"/>
        <v>6.5759029469811699E-10</v>
      </c>
      <c r="R381" s="7">
        <f t="shared" si="20"/>
        <v>6.0175715646914478E-10</v>
      </c>
    </row>
    <row r="382" spans="1:18" x14ac:dyDescent="0.25">
      <c r="A382" s="22">
        <v>45124</v>
      </c>
      <c r="B382" s="12">
        <v>216.53</v>
      </c>
      <c r="C382" s="13">
        <v>7.9000000000000008E-3</v>
      </c>
      <c r="D382" s="7">
        <v>580</v>
      </c>
      <c r="E382" s="7">
        <v>-1.1000000000000001E-3</v>
      </c>
      <c r="F382" s="7">
        <v>187</v>
      </c>
      <c r="G382" s="8">
        <f t="shared" si="22"/>
        <v>3.3598068235848773E-3</v>
      </c>
      <c r="H382" s="9">
        <f t="shared" si="23"/>
        <v>1.0079420470756646E-4</v>
      </c>
      <c r="I382" s="10">
        <f>SUM($H$3:H382)</f>
        <v>0.34697018642529454</v>
      </c>
      <c r="J382" s="23">
        <v>-1.1000000000000001E-3</v>
      </c>
      <c r="Q382" s="7">
        <f t="shared" si="21"/>
        <v>6.7792813886403818E-10</v>
      </c>
      <c r="R382" s="7">
        <f t="shared" si="20"/>
        <v>6.2036820254551014E-10</v>
      </c>
    </row>
    <row r="383" spans="1:18" x14ac:dyDescent="0.25">
      <c r="A383" s="22">
        <v>45125</v>
      </c>
      <c r="B383" s="12">
        <v>217.02</v>
      </c>
      <c r="C383" s="13">
        <v>2.3E-3</v>
      </c>
      <c r="D383" s="7">
        <v>579</v>
      </c>
      <c r="E383" s="7">
        <v>-1.1000000000000001E-3</v>
      </c>
      <c r="F383" s="7">
        <v>183</v>
      </c>
      <c r="G383" s="8">
        <f t="shared" si="22"/>
        <v>3.795136236998104E-3</v>
      </c>
      <c r="H383" s="9">
        <f t="shared" si="23"/>
        <v>1.1385408710996587E-4</v>
      </c>
      <c r="I383" s="10">
        <f>SUM($H$3:H383)</f>
        <v>0.34708404051240449</v>
      </c>
      <c r="J383" s="23">
        <v>-1.1000000000000001E-3</v>
      </c>
      <c r="Q383" s="7">
        <f t="shared" si="21"/>
        <v>6.9889498851962707E-10</v>
      </c>
      <c r="R383" s="7">
        <f t="shared" si="20"/>
        <v>6.3955484798506198E-10</v>
      </c>
    </row>
    <row r="384" spans="1:18" x14ac:dyDescent="0.25">
      <c r="A384" s="22">
        <v>45126</v>
      </c>
      <c r="B384" s="12">
        <v>217.97</v>
      </c>
      <c r="C384" s="13">
        <v>4.4000000000000003E-3</v>
      </c>
      <c r="D384" s="7">
        <v>578</v>
      </c>
      <c r="E384" s="7">
        <v>-1.1000000000000001E-3</v>
      </c>
      <c r="F384" s="7">
        <v>3</v>
      </c>
      <c r="G384" s="8">
        <f t="shared" si="22"/>
        <v>0.91267299999999996</v>
      </c>
      <c r="H384" s="9">
        <f t="shared" si="23"/>
        <v>2.738019000000547E-2</v>
      </c>
      <c r="I384" s="10">
        <f>SUM($H$3:H384)</f>
        <v>0.37446423051240996</v>
      </c>
      <c r="J384" s="23">
        <v>-1.1000000000000001E-3</v>
      </c>
      <c r="Q384" s="7">
        <f t="shared" si="21"/>
        <v>7.2051029744291436E-10</v>
      </c>
      <c r="R384" s="7">
        <f t="shared" si="20"/>
        <v>6.5933489482996075E-10</v>
      </c>
    </row>
    <row r="385" spans="1:18" x14ac:dyDescent="0.25">
      <c r="A385" s="22">
        <v>45127</v>
      </c>
      <c r="B385" s="12">
        <v>219.51</v>
      </c>
      <c r="C385" s="13">
        <v>7.1000000000000004E-3</v>
      </c>
      <c r="D385" s="7">
        <v>577</v>
      </c>
      <c r="E385" s="7">
        <v>-1E-3</v>
      </c>
      <c r="F385" s="7">
        <v>444</v>
      </c>
      <c r="G385" s="8">
        <f t="shared" si="22"/>
        <v>1.3385975143148327E-6</v>
      </c>
      <c r="H385" s="9">
        <f t="shared" si="23"/>
        <v>4.015792542945301E-8</v>
      </c>
      <c r="I385" s="10">
        <f>SUM($H$3:H385)</f>
        <v>0.37446427067033539</v>
      </c>
      <c r="J385" s="23">
        <v>-1E-3</v>
      </c>
      <c r="Q385" s="7">
        <f t="shared" si="21"/>
        <v>7.4279412107516928E-10</v>
      </c>
      <c r="R385" s="7">
        <f t="shared" si="20"/>
        <v>6.7972669570099033E-10</v>
      </c>
    </row>
    <row r="386" spans="1:18" x14ac:dyDescent="0.25">
      <c r="A386" s="22">
        <v>45128</v>
      </c>
      <c r="B386" s="12">
        <v>217.48</v>
      </c>
      <c r="C386" s="13">
        <v>-9.1999999999999998E-3</v>
      </c>
      <c r="D386" s="7">
        <v>576</v>
      </c>
      <c r="E386" s="7">
        <v>-1E-3</v>
      </c>
      <c r="F386" s="7">
        <v>368</v>
      </c>
      <c r="G386" s="8">
        <f t="shared" si="22"/>
        <v>1.3551838267085204E-5</v>
      </c>
      <c r="H386" s="9">
        <f t="shared" si="23"/>
        <v>4.065551480126374E-7</v>
      </c>
      <c r="I386" s="10">
        <f>SUM($H$3:H386)</f>
        <v>0.37446467722548338</v>
      </c>
      <c r="J386" s="23">
        <v>-1E-3</v>
      </c>
      <c r="Q386" s="7">
        <f t="shared" si="21"/>
        <v>7.6576713512904058E-10</v>
      </c>
      <c r="R386" s="7">
        <f t="shared" ref="R386:R449" si="24">Q386/$U$2</f>
        <v>7.0074917082576325E-10</v>
      </c>
    </row>
    <row r="387" spans="1:18" x14ac:dyDescent="0.25">
      <c r="A387" s="22">
        <v>45131</v>
      </c>
      <c r="B387" s="12">
        <v>216.73</v>
      </c>
      <c r="C387" s="13">
        <v>-3.3999999999999998E-3</v>
      </c>
      <c r="D387" s="7">
        <v>575</v>
      </c>
      <c r="E387" s="7">
        <v>-8.9999999999999998E-4</v>
      </c>
      <c r="F387" s="7">
        <v>778</v>
      </c>
      <c r="G387" s="8">
        <f t="shared" si="22"/>
        <v>5.1098630314315696E-11</v>
      </c>
      <c r="H387" s="9">
        <f t="shared" si="23"/>
        <v>1.5329589094297773E-12</v>
      </c>
      <c r="I387" s="10">
        <f>SUM($H$3:H387)</f>
        <v>0.37446467722701632</v>
      </c>
      <c r="J387" s="23">
        <v>-8.9999999999999998E-4</v>
      </c>
      <c r="Q387" s="7">
        <f t="shared" ref="Q387:Q450" si="25">(1-$N$3) * $N$3^(D388-1)</f>
        <v>7.8945065477220678E-10</v>
      </c>
      <c r="R387" s="7">
        <f t="shared" si="24"/>
        <v>7.2242182559357037E-10</v>
      </c>
    </row>
    <row r="388" spans="1:18" x14ac:dyDescent="0.25">
      <c r="A388" s="22">
        <v>45132</v>
      </c>
      <c r="B388" s="12">
        <v>216.64</v>
      </c>
      <c r="C388" s="13">
        <v>-4.0000000000000002E-4</v>
      </c>
      <c r="D388" s="7">
        <v>574</v>
      </c>
      <c r="E388" s="7">
        <v>-8.9999999999999998E-4</v>
      </c>
      <c r="F388" s="7">
        <v>583</v>
      </c>
      <c r="G388" s="8">
        <f t="shared" ref="G388:G451" si="26">$N$3^F388</f>
        <v>1.9405331994067451E-8</v>
      </c>
      <c r="H388" s="9">
        <f t="shared" si="23"/>
        <v>5.8215995982213995E-10</v>
      </c>
      <c r="I388" s="10">
        <f>SUM($H$3:H388)</f>
        <v>0.37446467780917631</v>
      </c>
      <c r="J388" s="23">
        <v>-8.9999999999999998E-4</v>
      </c>
      <c r="Q388" s="7">
        <f t="shared" si="25"/>
        <v>8.1386665440433689E-10</v>
      </c>
      <c r="R388" s="7">
        <f t="shared" si="24"/>
        <v>7.4476476865316537E-10</v>
      </c>
    </row>
    <row r="389" spans="1:18" x14ac:dyDescent="0.25">
      <c r="A389" s="22">
        <v>45133</v>
      </c>
      <c r="B389" s="12">
        <v>217.72</v>
      </c>
      <c r="C389" s="13">
        <v>5.0000000000000001E-3</v>
      </c>
      <c r="D389" s="7">
        <v>573</v>
      </c>
      <c r="E389" s="7">
        <v>-8.9999999999999998E-4</v>
      </c>
      <c r="F389" s="7">
        <v>540</v>
      </c>
      <c r="G389" s="8">
        <f t="shared" si="26"/>
        <v>7.1901260452329298E-8</v>
      </c>
      <c r="H389" s="9">
        <f t="shared" ref="H389:H452" si="27">G389/$N$4</f>
        <v>2.1570378135703102E-9</v>
      </c>
      <c r="I389" s="10">
        <f>SUM($H$3:H389)</f>
        <v>0.37446467996621413</v>
      </c>
      <c r="J389" s="23">
        <v>-8.9999999999999998E-4</v>
      </c>
      <c r="Q389" s="7">
        <f t="shared" si="25"/>
        <v>8.3903778804570816E-10</v>
      </c>
      <c r="R389" s="7">
        <f t="shared" si="24"/>
        <v>7.6779873057027352E-10</v>
      </c>
    </row>
    <row r="390" spans="1:18" x14ac:dyDescent="0.25">
      <c r="A390" s="22">
        <v>45134</v>
      </c>
      <c r="B390" s="12">
        <v>216.63</v>
      </c>
      <c r="C390" s="13">
        <v>-5.0000000000000001E-3</v>
      </c>
      <c r="D390" s="7">
        <v>572</v>
      </c>
      <c r="E390" s="7">
        <v>-8.9999999999999998E-4</v>
      </c>
      <c r="F390" s="7">
        <v>213</v>
      </c>
      <c r="G390" s="8">
        <f t="shared" si="26"/>
        <v>1.5218764571205202E-3</v>
      </c>
      <c r="H390" s="9">
        <f t="shared" si="27"/>
        <v>4.5656293713624729E-5</v>
      </c>
      <c r="I390" s="10">
        <f>SUM($H$3:H390)</f>
        <v>0.37451033625992775</v>
      </c>
      <c r="J390" s="23">
        <v>-8.9999999999999998E-4</v>
      </c>
      <c r="Q390" s="7">
        <f t="shared" si="25"/>
        <v>8.6498741035640035E-10</v>
      </c>
      <c r="R390" s="7">
        <f t="shared" si="24"/>
        <v>7.9154508306213787E-10</v>
      </c>
    </row>
    <row r="391" spans="1:18" x14ac:dyDescent="0.25">
      <c r="A391" s="22">
        <v>45135</v>
      </c>
      <c r="B391" s="12">
        <v>216.34</v>
      </c>
      <c r="C391" s="13">
        <v>-1.2999999999999999E-3</v>
      </c>
      <c r="D391" s="7">
        <v>571</v>
      </c>
      <c r="E391" s="7">
        <v>-8.9999999999999998E-4</v>
      </c>
      <c r="F391" s="7">
        <v>14</v>
      </c>
      <c r="G391" s="8">
        <f t="shared" si="26"/>
        <v>0.65283627746060746</v>
      </c>
      <c r="H391" s="9">
        <f t="shared" si="27"/>
        <v>1.958508832382214E-2</v>
      </c>
      <c r="I391" s="10">
        <f>SUM($H$3:H391)</f>
        <v>0.39409542458374991</v>
      </c>
      <c r="J391" s="23">
        <v>-8.9999999999999998E-4</v>
      </c>
      <c r="Q391" s="7">
        <f t="shared" si="25"/>
        <v>8.9173959830556709E-10</v>
      </c>
      <c r="R391" s="7">
        <f t="shared" si="24"/>
        <v>8.16025858826946E-10</v>
      </c>
    </row>
    <row r="392" spans="1:18" x14ac:dyDescent="0.25">
      <c r="A392" s="22">
        <v>45138</v>
      </c>
      <c r="B392" s="12">
        <v>217.58</v>
      </c>
      <c r="C392" s="13">
        <v>5.7000000000000002E-3</v>
      </c>
      <c r="D392" s="7">
        <v>570</v>
      </c>
      <c r="E392" s="7">
        <v>-8.0000000000000004E-4</v>
      </c>
      <c r="F392" s="7">
        <v>518</v>
      </c>
      <c r="G392" s="8">
        <f t="shared" si="26"/>
        <v>1.4052653889478392E-7</v>
      </c>
      <c r="H392" s="9">
        <f t="shared" si="27"/>
        <v>4.2157961668443601E-9</v>
      </c>
      <c r="I392" s="10">
        <f>SUM($H$3:H392)</f>
        <v>0.39409542879954607</v>
      </c>
      <c r="J392" s="23">
        <v>-8.0000000000000004E-4</v>
      </c>
      <c r="Q392" s="7">
        <f t="shared" si="25"/>
        <v>9.1931917351089409E-10</v>
      </c>
      <c r="R392" s="7">
        <f t="shared" si="24"/>
        <v>8.4126377198654237E-10</v>
      </c>
    </row>
    <row r="393" spans="1:18" x14ac:dyDescent="0.25">
      <c r="A393" s="22">
        <v>45139</v>
      </c>
      <c r="B393" s="12">
        <v>217.23</v>
      </c>
      <c r="C393" s="13">
        <v>-1.6000000000000001E-3</v>
      </c>
      <c r="D393" s="7">
        <v>569</v>
      </c>
      <c r="E393" s="7">
        <v>-8.0000000000000004E-4</v>
      </c>
      <c r="F393" s="7">
        <v>451</v>
      </c>
      <c r="G393" s="8">
        <f t="shared" si="26"/>
        <v>1.0815638276330482E-6</v>
      </c>
      <c r="H393" s="9">
        <f t="shared" si="27"/>
        <v>3.2446914828997933E-8</v>
      </c>
      <c r="I393" s="10">
        <f>SUM($H$3:H393)</f>
        <v>0.39409546124646089</v>
      </c>
      <c r="J393" s="23">
        <v>-8.0000000000000004E-4</v>
      </c>
      <c r="Q393" s="7">
        <f t="shared" si="25"/>
        <v>9.4775172526896304E-10</v>
      </c>
      <c r="R393" s="7">
        <f t="shared" si="24"/>
        <v>8.6728223916138401E-10</v>
      </c>
    </row>
    <row r="394" spans="1:18" x14ac:dyDescent="0.25">
      <c r="A394" s="22">
        <v>45140</v>
      </c>
      <c r="B394" s="12">
        <v>215.1</v>
      </c>
      <c r="C394" s="13">
        <v>-9.7999999999999997E-3</v>
      </c>
      <c r="D394" s="7">
        <v>568</v>
      </c>
      <c r="E394" s="7">
        <v>-8.0000000000000004E-4</v>
      </c>
      <c r="F394" s="7">
        <v>375</v>
      </c>
      <c r="G394" s="8">
        <f t="shared" si="26"/>
        <v>1.0949652835053279E-5</v>
      </c>
      <c r="H394" s="9">
        <f t="shared" si="27"/>
        <v>3.2848958505166401E-7</v>
      </c>
      <c r="I394" s="10">
        <f>SUM($H$3:H394)</f>
        <v>0.39409578973604592</v>
      </c>
      <c r="J394" s="23">
        <v>-8.0000000000000004E-4</v>
      </c>
      <c r="Q394" s="7">
        <f t="shared" si="25"/>
        <v>9.7706363429790015E-10</v>
      </c>
      <c r="R394" s="7">
        <f t="shared" si="24"/>
        <v>8.9410540119730321E-10</v>
      </c>
    </row>
    <row r="395" spans="1:18" x14ac:dyDescent="0.25">
      <c r="A395" s="22">
        <v>45141</v>
      </c>
      <c r="B395" s="12">
        <v>213.56</v>
      </c>
      <c r="C395" s="13">
        <v>-7.1999999999999998E-3</v>
      </c>
      <c r="D395" s="7">
        <v>567</v>
      </c>
      <c r="E395" s="7">
        <v>-8.0000000000000004E-4</v>
      </c>
      <c r="F395" s="7">
        <v>177</v>
      </c>
      <c r="G395" s="8">
        <f t="shared" si="26"/>
        <v>4.556138999319179E-3</v>
      </c>
      <c r="H395" s="9">
        <f t="shared" si="27"/>
        <v>1.3668416997960269E-4</v>
      </c>
      <c r="I395" s="10">
        <f>SUM($H$3:H395)</f>
        <v>0.3942324739060255</v>
      </c>
      <c r="J395" s="23">
        <v>-8.0000000000000004E-4</v>
      </c>
      <c r="Q395" s="7">
        <f t="shared" si="25"/>
        <v>1.0072820972143298E-9</v>
      </c>
      <c r="R395" s="7">
        <f t="shared" si="24"/>
        <v>9.2175814556422986E-10</v>
      </c>
    </row>
    <row r="396" spans="1:18" x14ac:dyDescent="0.25">
      <c r="A396" s="22">
        <v>45142</v>
      </c>
      <c r="B396" s="12">
        <v>215.04</v>
      </c>
      <c r="C396" s="13">
        <v>6.8999999999999999E-3</v>
      </c>
      <c r="D396" s="7">
        <v>566</v>
      </c>
      <c r="E396" s="7">
        <v>-6.9999999999999999E-4</v>
      </c>
      <c r="F396" s="7">
        <v>828</v>
      </c>
      <c r="G396" s="8">
        <f t="shared" si="26"/>
        <v>1.1142841999229664E-11</v>
      </c>
      <c r="H396" s="9">
        <f t="shared" si="27"/>
        <v>3.3428525997695673E-13</v>
      </c>
      <c r="I396" s="10">
        <f>SUM($H$3:H396)</f>
        <v>0.39423247390635979</v>
      </c>
      <c r="J396" s="23">
        <v>-6.9999999999999999E-4</v>
      </c>
      <c r="Q396" s="7">
        <f t="shared" si="25"/>
        <v>1.0384351517673505E-9</v>
      </c>
      <c r="R396" s="7">
        <f t="shared" si="24"/>
        <v>9.5026612944765986E-10</v>
      </c>
    </row>
    <row r="397" spans="1:18" x14ac:dyDescent="0.25">
      <c r="A397" s="22">
        <v>45145</v>
      </c>
      <c r="B397" s="12">
        <v>215.95</v>
      </c>
      <c r="C397" s="13">
        <v>4.1999999999999997E-3</v>
      </c>
      <c r="D397" s="7">
        <v>565</v>
      </c>
      <c r="E397" s="7">
        <v>-6.9999999999999999E-4</v>
      </c>
      <c r="F397" s="7">
        <v>639</v>
      </c>
      <c r="G397" s="8">
        <f t="shared" si="26"/>
        <v>3.52483016237737E-9</v>
      </c>
      <c r="H397" s="9">
        <f t="shared" si="27"/>
        <v>1.0574490487134224E-10</v>
      </c>
      <c r="I397" s="10">
        <f>SUM($H$3:H397)</f>
        <v>0.39423247401210471</v>
      </c>
      <c r="J397" s="23">
        <v>-6.9999999999999999E-4</v>
      </c>
      <c r="Q397" s="7">
        <f t="shared" si="25"/>
        <v>1.0705517028529386E-9</v>
      </c>
      <c r="R397" s="7">
        <f t="shared" si="24"/>
        <v>9.796558035542884E-10</v>
      </c>
    </row>
    <row r="398" spans="1:18" x14ac:dyDescent="0.25">
      <c r="A398" s="22">
        <v>45146</v>
      </c>
      <c r="B398" s="12">
        <v>215.79</v>
      </c>
      <c r="C398" s="13">
        <v>-6.9999999999999999E-4</v>
      </c>
      <c r="D398" s="7">
        <v>564</v>
      </c>
      <c r="E398" s="7">
        <v>-6.9999999999999999E-4</v>
      </c>
      <c r="F398" s="7">
        <v>588</v>
      </c>
      <c r="G398" s="8">
        <f t="shared" si="26"/>
        <v>1.6664018863310547E-8</v>
      </c>
      <c r="H398" s="9">
        <f t="shared" si="27"/>
        <v>4.9992056589941633E-10</v>
      </c>
      <c r="I398" s="10">
        <f>SUM($H$3:H398)</f>
        <v>0.39423247451202525</v>
      </c>
      <c r="J398" s="23">
        <v>-6.9999999999999999E-4</v>
      </c>
      <c r="Q398" s="7">
        <f t="shared" si="25"/>
        <v>1.1036615493329264E-9</v>
      </c>
      <c r="R398" s="7">
        <f t="shared" si="24"/>
        <v>1.0099544366539055E-9</v>
      </c>
    </row>
    <row r="399" spans="1:18" x14ac:dyDescent="0.25">
      <c r="A399" s="22">
        <v>45147</v>
      </c>
      <c r="B399" s="12">
        <v>216.49</v>
      </c>
      <c r="C399" s="13">
        <v>3.2000000000000002E-3</v>
      </c>
      <c r="D399" s="7">
        <v>563</v>
      </c>
      <c r="E399" s="7">
        <v>-6.9999999999999999E-4</v>
      </c>
      <c r="F399" s="7">
        <v>564</v>
      </c>
      <c r="G399" s="8">
        <f t="shared" si="26"/>
        <v>3.4614505058911651E-8</v>
      </c>
      <c r="H399" s="9">
        <f t="shared" si="27"/>
        <v>1.0384351517675571E-9</v>
      </c>
      <c r="I399" s="10">
        <f>SUM($H$3:H399)</f>
        <v>0.39423247555046043</v>
      </c>
      <c r="J399" s="23">
        <v>-6.9999999999999999E-4</v>
      </c>
      <c r="Q399" s="7">
        <f t="shared" si="25"/>
        <v>1.1377954116834293E-9</v>
      </c>
      <c r="R399" s="7">
        <f t="shared" si="24"/>
        <v>1.0411901408803152E-9</v>
      </c>
    </row>
    <row r="400" spans="1:18" x14ac:dyDescent="0.25">
      <c r="A400" s="22">
        <v>45148</v>
      </c>
      <c r="B400" s="12">
        <v>215.33</v>
      </c>
      <c r="C400" s="13">
        <v>-5.4000000000000003E-3</v>
      </c>
      <c r="D400" s="7">
        <v>562</v>
      </c>
      <c r="E400" s="7">
        <v>-6.9999999999999999E-4</v>
      </c>
      <c r="F400" s="7">
        <v>520</v>
      </c>
      <c r="G400" s="8">
        <f t="shared" si="26"/>
        <v>1.322214204461022E-7</v>
      </c>
      <c r="H400" s="9">
        <f t="shared" si="27"/>
        <v>3.9666426133838587E-9</v>
      </c>
      <c r="I400" s="10">
        <f>SUM($H$3:H400)</f>
        <v>0.39423247951710305</v>
      </c>
      <c r="J400" s="23">
        <v>-6.9999999999999999E-4</v>
      </c>
      <c r="Q400" s="7">
        <f t="shared" si="25"/>
        <v>1.1729849604983809E-9</v>
      </c>
      <c r="R400" s="7">
        <f t="shared" si="24"/>
        <v>1.0733918978147579E-9</v>
      </c>
    </row>
    <row r="401" spans="1:18" x14ac:dyDescent="0.25">
      <c r="A401" s="22">
        <v>45149</v>
      </c>
      <c r="B401" s="12">
        <v>214.4</v>
      </c>
      <c r="C401" s="13">
        <v>-4.3E-3</v>
      </c>
      <c r="D401" s="7">
        <v>561</v>
      </c>
      <c r="E401" s="7">
        <v>-6.9999999999999999E-4</v>
      </c>
      <c r="F401" s="7">
        <v>400</v>
      </c>
      <c r="G401" s="8">
        <f t="shared" si="26"/>
        <v>5.1132109052867025E-6</v>
      </c>
      <c r="H401" s="9">
        <f t="shared" si="27"/>
        <v>1.5339632715863175E-7</v>
      </c>
      <c r="I401" s="10">
        <f>SUM($H$3:H401)</f>
        <v>0.39423263291343019</v>
      </c>
      <c r="J401" s="23">
        <v>-6.9999999999999999E-4</v>
      </c>
      <c r="Q401" s="7">
        <f t="shared" si="25"/>
        <v>1.2092628458746194E-9</v>
      </c>
      <c r="R401" s="7">
        <f t="shared" si="24"/>
        <v>1.1065895853760391E-9</v>
      </c>
    </row>
    <row r="402" spans="1:18" x14ac:dyDescent="0.25">
      <c r="A402" s="22">
        <v>45152</v>
      </c>
      <c r="B402" s="12">
        <v>214.51</v>
      </c>
      <c r="C402" s="13">
        <v>5.0000000000000001E-4</v>
      </c>
      <c r="D402" s="7">
        <v>560</v>
      </c>
      <c r="E402" s="7">
        <v>-6.9999999999999999E-4</v>
      </c>
      <c r="F402" s="7">
        <v>352</v>
      </c>
      <c r="G402" s="8">
        <f t="shared" si="26"/>
        <v>2.2062283538226355E-5</v>
      </c>
      <c r="H402" s="9">
        <f t="shared" si="27"/>
        <v>6.6186850614692291E-7</v>
      </c>
      <c r="I402" s="10">
        <f>SUM($H$3:H402)</f>
        <v>0.39423329478193636</v>
      </c>
      <c r="J402" s="23">
        <v>-6.9999999999999999E-4</v>
      </c>
      <c r="Q402" s="7">
        <f t="shared" si="25"/>
        <v>1.2466627277057931E-9</v>
      </c>
      <c r="R402" s="7">
        <f t="shared" si="24"/>
        <v>1.1408140055423082E-9</v>
      </c>
    </row>
    <row r="403" spans="1:18" x14ac:dyDescent="0.25">
      <c r="A403" s="22">
        <v>45154</v>
      </c>
      <c r="B403" s="12">
        <v>214.57</v>
      </c>
      <c r="C403" s="13">
        <v>2.9999999999999997E-4</v>
      </c>
      <c r="D403" s="7">
        <v>559</v>
      </c>
      <c r="E403" s="7">
        <v>-6.9999999999999999E-4</v>
      </c>
      <c r="F403" s="7">
        <v>313</v>
      </c>
      <c r="G403" s="8">
        <f t="shared" si="26"/>
        <v>7.2369042288711891E-5</v>
      </c>
      <c r="H403" s="9">
        <f t="shared" si="27"/>
        <v>2.1710712686617909E-6</v>
      </c>
      <c r="I403" s="10">
        <f>SUM($H$3:H403)</f>
        <v>0.39423546585320501</v>
      </c>
      <c r="J403" s="23">
        <v>-6.9999999999999999E-4</v>
      </c>
      <c r="Q403" s="7">
        <f t="shared" si="25"/>
        <v>1.2852193069131889E-9</v>
      </c>
      <c r="R403" s="7">
        <f t="shared" si="24"/>
        <v>1.1760969129302147E-9</v>
      </c>
    </row>
    <row r="404" spans="1:18" x14ac:dyDescent="0.25">
      <c r="A404" s="22">
        <v>45155</v>
      </c>
      <c r="B404" s="12">
        <v>213.7</v>
      </c>
      <c r="C404" s="13">
        <v>-4.1000000000000003E-3</v>
      </c>
      <c r="D404" s="7">
        <v>558</v>
      </c>
      <c r="E404" s="7">
        <v>-6.9999999999999999E-4</v>
      </c>
      <c r="F404" s="7">
        <v>243</v>
      </c>
      <c r="G404" s="8">
        <f t="shared" si="26"/>
        <v>6.1028321675474641E-4</v>
      </c>
      <c r="H404" s="9">
        <f t="shared" si="27"/>
        <v>1.8308496502646053E-5</v>
      </c>
      <c r="I404" s="10">
        <f>SUM($H$3:H404)</f>
        <v>0.39425377434970765</v>
      </c>
      <c r="J404" s="23">
        <v>-6.9999999999999999E-4</v>
      </c>
      <c r="Q404" s="7">
        <f t="shared" si="25"/>
        <v>1.3249683576424628E-9</v>
      </c>
      <c r="R404" s="7">
        <f t="shared" si="24"/>
        <v>1.2124710442579535E-9</v>
      </c>
    </row>
    <row r="405" spans="1:18" x14ac:dyDescent="0.25">
      <c r="A405" s="22">
        <v>45156</v>
      </c>
      <c r="B405" s="12">
        <v>213</v>
      </c>
      <c r="C405" s="13">
        <v>-3.3E-3</v>
      </c>
      <c r="D405" s="7">
        <v>557</v>
      </c>
      <c r="E405" s="7">
        <v>-6.9999999999999999E-4</v>
      </c>
      <c r="F405" s="7">
        <v>80</v>
      </c>
      <c r="G405" s="8">
        <f t="shared" si="26"/>
        <v>8.7445756918827236E-2</v>
      </c>
      <c r="H405" s="9">
        <f t="shared" si="27"/>
        <v>2.6233727075653415E-3</v>
      </c>
      <c r="I405" s="10">
        <f>SUM($H$3:H405)</f>
        <v>0.39687714705727301</v>
      </c>
      <c r="J405" s="23">
        <v>-6.9999999999999999E-4</v>
      </c>
      <c r="Q405" s="7">
        <f t="shared" si="25"/>
        <v>1.3659467604561472E-9</v>
      </c>
      <c r="R405" s="7">
        <f t="shared" si="24"/>
        <v>1.2499701487195395E-9</v>
      </c>
    </row>
    <row r="406" spans="1:18" x14ac:dyDescent="0.25">
      <c r="A406" s="22">
        <v>45159</v>
      </c>
      <c r="B406" s="12">
        <v>213.5</v>
      </c>
      <c r="C406" s="13">
        <v>2.3E-3</v>
      </c>
      <c r="D406" s="7">
        <v>556</v>
      </c>
      <c r="E406" s="7">
        <v>-6.9999999999999999E-4</v>
      </c>
      <c r="F406" s="7">
        <v>33</v>
      </c>
      <c r="G406" s="8">
        <f t="shared" si="26"/>
        <v>0.36598832426848932</v>
      </c>
      <c r="H406" s="9">
        <f t="shared" si="27"/>
        <v>1.0979649728056875E-2</v>
      </c>
      <c r="I406" s="10">
        <f>SUM($H$3:H406)</f>
        <v>0.40785679678532988</v>
      </c>
      <c r="J406" s="23">
        <v>-6.9999999999999999E-4</v>
      </c>
      <c r="Q406" s="7">
        <f t="shared" si="25"/>
        <v>1.408192536552729E-9</v>
      </c>
      <c r="R406" s="7">
        <f t="shared" si="24"/>
        <v>1.2886290192984943E-9</v>
      </c>
    </row>
    <row r="407" spans="1:18" x14ac:dyDescent="0.25">
      <c r="A407" s="22">
        <v>45160</v>
      </c>
      <c r="B407" s="12">
        <v>213.43</v>
      </c>
      <c r="C407" s="13">
        <v>-2.9999999999999997E-4</v>
      </c>
      <c r="D407" s="7">
        <v>555</v>
      </c>
      <c r="E407" s="7">
        <v>-5.9999999999999995E-4</v>
      </c>
      <c r="F407" s="7">
        <v>792</v>
      </c>
      <c r="G407" s="8">
        <f t="shared" si="26"/>
        <v>3.3359039597733612E-11</v>
      </c>
      <c r="H407" s="9">
        <f t="shared" si="27"/>
        <v>1.0007711879322084E-12</v>
      </c>
      <c r="I407" s="10">
        <f>SUM($H$3:H407)</f>
        <v>0.40785679678633063</v>
      </c>
      <c r="J407" s="23">
        <v>-5.9999999999999995E-4</v>
      </c>
      <c r="Q407" s="7">
        <f t="shared" si="25"/>
        <v>1.4517448830440507E-9</v>
      </c>
      <c r="R407" s="7">
        <f t="shared" si="24"/>
        <v>1.3284835250499944E-9</v>
      </c>
    </row>
    <row r="408" spans="1:18" x14ac:dyDescent="0.25">
      <c r="A408" s="22">
        <v>45161</v>
      </c>
      <c r="B408" s="12">
        <v>214.37</v>
      </c>
      <c r="C408" s="13">
        <v>4.4000000000000003E-3</v>
      </c>
      <c r="D408" s="7">
        <v>554</v>
      </c>
      <c r="E408" s="7">
        <v>-5.9999999999999995E-4</v>
      </c>
      <c r="F408" s="7">
        <v>495</v>
      </c>
      <c r="G408" s="8">
        <f t="shared" si="26"/>
        <v>2.8314471631622555E-7</v>
      </c>
      <c r="H408" s="9">
        <f t="shared" si="27"/>
        <v>8.4943414894884646E-9</v>
      </c>
      <c r="I408" s="10">
        <f>SUM($H$3:H408)</f>
        <v>0.40785680528067214</v>
      </c>
      <c r="J408" s="23">
        <v>-5.9999999999999995E-4</v>
      </c>
      <c r="Q408" s="7">
        <f t="shared" si="25"/>
        <v>1.4966442093237636E-9</v>
      </c>
      <c r="R408" s="7">
        <f t="shared" si="24"/>
        <v>1.3695706443814374E-9</v>
      </c>
    </row>
    <row r="409" spans="1:18" x14ac:dyDescent="0.25">
      <c r="A409" s="22">
        <v>45162</v>
      </c>
      <c r="B409" s="12">
        <v>213.77</v>
      </c>
      <c r="C409" s="13">
        <v>-2.8E-3</v>
      </c>
      <c r="D409" s="7">
        <v>553</v>
      </c>
      <c r="E409" s="7">
        <v>-5.9999999999999995E-4</v>
      </c>
      <c r="F409" s="7">
        <v>336</v>
      </c>
      <c r="G409" s="8">
        <f t="shared" si="26"/>
        <v>3.5917219887673948E-5</v>
      </c>
      <c r="H409" s="9">
        <f t="shared" si="27"/>
        <v>1.0775165966304338E-6</v>
      </c>
      <c r="I409" s="10">
        <f>SUM($H$3:H409)</f>
        <v>0.40785788279726876</v>
      </c>
      <c r="J409" s="23">
        <v>-5.9999999999999995E-4</v>
      </c>
      <c r="Q409" s="7">
        <f t="shared" si="25"/>
        <v>1.5429321745605812E-9</v>
      </c>
      <c r="R409" s="7">
        <f t="shared" si="24"/>
        <v>1.4119284993623069E-9</v>
      </c>
    </row>
    <row r="410" spans="1:18" x14ac:dyDescent="0.25">
      <c r="A410" s="22">
        <v>45163</v>
      </c>
      <c r="B410" s="12">
        <v>212.76</v>
      </c>
      <c r="C410" s="13">
        <v>-4.7000000000000002E-3</v>
      </c>
      <c r="D410" s="7">
        <v>552</v>
      </c>
      <c r="E410" s="7">
        <v>-5.9999999999999995E-4</v>
      </c>
      <c r="F410" s="7">
        <v>315</v>
      </c>
      <c r="G410" s="8">
        <f t="shared" si="26"/>
        <v>6.8092031889449019E-5</v>
      </c>
      <c r="H410" s="9">
        <f t="shared" si="27"/>
        <v>2.0427609566838787E-6</v>
      </c>
      <c r="I410" s="10">
        <f>SUM($H$3:H410)</f>
        <v>0.40785992555822542</v>
      </c>
      <c r="J410" s="23">
        <v>-5.9999999999999995E-4</v>
      </c>
      <c r="Q410" s="7">
        <f t="shared" si="25"/>
        <v>1.5906517263511146E-9</v>
      </c>
      <c r="R410" s="7">
        <f t="shared" si="24"/>
        <v>1.4555963910951616E-9</v>
      </c>
    </row>
    <row r="411" spans="1:18" x14ac:dyDescent="0.25">
      <c r="A411" s="22">
        <v>45166</v>
      </c>
      <c r="B411" s="12">
        <v>212.87</v>
      </c>
      <c r="C411" s="13">
        <v>5.0000000000000001E-4</v>
      </c>
      <c r="D411" s="7">
        <v>551</v>
      </c>
      <c r="E411" s="7">
        <v>-5.9999999999999995E-4</v>
      </c>
      <c r="F411" s="7">
        <v>223</v>
      </c>
      <c r="G411" s="8">
        <f t="shared" si="26"/>
        <v>1.1222684176340461E-3</v>
      </c>
      <c r="H411" s="9">
        <f t="shared" si="27"/>
        <v>3.3668052529028114E-5</v>
      </c>
      <c r="I411" s="10">
        <f>SUM($H$3:H411)</f>
        <v>0.40789359361075445</v>
      </c>
      <c r="J411" s="23">
        <v>-5.9999999999999995E-4</v>
      </c>
      <c r="Q411" s="7">
        <f t="shared" si="25"/>
        <v>1.6398471405681593E-9</v>
      </c>
      <c r="R411" s="7">
        <f t="shared" si="24"/>
        <v>1.5006148361805788E-9</v>
      </c>
    </row>
    <row r="412" spans="1:18" x14ac:dyDescent="0.25">
      <c r="A412" s="22">
        <v>45167</v>
      </c>
      <c r="B412" s="12">
        <v>213.16</v>
      </c>
      <c r="C412" s="13">
        <v>1.4E-3</v>
      </c>
      <c r="D412" s="7">
        <v>550</v>
      </c>
      <c r="E412" s="7">
        <v>-5.9999999999999995E-4</v>
      </c>
      <c r="F412" s="7">
        <v>160</v>
      </c>
      <c r="G412" s="8">
        <f t="shared" si="26"/>
        <v>7.6467604031066217E-3</v>
      </c>
      <c r="H412" s="9">
        <f t="shared" si="27"/>
        <v>2.2940281209324451E-4</v>
      </c>
      <c r="I412" s="10">
        <f>SUM($H$3:H412)</f>
        <v>0.40812299642284772</v>
      </c>
      <c r="J412" s="23">
        <v>-5.9999999999999995E-4</v>
      </c>
      <c r="Q412" s="7">
        <f t="shared" si="25"/>
        <v>1.6905640624414013E-9</v>
      </c>
      <c r="R412" s="7">
        <f t="shared" si="24"/>
        <v>1.5470256043098751E-9</v>
      </c>
    </row>
    <row r="413" spans="1:18" x14ac:dyDescent="0.25">
      <c r="A413" s="22">
        <v>45168</v>
      </c>
      <c r="B413" s="12">
        <v>213.54</v>
      </c>
      <c r="C413" s="13">
        <v>1.8E-3</v>
      </c>
      <c r="D413" s="7">
        <v>549</v>
      </c>
      <c r="E413" s="7">
        <v>-5.0000000000000001E-4</v>
      </c>
      <c r="F413" s="7">
        <v>482</v>
      </c>
      <c r="G413" s="8">
        <f t="shared" si="26"/>
        <v>4.2070329776260229E-7</v>
      </c>
      <c r="H413" s="9">
        <f t="shared" si="27"/>
        <v>1.2621098932880591E-8</v>
      </c>
      <c r="I413" s="10">
        <f>SUM($H$3:H413)</f>
        <v>0.40812300904394666</v>
      </c>
      <c r="J413" s="23">
        <v>-5.0000000000000001E-4</v>
      </c>
      <c r="Q413" s="7">
        <f t="shared" si="25"/>
        <v>1.7428495489086612E-9</v>
      </c>
      <c r="R413" s="7">
        <f t="shared" si="24"/>
        <v>1.5948717570204899E-9</v>
      </c>
    </row>
    <row r="414" spans="1:18" x14ac:dyDescent="0.25">
      <c r="A414" s="22">
        <v>45169</v>
      </c>
      <c r="B414" s="12">
        <v>212.77</v>
      </c>
      <c r="C414" s="13">
        <v>-3.5999999999999999E-3</v>
      </c>
      <c r="D414" s="7">
        <v>548</v>
      </c>
      <c r="E414" s="7">
        <v>-5.0000000000000001E-4</v>
      </c>
      <c r="F414" s="7">
        <v>305</v>
      </c>
      <c r="G414" s="8">
        <f t="shared" si="26"/>
        <v>9.2337678421458965E-5</v>
      </c>
      <c r="H414" s="9">
        <f t="shared" si="27"/>
        <v>2.7701303526443227E-6</v>
      </c>
      <c r="I414" s="10">
        <f>SUM($H$3:H414)</f>
        <v>0.40812577917429932</v>
      </c>
      <c r="J414" s="23">
        <v>-5.0000000000000001E-4</v>
      </c>
      <c r="Q414" s="7">
        <f t="shared" si="25"/>
        <v>1.7967521122769705E-9</v>
      </c>
      <c r="R414" s="7">
        <f t="shared" si="24"/>
        <v>1.6441976876499896E-9</v>
      </c>
    </row>
    <row r="415" spans="1:18" x14ac:dyDescent="0.25">
      <c r="A415" s="22">
        <v>45170</v>
      </c>
      <c r="B415" s="12">
        <v>214.27</v>
      </c>
      <c r="C415" s="13">
        <v>7.0000000000000001E-3</v>
      </c>
      <c r="D415" s="7">
        <v>547</v>
      </c>
      <c r="E415" s="7">
        <v>-5.0000000000000001E-4</v>
      </c>
      <c r="F415" s="7">
        <v>296</v>
      </c>
      <c r="G415" s="8">
        <f t="shared" si="26"/>
        <v>1.2146001846448567E-4</v>
      </c>
      <c r="H415" s="9">
        <f t="shared" si="27"/>
        <v>3.6438005539352984E-6</v>
      </c>
      <c r="I415" s="10">
        <f>SUM($H$3:H415)</f>
        <v>0.40812942297485327</v>
      </c>
      <c r="J415" s="23">
        <v>-5.0000000000000001E-4</v>
      </c>
      <c r="Q415" s="7">
        <f t="shared" si="25"/>
        <v>1.8523217652339901E-9</v>
      </c>
      <c r="R415" s="7">
        <f t="shared" si="24"/>
        <v>1.6950491625257625E-9</v>
      </c>
    </row>
    <row r="416" spans="1:18" x14ac:dyDescent="0.25">
      <c r="A416" s="22">
        <v>45173</v>
      </c>
      <c r="B416" s="12">
        <v>215.59</v>
      </c>
      <c r="C416" s="13">
        <v>6.1999999999999998E-3</v>
      </c>
      <c r="D416" s="7">
        <v>546</v>
      </c>
      <c r="E416" s="7">
        <v>-5.0000000000000001E-4</v>
      </c>
      <c r="F416" s="7">
        <v>178</v>
      </c>
      <c r="G416" s="8">
        <f t="shared" si="26"/>
        <v>4.4194548293396037E-3</v>
      </c>
      <c r="H416" s="9">
        <f t="shared" si="27"/>
        <v>1.3258364488021461E-4</v>
      </c>
      <c r="I416" s="10">
        <f>SUM($H$3:H416)</f>
        <v>0.4082620066197335</v>
      </c>
      <c r="J416" s="23">
        <v>-5.0000000000000001E-4</v>
      </c>
      <c r="Q416" s="7">
        <f t="shared" si="25"/>
        <v>1.9096100672515362E-9</v>
      </c>
      <c r="R416" s="7">
        <f t="shared" si="24"/>
        <v>1.7474733634286211E-9</v>
      </c>
    </row>
    <row r="417" spans="1:18" x14ac:dyDescent="0.25">
      <c r="A417" s="22">
        <v>45174</v>
      </c>
      <c r="B417" s="12">
        <v>215.84</v>
      </c>
      <c r="C417" s="13">
        <v>1.1999999999999999E-3</v>
      </c>
      <c r="D417" s="7">
        <v>545</v>
      </c>
      <c r="E417" s="7">
        <v>-5.0000000000000001E-4</v>
      </c>
      <c r="F417" s="7">
        <v>37</v>
      </c>
      <c r="G417" s="8">
        <f t="shared" si="26"/>
        <v>0.32400683201884206</v>
      </c>
      <c r="H417" s="9">
        <f t="shared" si="27"/>
        <v>9.7202049605672053E-3</v>
      </c>
      <c r="I417" s="10">
        <f>SUM($H$3:H417)</f>
        <v>0.41798221158030069</v>
      </c>
      <c r="J417" s="23">
        <v>-5.0000000000000001E-4</v>
      </c>
      <c r="Q417" s="7">
        <f t="shared" si="25"/>
        <v>1.9686701724242638E-9</v>
      </c>
      <c r="R417" s="7">
        <f t="shared" si="24"/>
        <v>1.8015189313697122E-9</v>
      </c>
    </row>
    <row r="418" spans="1:18" x14ac:dyDescent="0.25">
      <c r="A418" s="22">
        <v>45175</v>
      </c>
      <c r="B418" s="12">
        <v>216.22</v>
      </c>
      <c r="C418" s="13">
        <v>1.8E-3</v>
      </c>
      <c r="D418" s="7">
        <v>544</v>
      </c>
      <c r="E418" s="7">
        <v>-4.0000000000000002E-4</v>
      </c>
      <c r="F418" s="7">
        <v>625</v>
      </c>
      <c r="G418" s="8">
        <f t="shared" si="26"/>
        <v>5.3992559606034775E-9</v>
      </c>
      <c r="H418" s="9">
        <f t="shared" si="27"/>
        <v>1.6197767881813669E-10</v>
      </c>
      <c r="I418" s="10">
        <f>SUM($H$3:H418)</f>
        <v>0.41798221174227834</v>
      </c>
      <c r="J418" s="23">
        <v>-4.0000000000000002E-4</v>
      </c>
      <c r="Q418" s="7">
        <f t="shared" si="25"/>
        <v>2.0295568787879007E-9</v>
      </c>
      <c r="R418" s="7">
        <f t="shared" si="24"/>
        <v>1.8572360117213528E-9</v>
      </c>
    </row>
    <row r="419" spans="1:18" x14ac:dyDescent="0.25">
      <c r="A419" s="22">
        <v>45176</v>
      </c>
      <c r="B419" s="12">
        <v>217.29</v>
      </c>
      <c r="C419" s="13">
        <v>4.8999999999999998E-3</v>
      </c>
      <c r="D419" s="7">
        <v>543</v>
      </c>
      <c r="E419" s="7">
        <v>-4.0000000000000002E-4</v>
      </c>
      <c r="F419" s="7">
        <v>585</v>
      </c>
      <c r="G419" s="8">
        <f t="shared" si="26"/>
        <v>1.8258476873218064E-8</v>
      </c>
      <c r="H419" s="9">
        <f t="shared" si="27"/>
        <v>5.4775430619665142E-10</v>
      </c>
      <c r="I419" s="10">
        <f>SUM($H$3:H419)</f>
        <v>0.41798221229003263</v>
      </c>
      <c r="J419" s="23">
        <v>-4.0000000000000002E-4</v>
      </c>
      <c r="Q419" s="7">
        <f t="shared" si="25"/>
        <v>2.0923266791627845E-9</v>
      </c>
      <c r="R419" s="7">
        <f t="shared" si="24"/>
        <v>1.914676300743663E-9</v>
      </c>
    </row>
    <row r="420" spans="1:18" x14ac:dyDescent="0.25">
      <c r="A420" s="22">
        <v>45177</v>
      </c>
      <c r="B420" s="12">
        <v>218.41</v>
      </c>
      <c r="C420" s="13">
        <v>5.1999999999999998E-3</v>
      </c>
      <c r="D420" s="7">
        <v>542</v>
      </c>
      <c r="E420" s="7">
        <v>-4.0000000000000002E-4</v>
      </c>
      <c r="F420" s="7">
        <v>574</v>
      </c>
      <c r="G420" s="8">
        <f t="shared" si="26"/>
        <v>2.5525571170967997E-8</v>
      </c>
      <c r="H420" s="9">
        <f t="shared" si="27"/>
        <v>7.6576713512919299E-10</v>
      </c>
      <c r="I420" s="10">
        <f>SUM($H$3:H420)</f>
        <v>0.41798221305579975</v>
      </c>
      <c r="J420" s="23">
        <v>-4.0000000000000002E-4</v>
      </c>
      <c r="Q420" s="7">
        <f t="shared" si="25"/>
        <v>2.1570378135698809E-9</v>
      </c>
      <c r="R420" s="7">
        <f t="shared" si="24"/>
        <v>1.9738930935501678E-9</v>
      </c>
    </row>
    <row r="421" spans="1:18" x14ac:dyDescent="0.25">
      <c r="A421" s="22">
        <v>45180</v>
      </c>
      <c r="B421" s="12">
        <v>220.38</v>
      </c>
      <c r="C421" s="13">
        <v>8.9999999999999993E-3</v>
      </c>
      <c r="D421" s="7">
        <v>541</v>
      </c>
      <c r="E421" s="7">
        <v>-4.0000000000000002E-4</v>
      </c>
      <c r="F421" s="7">
        <v>490</v>
      </c>
      <c r="G421" s="8">
        <f t="shared" si="26"/>
        <v>3.2972341591497919E-7</v>
      </c>
      <c r="H421" s="9">
        <f t="shared" si="27"/>
        <v>9.8917024774513523E-9</v>
      </c>
      <c r="I421" s="10">
        <f>SUM($H$3:H421)</f>
        <v>0.4179822229475022</v>
      </c>
      <c r="J421" s="23">
        <v>-4.0000000000000002E-4</v>
      </c>
      <c r="Q421" s="7">
        <f t="shared" si="25"/>
        <v>2.223750323267919E-9</v>
      </c>
      <c r="R421" s="7">
        <f t="shared" si="24"/>
        <v>2.0349413335568745E-9</v>
      </c>
    </row>
    <row r="422" spans="1:18" x14ac:dyDescent="0.25">
      <c r="A422" s="22">
        <v>45181</v>
      </c>
      <c r="B422" s="12">
        <v>220.19</v>
      </c>
      <c r="C422" s="13">
        <v>-8.9999999999999998E-4</v>
      </c>
      <c r="D422" s="7">
        <v>540</v>
      </c>
      <c r="E422" s="7">
        <v>-4.0000000000000002E-4</v>
      </c>
      <c r="F422" s="7">
        <v>428</v>
      </c>
      <c r="G422" s="8">
        <f t="shared" si="26"/>
        <v>2.1792259708491084E-6</v>
      </c>
      <c r="H422" s="9">
        <f t="shared" si="27"/>
        <v>6.5376779125486313E-8</v>
      </c>
      <c r="I422" s="10">
        <f>SUM($H$3:H422)</f>
        <v>0.4179822883242813</v>
      </c>
      <c r="J422" s="23">
        <v>-4.0000000000000002E-4</v>
      </c>
      <c r="Q422" s="7">
        <f t="shared" si="25"/>
        <v>2.2925261064617721E-9</v>
      </c>
      <c r="R422" s="7">
        <f t="shared" si="24"/>
        <v>2.0978776634606955E-9</v>
      </c>
    </row>
    <row r="423" spans="1:18" x14ac:dyDescent="0.25">
      <c r="A423" s="22">
        <v>45182</v>
      </c>
      <c r="B423" s="12">
        <v>221.43</v>
      </c>
      <c r="C423" s="13">
        <v>5.5999999999999999E-3</v>
      </c>
      <c r="D423" s="7">
        <v>539</v>
      </c>
      <c r="E423" s="7">
        <v>-4.0000000000000002E-4</v>
      </c>
      <c r="F423" s="7">
        <v>280</v>
      </c>
      <c r="G423" s="8">
        <f t="shared" si="26"/>
        <v>1.9773593169497374E-4</v>
      </c>
      <c r="H423" s="9">
        <f t="shared" si="27"/>
        <v>5.9320779508503976E-6</v>
      </c>
      <c r="I423" s="10">
        <f>SUM($H$3:H423)</f>
        <v>0.41798822040223216</v>
      </c>
      <c r="J423" s="23">
        <v>-4.0000000000000002E-4</v>
      </c>
      <c r="Q423" s="7">
        <f t="shared" si="25"/>
        <v>2.363428975733785E-9</v>
      </c>
      <c r="R423" s="7">
        <f t="shared" si="24"/>
        <v>2.1627604777945307E-9</v>
      </c>
    </row>
    <row r="424" spans="1:18" x14ac:dyDescent="0.25">
      <c r="A424" s="22">
        <v>45183</v>
      </c>
      <c r="B424" s="12">
        <v>221.53</v>
      </c>
      <c r="C424" s="13">
        <v>5.0000000000000001E-4</v>
      </c>
      <c r="D424" s="7">
        <v>538</v>
      </c>
      <c r="E424" s="7">
        <v>-4.0000000000000002E-4</v>
      </c>
      <c r="F424" s="7">
        <v>186</v>
      </c>
      <c r="G424" s="8">
        <f t="shared" si="26"/>
        <v>3.4637183748297707E-3</v>
      </c>
      <c r="H424" s="9">
        <f t="shared" si="27"/>
        <v>1.0391155124491389E-4</v>
      </c>
      <c r="I424" s="10">
        <f>SUM($H$3:H424)</f>
        <v>0.41809213195347705</v>
      </c>
      <c r="J424" s="23">
        <v>-4.0000000000000002E-4</v>
      </c>
      <c r="Q424" s="7">
        <f t="shared" si="25"/>
        <v>2.4365247172513253E-9</v>
      </c>
      <c r="R424" s="7">
        <f t="shared" si="24"/>
        <v>2.2296499771077642E-9</v>
      </c>
    </row>
    <row r="425" spans="1:18" x14ac:dyDescent="0.25">
      <c r="A425" s="22">
        <v>45184</v>
      </c>
      <c r="B425" s="12">
        <v>222.57</v>
      </c>
      <c r="C425" s="13">
        <v>4.7000000000000002E-3</v>
      </c>
      <c r="D425" s="7">
        <v>537</v>
      </c>
      <c r="E425" s="7">
        <v>-2.9999999999999997E-4</v>
      </c>
      <c r="F425" s="7">
        <v>856</v>
      </c>
      <c r="G425" s="8">
        <f t="shared" si="26"/>
        <v>4.7490258320232404E-12</v>
      </c>
      <c r="H425" s="9">
        <f t="shared" si="27"/>
        <v>1.424707749607257E-13</v>
      </c>
      <c r="I425" s="10">
        <f>SUM($H$3:H425)</f>
        <v>0.41809213195361955</v>
      </c>
      <c r="J425" s="23">
        <v>-2.9999999999999997E-4</v>
      </c>
      <c r="Q425" s="7">
        <f t="shared" si="25"/>
        <v>2.5118811518054898E-9</v>
      </c>
      <c r="R425" s="7">
        <f t="shared" si="24"/>
        <v>2.2986082238224369E-9</v>
      </c>
    </row>
    <row r="426" spans="1:18" x14ac:dyDescent="0.25">
      <c r="A426" s="22">
        <v>45187</v>
      </c>
      <c r="B426" s="12">
        <v>221.92</v>
      </c>
      <c r="C426" s="13">
        <v>-2.8999999999999998E-3</v>
      </c>
      <c r="D426" s="7">
        <v>536</v>
      </c>
      <c r="E426" s="7">
        <v>-2.9999999999999997E-4</v>
      </c>
      <c r="F426" s="7">
        <v>831</v>
      </c>
      <c r="G426" s="8">
        <f t="shared" si="26"/>
        <v>1.0169771035962935E-11</v>
      </c>
      <c r="H426" s="9">
        <f t="shared" si="27"/>
        <v>3.0509313107894901E-13</v>
      </c>
      <c r="I426" s="10">
        <f>SUM($H$3:H426)</f>
        <v>0.41809213195392464</v>
      </c>
      <c r="J426" s="23">
        <v>-2.9999999999999997E-4</v>
      </c>
      <c r="Q426" s="7">
        <f t="shared" si="25"/>
        <v>2.5895681977376189E-9</v>
      </c>
      <c r="R426" s="7">
        <f t="shared" si="24"/>
        <v>2.3696991998169457E-9</v>
      </c>
    </row>
    <row r="427" spans="1:18" x14ac:dyDescent="0.25">
      <c r="A427" s="22">
        <v>45189</v>
      </c>
      <c r="B427" s="12">
        <v>219.6</v>
      </c>
      <c r="C427" s="13">
        <v>-1.0500000000000001E-2</v>
      </c>
      <c r="D427" s="7">
        <v>535</v>
      </c>
      <c r="E427" s="7">
        <v>-2.9999999999999997E-4</v>
      </c>
      <c r="F427" s="7">
        <v>555</v>
      </c>
      <c r="G427" s="8">
        <f t="shared" si="26"/>
        <v>4.5531558681871533E-8</v>
      </c>
      <c r="H427" s="9">
        <f t="shared" si="27"/>
        <v>1.3659467604564191E-9</v>
      </c>
      <c r="I427" s="10">
        <f>SUM($H$3:H427)</f>
        <v>0.41809213331987138</v>
      </c>
      <c r="J427" s="23">
        <v>-2.9999999999999997E-4</v>
      </c>
      <c r="Q427" s="7">
        <f t="shared" si="25"/>
        <v>2.6696579358119779E-9</v>
      </c>
      <c r="R427" s="7">
        <f t="shared" si="24"/>
        <v>2.4429888657906658E-9</v>
      </c>
    </row>
    <row r="428" spans="1:18" x14ac:dyDescent="0.25">
      <c r="A428" s="22">
        <v>45190</v>
      </c>
      <c r="B428" s="12">
        <v>217.63</v>
      </c>
      <c r="C428" s="13">
        <v>-8.9999999999999993E-3</v>
      </c>
      <c r="D428" s="7">
        <v>534</v>
      </c>
      <c r="E428" s="7">
        <v>-2.9999999999999997E-4</v>
      </c>
      <c r="F428" s="7">
        <v>503</v>
      </c>
      <c r="G428" s="8">
        <f t="shared" si="26"/>
        <v>2.2191279117271205E-7</v>
      </c>
      <c r="H428" s="9">
        <f t="shared" si="27"/>
        <v>6.6573837351826917E-9</v>
      </c>
      <c r="I428" s="10">
        <f>SUM($H$3:H428)</f>
        <v>0.41809213997725514</v>
      </c>
      <c r="J428" s="23">
        <v>-2.9999999999999997E-4</v>
      </c>
      <c r="Q428" s="7">
        <f t="shared" si="25"/>
        <v>2.7522246760948228E-9</v>
      </c>
      <c r="R428" s="7">
        <f t="shared" si="24"/>
        <v>2.518545222464604E-9</v>
      </c>
    </row>
    <row r="429" spans="1:18" x14ac:dyDescent="0.25">
      <c r="A429" s="22">
        <v>45191</v>
      </c>
      <c r="B429" s="12">
        <v>216.81</v>
      </c>
      <c r="C429" s="13">
        <v>-3.8E-3</v>
      </c>
      <c r="D429" s="7">
        <v>533</v>
      </c>
      <c r="E429" s="7">
        <v>-2.9999999999999997E-4</v>
      </c>
      <c r="F429" s="7">
        <v>500</v>
      </c>
      <c r="G429" s="8">
        <f t="shared" si="26"/>
        <v>2.4314600209791686E-7</v>
      </c>
      <c r="H429" s="9">
        <f t="shared" si="27"/>
        <v>7.2943800629389637E-9</v>
      </c>
      <c r="I429" s="10">
        <f>SUM($H$3:H429)</f>
        <v>0.41809214727163518</v>
      </c>
      <c r="J429" s="23">
        <v>-2.9999999999999997E-4</v>
      </c>
      <c r="Q429" s="7">
        <f t="shared" si="25"/>
        <v>2.8373450269018793E-9</v>
      </c>
      <c r="R429" s="7">
        <f t="shared" si="24"/>
        <v>2.5964383736748497E-9</v>
      </c>
    </row>
    <row r="430" spans="1:18" x14ac:dyDescent="0.25">
      <c r="A430" s="22">
        <v>45194</v>
      </c>
      <c r="B430" s="12">
        <v>216.8</v>
      </c>
      <c r="C430" s="13">
        <v>0</v>
      </c>
      <c r="D430" s="7">
        <v>532</v>
      </c>
      <c r="E430" s="7">
        <v>-2.9999999999999997E-4</v>
      </c>
      <c r="F430" s="7">
        <v>252</v>
      </c>
      <c r="G430" s="8">
        <f t="shared" si="26"/>
        <v>4.6395625595257431E-4</v>
      </c>
      <c r="H430" s="9">
        <f t="shared" si="27"/>
        <v>1.3918687678580011E-5</v>
      </c>
      <c r="I430" s="10">
        <f>SUM($H$3:H430)</f>
        <v>0.41810606595931377</v>
      </c>
      <c r="J430" s="23">
        <v>-2.9999999999999997E-4</v>
      </c>
      <c r="Q430" s="7">
        <f t="shared" si="25"/>
        <v>2.925097965878226E-9</v>
      </c>
      <c r="R430" s="7">
        <f t="shared" si="24"/>
        <v>2.6767405914173706E-9</v>
      </c>
    </row>
    <row r="431" spans="1:18" x14ac:dyDescent="0.25">
      <c r="A431" s="22">
        <v>45195</v>
      </c>
      <c r="B431" s="12">
        <v>216.57</v>
      </c>
      <c r="C431" s="13">
        <v>-1.1000000000000001E-3</v>
      </c>
      <c r="D431" s="7">
        <v>531</v>
      </c>
      <c r="E431" s="7">
        <v>-2.9999999999999997E-4</v>
      </c>
      <c r="F431" s="7">
        <v>249</v>
      </c>
      <c r="G431" s="8">
        <f t="shared" si="26"/>
        <v>5.0834883463472054E-4</v>
      </c>
      <c r="H431" s="9">
        <f t="shared" si="27"/>
        <v>1.5250465039044665E-5</v>
      </c>
      <c r="I431" s="10">
        <f>SUM($H$3:H431)</f>
        <v>0.4181213164243528</v>
      </c>
      <c r="J431" s="23">
        <v>-2.9999999999999997E-4</v>
      </c>
      <c r="Q431" s="7">
        <f t="shared" si="25"/>
        <v>3.0155649132765216E-9</v>
      </c>
      <c r="R431" s="7">
        <f t="shared" si="24"/>
        <v>2.7595263829045056E-9</v>
      </c>
    </row>
    <row r="432" spans="1:18" x14ac:dyDescent="0.25">
      <c r="A432" s="22">
        <v>45196</v>
      </c>
      <c r="B432" s="12">
        <v>217.56</v>
      </c>
      <c r="C432" s="13">
        <v>4.5999999999999999E-3</v>
      </c>
      <c r="D432" s="7">
        <v>530</v>
      </c>
      <c r="E432" s="7">
        <v>-2.0000000000000001E-4</v>
      </c>
      <c r="F432" s="7">
        <v>900</v>
      </c>
      <c r="G432" s="8">
        <f t="shared" si="26"/>
        <v>1.2432567895039321E-12</v>
      </c>
      <c r="H432" s="9">
        <f t="shared" si="27"/>
        <v>3.7297703685125418E-14</v>
      </c>
      <c r="I432" s="10">
        <f>SUM($H$3:H432)</f>
        <v>0.4181213164243901</v>
      </c>
      <c r="J432" s="23">
        <v>-2.0000000000000001E-4</v>
      </c>
      <c r="Q432" s="7">
        <f t="shared" si="25"/>
        <v>3.1088298075015685E-9</v>
      </c>
      <c r="R432" s="7">
        <f t="shared" si="24"/>
        <v>2.8448725596953665E-9</v>
      </c>
    </row>
    <row r="433" spans="1:18" x14ac:dyDescent="0.25">
      <c r="A433" s="22">
        <v>45197</v>
      </c>
      <c r="B433" s="12">
        <v>215.77</v>
      </c>
      <c r="C433" s="13">
        <v>-8.2000000000000007E-3</v>
      </c>
      <c r="D433" s="7">
        <v>529</v>
      </c>
      <c r="E433" s="7">
        <v>-2.0000000000000001E-4</v>
      </c>
      <c r="F433" s="7">
        <v>878</v>
      </c>
      <c r="G433" s="8">
        <f t="shared" si="26"/>
        <v>2.4298680229988733E-12</v>
      </c>
      <c r="H433" s="9">
        <f t="shared" si="27"/>
        <v>7.2896040689980766E-14</v>
      </c>
      <c r="I433" s="10">
        <f>SUM($H$3:H433)</f>
        <v>0.41812131642446299</v>
      </c>
      <c r="J433" s="23">
        <v>-2.0000000000000001E-4</v>
      </c>
      <c r="Q433" s="7">
        <f t="shared" si="25"/>
        <v>3.2049791829913079E-9</v>
      </c>
      <c r="R433" s="7">
        <f t="shared" si="24"/>
        <v>2.9328583089642957E-9</v>
      </c>
    </row>
    <row r="434" spans="1:18" x14ac:dyDescent="0.25">
      <c r="A434" s="22">
        <v>45198</v>
      </c>
      <c r="B434" s="12">
        <v>216.75</v>
      </c>
      <c r="C434" s="13">
        <v>4.4999999999999997E-3</v>
      </c>
      <c r="D434" s="7">
        <v>528</v>
      </c>
      <c r="E434" s="7">
        <v>-2.0000000000000001E-4</v>
      </c>
      <c r="F434" s="7">
        <v>747</v>
      </c>
      <c r="G434" s="8">
        <f t="shared" si="26"/>
        <v>1.3136676247482981E-10</v>
      </c>
      <c r="H434" s="9">
        <f t="shared" si="27"/>
        <v>3.9410028742456819E-12</v>
      </c>
      <c r="I434" s="10">
        <f>SUM($H$3:H434)</f>
        <v>0.418121316428404</v>
      </c>
      <c r="J434" s="23">
        <v>-2.0000000000000001E-4</v>
      </c>
      <c r="Q434" s="7">
        <f t="shared" si="25"/>
        <v>3.304102250506503E-9</v>
      </c>
      <c r="R434" s="7">
        <f t="shared" si="24"/>
        <v>3.0235652669735008E-9</v>
      </c>
    </row>
    <row r="435" spans="1:18" x14ac:dyDescent="0.25">
      <c r="A435" s="22">
        <v>45202</v>
      </c>
      <c r="B435" s="12">
        <v>215.57</v>
      </c>
      <c r="C435" s="13">
        <v>-5.4000000000000003E-3</v>
      </c>
      <c r="D435" s="7">
        <v>527</v>
      </c>
      <c r="E435" s="7">
        <v>-2.0000000000000001E-4</v>
      </c>
      <c r="F435" s="7">
        <v>745</v>
      </c>
      <c r="G435" s="8">
        <f t="shared" si="26"/>
        <v>1.396181979751619E-10</v>
      </c>
      <c r="H435" s="9">
        <f t="shared" si="27"/>
        <v>4.1885459392556941E-12</v>
      </c>
      <c r="I435" s="10">
        <f>SUM($H$3:H435)</f>
        <v>0.41812131643259254</v>
      </c>
      <c r="J435" s="23">
        <v>-2.0000000000000001E-4</v>
      </c>
      <c r="Q435" s="7">
        <f t="shared" si="25"/>
        <v>3.4062909799036116E-9</v>
      </c>
      <c r="R435" s="7">
        <f t="shared" si="24"/>
        <v>3.1170775948180421E-9</v>
      </c>
    </row>
    <row r="436" spans="1:18" x14ac:dyDescent="0.25">
      <c r="A436" s="22">
        <v>45203</v>
      </c>
      <c r="B436" s="12">
        <v>214.4</v>
      </c>
      <c r="C436" s="13">
        <v>-5.4000000000000003E-3</v>
      </c>
      <c r="D436" s="7">
        <v>526</v>
      </c>
      <c r="E436" s="7">
        <v>-2.0000000000000001E-4</v>
      </c>
      <c r="F436" s="7">
        <v>475</v>
      </c>
      <c r="G436" s="8">
        <f t="shared" si="26"/>
        <v>5.2068345321931235E-7</v>
      </c>
      <c r="H436" s="9">
        <f t="shared" si="27"/>
        <v>1.5620503596582492E-8</v>
      </c>
      <c r="I436" s="10">
        <f>SUM($H$3:H436)</f>
        <v>0.41812133205309615</v>
      </c>
      <c r="J436" s="23">
        <v>-2.0000000000000001E-4</v>
      </c>
      <c r="Q436" s="7">
        <f t="shared" si="25"/>
        <v>3.5116401854676407E-9</v>
      </c>
      <c r="R436" s="7">
        <f t="shared" si="24"/>
        <v>3.2134820565134453E-9</v>
      </c>
    </row>
    <row r="437" spans="1:18" x14ac:dyDescent="0.25">
      <c r="A437" s="22">
        <v>45204</v>
      </c>
      <c r="B437" s="12">
        <v>215.53</v>
      </c>
      <c r="C437" s="13">
        <v>5.3E-3</v>
      </c>
      <c r="D437" s="7">
        <v>525</v>
      </c>
      <c r="E437" s="7">
        <v>-2.0000000000000001E-4</v>
      </c>
      <c r="F437" s="7">
        <v>402</v>
      </c>
      <c r="G437" s="8">
        <f t="shared" si="26"/>
        <v>4.8110201407842593E-6</v>
      </c>
      <c r="H437" s="9">
        <f t="shared" si="27"/>
        <v>1.4433060422355663E-7</v>
      </c>
      <c r="I437" s="10">
        <f>SUM($H$3:H437)</f>
        <v>0.4181214763837004</v>
      </c>
      <c r="J437" s="23">
        <v>-2.0000000000000001E-4</v>
      </c>
      <c r="Q437" s="7">
        <f t="shared" si="25"/>
        <v>3.620247613884166E-9</v>
      </c>
      <c r="R437" s="7">
        <f t="shared" si="24"/>
        <v>3.3128680994983974E-9</v>
      </c>
    </row>
    <row r="438" spans="1:18" x14ac:dyDescent="0.25">
      <c r="A438" s="22">
        <v>45205</v>
      </c>
      <c r="B438" s="12">
        <v>216.62</v>
      </c>
      <c r="C438" s="13">
        <v>5.1000000000000004E-3</v>
      </c>
      <c r="D438" s="7">
        <v>524</v>
      </c>
      <c r="E438" s="7">
        <v>-2.0000000000000001E-4</v>
      </c>
      <c r="F438" s="7">
        <v>181</v>
      </c>
      <c r="G438" s="8">
        <f t="shared" si="26"/>
        <v>4.0335170974578642E-3</v>
      </c>
      <c r="H438" s="9">
        <f t="shared" si="27"/>
        <v>1.2100551292376012E-4</v>
      </c>
      <c r="I438" s="10">
        <f>SUM($H$3:H438)</f>
        <v>0.41824248189662416</v>
      </c>
      <c r="J438" s="23">
        <v>-2.0000000000000001E-4</v>
      </c>
      <c r="Q438" s="7">
        <f t="shared" si="25"/>
        <v>3.7322140349321296E-9</v>
      </c>
      <c r="R438" s="7">
        <f t="shared" si="24"/>
        <v>3.4153279376272138E-9</v>
      </c>
    </row>
    <row r="439" spans="1:18" x14ac:dyDescent="0.25">
      <c r="A439" s="22">
        <v>45208</v>
      </c>
      <c r="B439" s="12">
        <v>215.48</v>
      </c>
      <c r="C439" s="13">
        <v>-5.3E-3</v>
      </c>
      <c r="D439" s="7">
        <v>523</v>
      </c>
      <c r="E439" s="7">
        <v>-2.0000000000000001E-4</v>
      </c>
      <c r="F439" s="7">
        <v>84</v>
      </c>
      <c r="G439" s="8">
        <f t="shared" si="26"/>
        <v>7.7415099865245501E-2</v>
      </c>
      <c r="H439" s="9">
        <f t="shared" si="27"/>
        <v>2.3224529959578293E-3</v>
      </c>
      <c r="I439" s="10">
        <f>SUM($H$3:H439)</f>
        <v>0.42056493489258201</v>
      </c>
      <c r="J439" s="23">
        <v>-2.0000000000000001E-4</v>
      </c>
      <c r="Q439" s="7">
        <f t="shared" si="25"/>
        <v>3.8476433349815769E-9</v>
      </c>
      <c r="R439" s="7">
        <f t="shared" si="24"/>
        <v>3.520956636729086E-9</v>
      </c>
    </row>
    <row r="440" spans="1:18" x14ac:dyDescent="0.25">
      <c r="A440" s="22">
        <v>45209</v>
      </c>
      <c r="B440" s="12">
        <v>217.13</v>
      </c>
      <c r="C440" s="13">
        <v>7.7000000000000002E-3</v>
      </c>
      <c r="D440" s="7">
        <v>522</v>
      </c>
      <c r="E440" s="7">
        <v>-1E-4</v>
      </c>
      <c r="F440" s="7">
        <v>815</v>
      </c>
      <c r="G440" s="8">
        <f t="shared" si="26"/>
        <v>1.6556305328643396E-11</v>
      </c>
      <c r="H440" s="9">
        <f t="shared" si="27"/>
        <v>4.9668915985940118E-13</v>
      </c>
      <c r="I440" s="10">
        <f>SUM($H$3:H440)</f>
        <v>0.42056493489307872</v>
      </c>
      <c r="J440" s="23">
        <v>-1E-4</v>
      </c>
      <c r="Q440" s="7">
        <f t="shared" si="25"/>
        <v>3.9666426133830696E-9</v>
      </c>
      <c r="R440" s="7">
        <f t="shared" si="24"/>
        <v>3.6298522028134916E-9</v>
      </c>
    </row>
    <row r="441" spans="1:18" x14ac:dyDescent="0.25">
      <c r="A441" s="22">
        <v>45210</v>
      </c>
      <c r="B441" s="12">
        <v>218.76</v>
      </c>
      <c r="C441" s="13">
        <v>7.4999999999999997E-3</v>
      </c>
      <c r="D441" s="7">
        <v>521</v>
      </c>
      <c r="E441" s="7">
        <v>-1E-4</v>
      </c>
      <c r="F441" s="7">
        <v>753</v>
      </c>
      <c r="G441" s="8">
        <f t="shared" si="26"/>
        <v>1.0942483551969072E-10</v>
      </c>
      <c r="H441" s="9">
        <f t="shared" si="27"/>
        <v>3.2827450655913778E-12</v>
      </c>
      <c r="I441" s="10">
        <f>SUM($H$3:H441)</f>
        <v>0.42056493489636149</v>
      </c>
      <c r="J441" s="23">
        <v>-1E-4</v>
      </c>
      <c r="Q441" s="7">
        <f t="shared" si="25"/>
        <v>4.0893222818382161E-9</v>
      </c>
      <c r="R441" s="7">
        <f t="shared" si="24"/>
        <v>3.7421156730035993E-9</v>
      </c>
    </row>
    <row r="442" spans="1:18" x14ac:dyDescent="0.25">
      <c r="A442" s="22">
        <v>45211</v>
      </c>
      <c r="B442" s="12">
        <v>218.6</v>
      </c>
      <c r="C442" s="13">
        <v>-6.9999999999999999E-4</v>
      </c>
      <c r="D442" s="7">
        <v>520</v>
      </c>
      <c r="E442" s="7">
        <v>-1E-4</v>
      </c>
      <c r="F442" s="7">
        <v>715</v>
      </c>
      <c r="G442" s="8">
        <f t="shared" si="26"/>
        <v>3.481689200202608E-10</v>
      </c>
      <c r="H442" s="9">
        <f t="shared" si="27"/>
        <v>1.0445067600609911E-11</v>
      </c>
      <c r="I442" s="10">
        <f>SUM($H$3:H442)</f>
        <v>0.42056493490680658</v>
      </c>
      <c r="J442" s="23">
        <v>-1E-4</v>
      </c>
      <c r="Q442" s="7">
        <f t="shared" si="25"/>
        <v>4.2157961668435213E-9</v>
      </c>
      <c r="R442" s="7">
        <f t="shared" si="24"/>
        <v>3.8578512092820611E-9</v>
      </c>
    </row>
    <row r="443" spans="1:18" x14ac:dyDescent="0.25">
      <c r="A443" s="22">
        <v>45212</v>
      </c>
      <c r="B443" s="12">
        <v>218.07</v>
      </c>
      <c r="C443" s="13">
        <v>-2.3999999999999998E-3</v>
      </c>
      <c r="D443" s="7">
        <v>519</v>
      </c>
      <c r="E443" s="7">
        <v>-1E-4</v>
      </c>
      <c r="F443" s="7">
        <v>696</v>
      </c>
      <c r="G443" s="8">
        <f t="shared" si="26"/>
        <v>6.210506909689325E-10</v>
      </c>
      <c r="H443" s="9">
        <f t="shared" si="27"/>
        <v>1.8631520729071699E-11</v>
      </c>
      <c r="I443" s="10">
        <f>SUM($H$3:H443)</f>
        <v>0.42056493492543812</v>
      </c>
      <c r="J443" s="23">
        <v>-1E-4</v>
      </c>
      <c r="Q443" s="7">
        <f t="shared" si="25"/>
        <v>4.3461816153025995E-9</v>
      </c>
      <c r="R443" s="7">
        <f t="shared" si="24"/>
        <v>3.9771661951361456E-9</v>
      </c>
    </row>
    <row r="444" spans="1:18" x14ac:dyDescent="0.25">
      <c r="A444" s="22">
        <v>45215</v>
      </c>
      <c r="B444" s="12">
        <v>217.9</v>
      </c>
      <c r="C444" s="13">
        <v>-8.0000000000000004E-4</v>
      </c>
      <c r="D444" s="7">
        <v>518</v>
      </c>
      <c r="E444" s="7">
        <v>-1E-4</v>
      </c>
      <c r="F444" s="7">
        <v>628</v>
      </c>
      <c r="G444" s="8">
        <f t="shared" si="26"/>
        <v>4.9277551353318569E-9</v>
      </c>
      <c r="H444" s="9">
        <f t="shared" si="27"/>
        <v>1.4783265405998527E-10</v>
      </c>
      <c r="I444" s="10">
        <f>SUM($H$3:H444)</f>
        <v>0.42056493507327075</v>
      </c>
      <c r="J444" s="23">
        <v>-1E-4</v>
      </c>
      <c r="Q444" s="7">
        <f t="shared" si="25"/>
        <v>4.4805996034047419E-9</v>
      </c>
      <c r="R444" s="7">
        <f t="shared" si="24"/>
        <v>4.1001713351919024E-9</v>
      </c>
    </row>
    <row r="445" spans="1:18" x14ac:dyDescent="0.25">
      <c r="A445" s="22">
        <v>45216</v>
      </c>
      <c r="B445" s="12">
        <v>218.55</v>
      </c>
      <c r="C445" s="13">
        <v>3.0000000000000001E-3</v>
      </c>
      <c r="D445" s="7">
        <v>517</v>
      </c>
      <c r="E445" s="7">
        <v>-1E-4</v>
      </c>
      <c r="F445" s="7">
        <v>416</v>
      </c>
      <c r="G445" s="8">
        <f t="shared" si="26"/>
        <v>3.1408084794976035E-6</v>
      </c>
      <c r="H445" s="9">
        <f t="shared" si="27"/>
        <v>9.422425438494694E-8</v>
      </c>
      <c r="I445" s="10">
        <f>SUM($H$3:H445)</f>
        <v>0.42056502929752515</v>
      </c>
      <c r="J445" s="23">
        <v>-1E-4</v>
      </c>
      <c r="Q445" s="7">
        <f t="shared" si="25"/>
        <v>4.619174848870868E-9</v>
      </c>
      <c r="R445" s="7">
        <f t="shared" si="24"/>
        <v>4.2269807579297968E-9</v>
      </c>
    </row>
    <row r="446" spans="1:18" x14ac:dyDescent="0.25">
      <c r="A446" s="22">
        <v>45217</v>
      </c>
      <c r="B446" s="12">
        <v>217.2</v>
      </c>
      <c r="C446" s="13">
        <v>-6.1999999999999998E-3</v>
      </c>
      <c r="D446" s="7">
        <v>516</v>
      </c>
      <c r="E446" s="7">
        <v>-1E-4</v>
      </c>
      <c r="F446" s="7">
        <v>410</v>
      </c>
      <c r="G446" s="8">
        <f t="shared" si="26"/>
        <v>3.7706050874606723E-6</v>
      </c>
      <c r="H446" s="9">
        <f t="shared" si="27"/>
        <v>1.1311815262384277E-7</v>
      </c>
      <c r="I446" s="10">
        <f>SUM($H$3:H446)</f>
        <v>0.42056514241567777</v>
      </c>
      <c r="J446" s="23">
        <v>-1E-4</v>
      </c>
      <c r="Q446" s="7">
        <f t="shared" si="25"/>
        <v>4.7620359266709977E-9</v>
      </c>
      <c r="R446" s="7">
        <f t="shared" si="24"/>
        <v>4.3577121215771098E-9</v>
      </c>
    </row>
    <row r="447" spans="1:18" x14ac:dyDescent="0.25">
      <c r="A447" s="22">
        <v>45218</v>
      </c>
      <c r="B447" s="12">
        <v>216.67</v>
      </c>
      <c r="C447" s="13">
        <v>-2.3999999999999998E-3</v>
      </c>
      <c r="D447" s="7">
        <v>515</v>
      </c>
      <c r="E447" s="7">
        <v>-1E-4</v>
      </c>
      <c r="F447" s="7">
        <v>285</v>
      </c>
      <c r="G447" s="8">
        <f t="shared" si="26"/>
        <v>1.69802572649965E-4</v>
      </c>
      <c r="H447" s="9">
        <f t="shared" si="27"/>
        <v>5.0940771794999684E-6</v>
      </c>
      <c r="I447" s="10">
        <f>SUM($H$3:H447)</f>
        <v>0.4205702364928573</v>
      </c>
      <c r="J447" s="23">
        <v>-1E-4</v>
      </c>
      <c r="Q447" s="7">
        <f t="shared" si="25"/>
        <v>4.9093153883206167E-9</v>
      </c>
      <c r="R447" s="7">
        <f t="shared" si="24"/>
        <v>4.4924867232753713E-9</v>
      </c>
    </row>
    <row r="448" spans="1:18" x14ac:dyDescent="0.25">
      <c r="A448" s="22">
        <v>45219</v>
      </c>
      <c r="B448" s="12">
        <v>215.3</v>
      </c>
      <c r="C448" s="13">
        <v>-6.3E-3</v>
      </c>
      <c r="D448" s="7">
        <v>514</v>
      </c>
      <c r="E448" s="7">
        <v>-1E-4</v>
      </c>
      <c r="F448" s="7">
        <v>235</v>
      </c>
      <c r="G448" s="8">
        <f t="shared" si="26"/>
        <v>7.7867736856182079E-4</v>
      </c>
      <c r="H448" s="9">
        <f t="shared" si="27"/>
        <v>2.3360321056859294E-5</v>
      </c>
      <c r="I448" s="10">
        <f>SUM($H$3:H448)</f>
        <v>0.42059359681391417</v>
      </c>
      <c r="J448" s="23">
        <v>-1E-4</v>
      </c>
      <c r="Q448" s="7">
        <f t="shared" si="25"/>
        <v>5.0611498848666153E-9</v>
      </c>
      <c r="R448" s="7">
        <f t="shared" si="24"/>
        <v>4.6314296116240944E-9</v>
      </c>
    </row>
    <row r="449" spans="1:18" x14ac:dyDescent="0.25">
      <c r="A449" s="22">
        <v>45222</v>
      </c>
      <c r="B449" s="12">
        <v>213.17</v>
      </c>
      <c r="C449" s="13">
        <v>-9.9000000000000008E-3</v>
      </c>
      <c r="D449" s="7">
        <v>513</v>
      </c>
      <c r="E449" s="7">
        <v>-1E-4</v>
      </c>
      <c r="F449" s="7">
        <v>91</v>
      </c>
      <c r="G449" s="8">
        <f t="shared" si="26"/>
        <v>6.2550072618136332E-2</v>
      </c>
      <c r="H449" s="9">
        <f t="shared" si="27"/>
        <v>1.876502178544465E-3</v>
      </c>
      <c r="I449" s="10">
        <f>SUM($H$3:H449)</f>
        <v>0.42247009899245863</v>
      </c>
      <c r="J449" s="23">
        <v>-1E-4</v>
      </c>
      <c r="Q449" s="7">
        <f t="shared" si="25"/>
        <v>5.2176802936769212E-9</v>
      </c>
      <c r="R449" s="7">
        <f t="shared" si="24"/>
        <v>4.7746697027052507E-9</v>
      </c>
    </row>
    <row r="450" spans="1:18" x14ac:dyDescent="0.25">
      <c r="A450" s="22">
        <v>45224</v>
      </c>
      <c r="B450" s="12">
        <v>211.48</v>
      </c>
      <c r="C450" s="13">
        <v>-7.9000000000000008E-3</v>
      </c>
      <c r="D450" s="7">
        <v>512</v>
      </c>
      <c r="E450" s="7">
        <v>-1E-4</v>
      </c>
      <c r="F450" s="7">
        <v>68</v>
      </c>
      <c r="G450" s="8">
        <f t="shared" si="26"/>
        <v>0.12603115899895626</v>
      </c>
      <c r="H450" s="9">
        <f t="shared" si="27"/>
        <v>3.7809347699694434E-3</v>
      </c>
      <c r="I450" s="10">
        <f>SUM($H$3:H450)</f>
        <v>0.42625103376242807</v>
      </c>
      <c r="J450" s="23">
        <v>-1E-4</v>
      </c>
      <c r="Q450" s="7">
        <f t="shared" si="25"/>
        <v>5.3790518491514654E-9</v>
      </c>
      <c r="R450" s="7">
        <f t="shared" ref="R450:R513" si="28">Q450/$U$2</f>
        <v>4.9223398996961345E-9</v>
      </c>
    </row>
    <row r="451" spans="1:18" x14ac:dyDescent="0.25">
      <c r="A451" s="22">
        <v>45225</v>
      </c>
      <c r="B451" s="12">
        <v>208.74</v>
      </c>
      <c r="C451" s="13">
        <v>-1.2999999999999999E-2</v>
      </c>
      <c r="D451" s="7">
        <v>511</v>
      </c>
      <c r="E451" s="7">
        <v>0</v>
      </c>
      <c r="F451" s="7">
        <v>705</v>
      </c>
      <c r="G451" s="8">
        <f t="shared" si="26"/>
        <v>4.7214202427346081E-10</v>
      </c>
      <c r="H451" s="9">
        <f t="shared" si="27"/>
        <v>1.4164260728206655E-11</v>
      </c>
      <c r="I451" s="10">
        <f>SUM($H$3:H451)</f>
        <v>0.42625103377659235</v>
      </c>
      <c r="J451" s="23">
        <v>0</v>
      </c>
      <c r="Q451" s="7">
        <f t="shared" ref="Q451:Q514" si="29">(1-$N$3) * $N$3^(D452-1)</f>
        <v>5.5454142774757378E-9</v>
      </c>
      <c r="R451" s="7">
        <f t="shared" si="28"/>
        <v>5.0745772161815826E-9</v>
      </c>
    </row>
    <row r="452" spans="1:18" x14ac:dyDescent="0.25">
      <c r="A452" s="22">
        <v>45226</v>
      </c>
      <c r="B452" s="12">
        <v>210.57</v>
      </c>
      <c r="C452" s="13">
        <v>8.8000000000000005E-3</v>
      </c>
      <c r="D452" s="7">
        <v>510</v>
      </c>
      <c r="E452" s="7">
        <v>0</v>
      </c>
      <c r="F452" s="7">
        <v>532</v>
      </c>
      <c r="G452" s="8">
        <f t="shared" ref="G452:G515" si="30">$N$3^F452</f>
        <v>9.174082253649401E-8</v>
      </c>
      <c r="H452" s="9">
        <f t="shared" si="27"/>
        <v>2.7522246760953704E-9</v>
      </c>
      <c r="I452" s="10">
        <f>SUM($H$3:H452)</f>
        <v>0.42625103652881702</v>
      </c>
      <c r="J452" s="23">
        <v>0</v>
      </c>
      <c r="Q452" s="7">
        <f t="shared" si="29"/>
        <v>5.7169219355419979E-9</v>
      </c>
      <c r="R452" s="7">
        <f t="shared" si="28"/>
        <v>5.2315229032799815E-9</v>
      </c>
    </row>
    <row r="453" spans="1:18" x14ac:dyDescent="0.25">
      <c r="A453" s="22">
        <v>45229</v>
      </c>
      <c r="B453" s="12">
        <v>211.52</v>
      </c>
      <c r="C453" s="13">
        <v>4.4999999999999997E-3</v>
      </c>
      <c r="D453" s="7">
        <v>509</v>
      </c>
      <c r="E453" s="7">
        <v>0</v>
      </c>
      <c r="F453" s="7">
        <v>398</v>
      </c>
      <c r="G453" s="8">
        <f t="shared" si="30"/>
        <v>5.4343829368548231E-6</v>
      </c>
      <c r="H453" s="9">
        <f t="shared" ref="H453:H516" si="31">G453/$N$4</f>
        <v>1.6303148810567728E-7</v>
      </c>
      <c r="I453" s="10">
        <f>SUM($H$3:H453)</f>
        <v>0.42625119956030511</v>
      </c>
      <c r="J453" s="23">
        <v>0</v>
      </c>
      <c r="Q453" s="7">
        <f t="shared" si="29"/>
        <v>5.8937339541670076E-9</v>
      </c>
      <c r="R453" s="7">
        <f t="shared" si="28"/>
        <v>5.3933225807010121E-9</v>
      </c>
    </row>
    <row r="454" spans="1:18" x14ac:dyDescent="0.25">
      <c r="A454" s="22">
        <v>45230</v>
      </c>
      <c r="B454" s="12">
        <v>210.98</v>
      </c>
      <c r="C454" s="13">
        <v>-2.5999999999999999E-3</v>
      </c>
      <c r="D454" s="7">
        <v>508</v>
      </c>
      <c r="E454" s="7">
        <v>0</v>
      </c>
      <c r="F454" s="7">
        <v>340</v>
      </c>
      <c r="G454" s="8">
        <f t="shared" si="30"/>
        <v>3.179725652174675E-5</v>
      </c>
      <c r="H454" s="9">
        <f t="shared" si="31"/>
        <v>9.5391769565259316E-7</v>
      </c>
      <c r="I454" s="10">
        <f>SUM($H$3:H454)</f>
        <v>0.42625215347800077</v>
      </c>
      <c r="J454" s="23">
        <v>0</v>
      </c>
      <c r="Q454" s="7">
        <f t="shared" si="29"/>
        <v>6.0760143857391843E-9</v>
      </c>
      <c r="R454" s="7">
        <f t="shared" si="28"/>
        <v>5.5601263718567145E-9</v>
      </c>
    </row>
    <row r="455" spans="1:18" x14ac:dyDescent="0.25">
      <c r="A455" s="22">
        <v>45231</v>
      </c>
      <c r="B455" s="12">
        <v>209.99</v>
      </c>
      <c r="C455" s="13">
        <v>-4.7000000000000002E-3</v>
      </c>
      <c r="D455" s="7">
        <v>507</v>
      </c>
      <c r="E455" s="7">
        <v>0</v>
      </c>
      <c r="F455" s="7">
        <v>139</v>
      </c>
      <c r="G455" s="8">
        <f t="shared" si="30"/>
        <v>1.4496763804316606E-2</v>
      </c>
      <c r="H455" s="9">
        <f t="shared" si="31"/>
        <v>4.349029141295851E-4</v>
      </c>
      <c r="I455" s="10">
        <f>SUM($H$3:H455)</f>
        <v>0.42668705639213034</v>
      </c>
      <c r="J455" s="23">
        <v>0</v>
      </c>
      <c r="Q455" s="7">
        <f t="shared" si="29"/>
        <v>6.263932356432148E-9</v>
      </c>
      <c r="R455" s="7">
        <f t="shared" si="28"/>
        <v>5.7320890431512513E-9</v>
      </c>
    </row>
    <row r="456" spans="1:18" x14ac:dyDescent="0.25">
      <c r="A456" s="22">
        <v>45232</v>
      </c>
      <c r="B456" s="12">
        <v>211.64</v>
      </c>
      <c r="C456" s="13">
        <v>7.9000000000000008E-3</v>
      </c>
      <c r="D456" s="7">
        <v>506</v>
      </c>
      <c r="E456" s="7">
        <v>0</v>
      </c>
      <c r="F456" s="7">
        <v>18</v>
      </c>
      <c r="G456" s="8">
        <f t="shared" si="30"/>
        <v>0.57795126254304086</v>
      </c>
      <c r="H456" s="9">
        <f t="shared" si="31"/>
        <v>1.7338537876294691E-2</v>
      </c>
      <c r="I456" s="10">
        <f>SUM($H$3:H456)</f>
        <v>0.44402559426842503</v>
      </c>
      <c r="J456" s="23">
        <v>0</v>
      </c>
      <c r="Q456" s="7">
        <f t="shared" si="29"/>
        <v>6.4576622231259265E-9</v>
      </c>
      <c r="R456" s="7">
        <f t="shared" si="28"/>
        <v>5.9093701475786098E-9</v>
      </c>
    </row>
    <row r="457" spans="1:18" x14ac:dyDescent="0.25">
      <c r="A457" s="22">
        <v>45233</v>
      </c>
      <c r="B457" s="12">
        <v>212.69</v>
      </c>
      <c r="C457" s="13">
        <v>5.0000000000000001E-3</v>
      </c>
      <c r="D457" s="7">
        <v>505</v>
      </c>
      <c r="E457" s="7">
        <v>1E-4</v>
      </c>
      <c r="F457" s="7">
        <v>491</v>
      </c>
      <c r="G457" s="8">
        <f t="shared" si="30"/>
        <v>3.1983171343752989E-7</v>
      </c>
      <c r="H457" s="9">
        <f t="shared" si="31"/>
        <v>9.594951403127815E-9</v>
      </c>
      <c r="I457" s="10">
        <f>SUM($H$3:H457)</f>
        <v>0.44402560386337642</v>
      </c>
      <c r="J457" s="23">
        <v>1E-4</v>
      </c>
      <c r="Q457" s="7">
        <f t="shared" si="29"/>
        <v>6.6573837351813674E-9</v>
      </c>
      <c r="R457" s="7">
        <f t="shared" si="28"/>
        <v>6.0921341727614534E-9</v>
      </c>
    </row>
    <row r="458" spans="1:18" x14ac:dyDescent="0.25">
      <c r="A458" s="22">
        <v>45236</v>
      </c>
      <c r="B458" s="12">
        <v>214.56</v>
      </c>
      <c r="C458" s="13">
        <v>8.8000000000000005E-3</v>
      </c>
      <c r="D458" s="7">
        <v>504</v>
      </c>
      <c r="E458" s="7">
        <v>1E-4</v>
      </c>
      <c r="F458" s="7">
        <v>327</v>
      </c>
      <c r="G458" s="8">
        <f t="shared" si="30"/>
        <v>4.7245136171151963E-5</v>
      </c>
      <c r="H458" s="9">
        <f t="shared" si="31"/>
        <v>1.4173540851348421E-6</v>
      </c>
      <c r="I458" s="10">
        <f>SUM($H$3:H458)</f>
        <v>0.44402702121746157</v>
      </c>
      <c r="J458" s="23">
        <v>1E-4</v>
      </c>
      <c r="Q458" s="7">
        <f t="shared" si="29"/>
        <v>6.8632822012179049E-9</v>
      </c>
      <c r="R458" s="7">
        <f t="shared" si="28"/>
        <v>6.2805506935685094E-9</v>
      </c>
    </row>
    <row r="459" spans="1:18" x14ac:dyDescent="0.25">
      <c r="A459" s="22">
        <v>45237</v>
      </c>
      <c r="B459" s="12">
        <v>214.49</v>
      </c>
      <c r="C459" s="13">
        <v>-2.9999999999999997E-4</v>
      </c>
      <c r="D459" s="7">
        <v>503</v>
      </c>
      <c r="E459" s="7">
        <v>1E-4</v>
      </c>
      <c r="F459" s="7">
        <v>127</v>
      </c>
      <c r="G459" s="8">
        <f t="shared" si="30"/>
        <v>2.0893454506753471E-2</v>
      </c>
      <c r="H459" s="9">
        <f t="shared" si="31"/>
        <v>6.2680363520272939E-4</v>
      </c>
      <c r="I459" s="10">
        <f>SUM($H$3:H459)</f>
        <v>0.4446538248526643</v>
      </c>
      <c r="J459" s="23">
        <v>1E-4</v>
      </c>
      <c r="Q459" s="7">
        <f t="shared" si="29"/>
        <v>7.075548661049386E-9</v>
      </c>
      <c r="R459" s="7">
        <f t="shared" si="28"/>
        <v>6.4747945294520709E-9</v>
      </c>
    </row>
    <row r="460" spans="1:18" x14ac:dyDescent="0.25">
      <c r="A460" s="22">
        <v>45238</v>
      </c>
      <c r="B460" s="12">
        <v>214.83</v>
      </c>
      <c r="C460" s="13">
        <v>1.6000000000000001E-3</v>
      </c>
      <c r="D460" s="7">
        <v>502</v>
      </c>
      <c r="E460" s="7">
        <v>1E-4</v>
      </c>
      <c r="F460" s="7">
        <v>110</v>
      </c>
      <c r="G460" s="8">
        <f t="shared" si="30"/>
        <v>3.5066366638556452E-2</v>
      </c>
      <c r="H460" s="9">
        <f t="shared" si="31"/>
        <v>1.0519909991569037E-3</v>
      </c>
      <c r="I460" s="10">
        <f>SUM($H$3:H460)</f>
        <v>0.44570581585182123</v>
      </c>
      <c r="J460" s="23">
        <v>1E-4</v>
      </c>
      <c r="Q460" s="7">
        <f t="shared" si="29"/>
        <v>7.294380062937512E-9</v>
      </c>
      <c r="R460" s="7">
        <f t="shared" si="28"/>
        <v>6.6750459066516198E-9</v>
      </c>
    </row>
    <row r="461" spans="1:18" x14ac:dyDescent="0.25">
      <c r="A461" s="22">
        <v>45239</v>
      </c>
      <c r="B461" s="12">
        <v>214.3</v>
      </c>
      <c r="C461" s="13">
        <v>-2.5000000000000001E-3</v>
      </c>
      <c r="D461" s="7">
        <v>501</v>
      </c>
      <c r="E461" s="7">
        <v>1E-4</v>
      </c>
      <c r="F461" s="7">
        <v>74</v>
      </c>
      <c r="G461" s="8">
        <f t="shared" si="30"/>
        <v>0.10498042719488616</v>
      </c>
      <c r="H461" s="9">
        <f t="shared" si="31"/>
        <v>3.1494128158472143E-3</v>
      </c>
      <c r="I461" s="10">
        <f>SUM($H$3:H461)</f>
        <v>0.44885522866766847</v>
      </c>
      <c r="J461" s="23">
        <v>1E-4</v>
      </c>
      <c r="Q461" s="7">
        <f t="shared" si="29"/>
        <v>7.5199794463273311E-9</v>
      </c>
      <c r="R461" s="7">
        <f t="shared" si="28"/>
        <v>6.8814906254140405E-9</v>
      </c>
    </row>
    <row r="462" spans="1:18" x14ac:dyDescent="0.25">
      <c r="A462" s="22">
        <v>45240</v>
      </c>
      <c r="B462" s="12">
        <v>214.24</v>
      </c>
      <c r="C462" s="13">
        <v>-2.9999999999999997E-4</v>
      </c>
      <c r="D462" s="7">
        <v>500</v>
      </c>
      <c r="E462" s="7">
        <v>2.0000000000000001E-4</v>
      </c>
      <c r="F462" s="7">
        <v>840</v>
      </c>
      <c r="G462" s="8">
        <f t="shared" si="30"/>
        <v>7.7313758009446367E-12</v>
      </c>
      <c r="H462" s="9">
        <f t="shared" si="31"/>
        <v>2.3194127402838544E-13</v>
      </c>
      <c r="I462" s="10">
        <f>SUM($H$3:H462)</f>
        <v>0.4488552286679004</v>
      </c>
      <c r="J462" s="23">
        <v>2.0000000000000001E-4</v>
      </c>
      <c r="Q462" s="7">
        <f t="shared" si="29"/>
        <v>7.7525561302343621E-9</v>
      </c>
      <c r="R462" s="7">
        <f t="shared" si="28"/>
        <v>7.0943202323856091E-9</v>
      </c>
    </row>
    <row r="463" spans="1:18" x14ac:dyDescent="0.25">
      <c r="A463" s="22">
        <v>45242</v>
      </c>
      <c r="B463" s="12">
        <v>215.16</v>
      </c>
      <c r="C463" s="13">
        <v>4.3E-3</v>
      </c>
      <c r="D463" s="7">
        <v>499</v>
      </c>
      <c r="E463" s="7">
        <v>2.0000000000000001E-4</v>
      </c>
      <c r="F463" s="7">
        <v>837</v>
      </c>
      <c r="G463" s="8">
        <f t="shared" si="30"/>
        <v>8.4711345694949215E-12</v>
      </c>
      <c r="H463" s="9">
        <f t="shared" si="31"/>
        <v>2.5413403708489842E-13</v>
      </c>
      <c r="I463" s="10">
        <f>SUM($H$3:H463)</f>
        <v>0.44885522866815453</v>
      </c>
      <c r="J463" s="23">
        <v>2.0000000000000001E-4</v>
      </c>
      <c r="Q463" s="7">
        <f t="shared" si="29"/>
        <v>7.9923259074581063E-9</v>
      </c>
      <c r="R463" s="7">
        <f t="shared" si="28"/>
        <v>7.3137321983356804E-9</v>
      </c>
    </row>
    <row r="464" spans="1:18" x14ac:dyDescent="0.25">
      <c r="A464" s="22">
        <v>45243</v>
      </c>
      <c r="B464" s="12">
        <v>214.55</v>
      </c>
      <c r="C464" s="13">
        <v>-2.8E-3</v>
      </c>
      <c r="D464" s="7">
        <v>498</v>
      </c>
      <c r="E464" s="7">
        <v>2.0000000000000001E-4</v>
      </c>
      <c r="F464" s="7">
        <v>418</v>
      </c>
      <c r="G464" s="8">
        <f t="shared" si="30"/>
        <v>2.9551866983592948E-6</v>
      </c>
      <c r="H464" s="9">
        <f t="shared" si="31"/>
        <v>8.8655600950796563E-8</v>
      </c>
      <c r="I464" s="10">
        <f>SUM($H$3:H464)</f>
        <v>0.4488553173237555</v>
      </c>
      <c r="J464" s="23">
        <v>2.0000000000000001E-4</v>
      </c>
      <c r="Q464" s="7">
        <f t="shared" si="29"/>
        <v>8.2395112448021726E-9</v>
      </c>
      <c r="R464" s="7">
        <f t="shared" si="28"/>
        <v>7.5399301013769903E-9</v>
      </c>
    </row>
    <row r="465" spans="1:18" x14ac:dyDescent="0.25">
      <c r="A465" s="22">
        <v>45245</v>
      </c>
      <c r="B465" s="12">
        <v>216.97</v>
      </c>
      <c r="C465" s="13">
        <v>1.1299999999999999E-2</v>
      </c>
      <c r="D465" s="7">
        <v>497</v>
      </c>
      <c r="E465" s="7">
        <v>2.0000000000000001E-4</v>
      </c>
      <c r="F465" s="7">
        <v>182</v>
      </c>
      <c r="G465" s="8">
        <f t="shared" si="30"/>
        <v>3.9125115845341282E-3</v>
      </c>
      <c r="H465" s="9">
        <f t="shared" si="31"/>
        <v>1.1737534753604731E-4</v>
      </c>
      <c r="I465" s="10">
        <f>SUM($H$3:H465)</f>
        <v>0.44897269267129153</v>
      </c>
      <c r="J465" s="23">
        <v>2.0000000000000001E-4</v>
      </c>
      <c r="Q465" s="7">
        <f t="shared" si="29"/>
        <v>8.4943414894867738E-9</v>
      </c>
      <c r="R465" s="7">
        <f t="shared" si="28"/>
        <v>7.7731238158525667E-9</v>
      </c>
    </row>
    <row r="466" spans="1:18" x14ac:dyDescent="0.25">
      <c r="A466" s="22">
        <v>45246</v>
      </c>
      <c r="B466" s="12">
        <v>218.16</v>
      </c>
      <c r="C466" s="13">
        <v>5.4999999999999997E-3</v>
      </c>
      <c r="D466" s="7">
        <v>496</v>
      </c>
      <c r="E466" s="7">
        <v>2.0000000000000001E-4</v>
      </c>
      <c r="F466" s="7">
        <v>137</v>
      </c>
      <c r="G466" s="8">
        <f t="shared" si="30"/>
        <v>1.5407337447461585E-2</v>
      </c>
      <c r="H466" s="9">
        <f t="shared" si="31"/>
        <v>4.6222012342393996E-4</v>
      </c>
      <c r="I466" s="10">
        <f>SUM($H$3:H466)</f>
        <v>0.44943491279471548</v>
      </c>
      <c r="J466" s="23">
        <v>2.0000000000000001E-4</v>
      </c>
      <c r="Q466" s="7">
        <f t="shared" si="29"/>
        <v>8.7570530819451278E-9</v>
      </c>
      <c r="R466" s="7">
        <f t="shared" si="28"/>
        <v>8.0135297070645017E-9</v>
      </c>
    </row>
    <row r="467" spans="1:18" x14ac:dyDescent="0.25">
      <c r="A467" s="22">
        <v>45247</v>
      </c>
      <c r="B467" s="12">
        <v>218.02</v>
      </c>
      <c r="C467" s="13">
        <v>-5.9999999999999995E-4</v>
      </c>
      <c r="D467" s="7">
        <v>495</v>
      </c>
      <c r="E467" s="7">
        <v>2.9999999999999997E-4</v>
      </c>
      <c r="F467" s="7">
        <v>813</v>
      </c>
      <c r="G467" s="8">
        <f t="shared" si="30"/>
        <v>1.7596243308155383E-11</v>
      </c>
      <c r="H467" s="9">
        <f t="shared" si="31"/>
        <v>5.2788729924476698E-13</v>
      </c>
      <c r="I467" s="10">
        <f>SUM($H$3:H467)</f>
        <v>0.44943491279524339</v>
      </c>
      <c r="J467" s="23">
        <v>2.9999999999999997E-4</v>
      </c>
      <c r="Q467" s="7">
        <f t="shared" si="29"/>
        <v>9.0278897752011644E-9</v>
      </c>
      <c r="R467" s="7">
        <f t="shared" si="28"/>
        <v>8.2613708320252613E-9</v>
      </c>
    </row>
    <row r="468" spans="1:18" x14ac:dyDescent="0.25">
      <c r="A468" s="22">
        <v>45250</v>
      </c>
      <c r="B468" s="12">
        <v>217.35</v>
      </c>
      <c r="C468" s="13">
        <v>-3.0999999999999999E-3</v>
      </c>
      <c r="D468" s="7">
        <v>494</v>
      </c>
      <c r="E468" s="7">
        <v>2.9999999999999997E-4</v>
      </c>
      <c r="F468" s="7">
        <v>559</v>
      </c>
      <c r="G468" s="8">
        <f t="shared" si="30"/>
        <v>4.0308761529153943E-8</v>
      </c>
      <c r="H468" s="9">
        <f t="shared" si="31"/>
        <v>1.2092628458748599E-9</v>
      </c>
      <c r="I468" s="10">
        <f>SUM($H$3:H468)</f>
        <v>0.44943491400450625</v>
      </c>
      <c r="J468" s="23">
        <v>2.9999999999999997E-4</v>
      </c>
      <c r="Q468" s="7">
        <f t="shared" si="29"/>
        <v>9.3071028610321268E-9</v>
      </c>
      <c r="R468" s="7">
        <f t="shared" si="28"/>
        <v>8.5168771464177926E-9</v>
      </c>
    </row>
    <row r="469" spans="1:18" x14ac:dyDescent="0.25">
      <c r="A469" s="22">
        <v>45251</v>
      </c>
      <c r="B469" s="12">
        <v>218.39</v>
      </c>
      <c r="C469" s="13">
        <v>4.7999999999999996E-3</v>
      </c>
      <c r="D469" s="7">
        <v>493</v>
      </c>
      <c r="E469" s="7">
        <v>2.9999999999999997E-4</v>
      </c>
      <c r="F469" s="7">
        <v>291</v>
      </c>
      <c r="G469" s="8">
        <f t="shared" si="30"/>
        <v>1.4144078938234354E-4</v>
      </c>
      <c r="H469" s="9">
        <f t="shared" si="31"/>
        <v>4.2432236814711546E-6</v>
      </c>
      <c r="I469" s="10">
        <f>SUM($H$3:H469)</f>
        <v>0.44943915722818772</v>
      </c>
      <c r="J469" s="23">
        <v>2.9999999999999997E-4</v>
      </c>
      <c r="Q469" s="7">
        <f t="shared" si="29"/>
        <v>9.5949514031259059E-9</v>
      </c>
      <c r="R469" s="7">
        <f t="shared" si="28"/>
        <v>8.7802857179564896E-9</v>
      </c>
    </row>
    <row r="470" spans="1:18" x14ac:dyDescent="0.25">
      <c r="A470" s="22">
        <v>45252</v>
      </c>
      <c r="B470" s="12">
        <v>218.53</v>
      </c>
      <c r="C470" s="13">
        <v>5.9999999999999995E-4</v>
      </c>
      <c r="D470" s="7">
        <v>492</v>
      </c>
      <c r="E470" s="7">
        <v>2.9999999999999997E-4</v>
      </c>
      <c r="F470" s="7">
        <v>138</v>
      </c>
      <c r="G470" s="8">
        <f t="shared" si="30"/>
        <v>1.4945117324037738E-2</v>
      </c>
      <c r="H470" s="9">
        <f t="shared" si="31"/>
        <v>4.4835351972122176E-4</v>
      </c>
      <c r="I470" s="10">
        <f>SUM($H$3:H470)</f>
        <v>0.44988751074790895</v>
      </c>
      <c r="J470" s="23">
        <v>2.9999999999999997E-4</v>
      </c>
      <c r="Q470" s="7">
        <f t="shared" si="29"/>
        <v>9.8917024774493852E-9</v>
      </c>
      <c r="R470" s="7">
        <f t="shared" si="28"/>
        <v>9.0518409463468945E-9</v>
      </c>
    </row>
    <row r="471" spans="1:18" x14ac:dyDescent="0.25">
      <c r="A471" s="22">
        <v>45253</v>
      </c>
      <c r="B471" s="12">
        <v>218.56</v>
      </c>
      <c r="C471" s="13">
        <v>1E-4</v>
      </c>
      <c r="D471" s="7">
        <v>491</v>
      </c>
      <c r="E471" s="7">
        <v>4.0000000000000002E-4</v>
      </c>
      <c r="F471" s="7">
        <v>812</v>
      </c>
      <c r="G471" s="8">
        <f t="shared" si="30"/>
        <v>1.8140457018716887E-11</v>
      </c>
      <c r="H471" s="9">
        <f t="shared" si="31"/>
        <v>5.4421371056161541E-13</v>
      </c>
      <c r="I471" s="10">
        <f>SUM($H$3:H471)</f>
        <v>0.44988751074845318</v>
      </c>
      <c r="J471" s="23">
        <v>4.0000000000000002E-4</v>
      </c>
      <c r="Q471" s="7">
        <f t="shared" si="29"/>
        <v>1.0197631420050914E-8</v>
      </c>
      <c r="R471" s="7">
        <f t="shared" si="28"/>
        <v>9.3317947900483468E-9</v>
      </c>
    </row>
    <row r="472" spans="1:18" x14ac:dyDescent="0.25">
      <c r="A472" s="22">
        <v>45254</v>
      </c>
      <c r="B472" s="12">
        <v>218.48</v>
      </c>
      <c r="C472" s="13">
        <v>-4.0000000000000002E-4</v>
      </c>
      <c r="D472" s="7">
        <v>490</v>
      </c>
      <c r="E472" s="7">
        <v>4.0000000000000002E-4</v>
      </c>
      <c r="F472" s="7">
        <v>761</v>
      </c>
      <c r="G472" s="8">
        <f t="shared" si="30"/>
        <v>8.5760988196119713E-11</v>
      </c>
      <c r="H472" s="9">
        <f t="shared" si="31"/>
        <v>2.5728296458841058E-12</v>
      </c>
      <c r="I472" s="10">
        <f>SUM($H$3:H472)</f>
        <v>0.44988751075102601</v>
      </c>
      <c r="J472" s="23">
        <v>4.0000000000000002E-4</v>
      </c>
      <c r="Q472" s="7">
        <f t="shared" si="29"/>
        <v>1.0513022082526716E-8</v>
      </c>
      <c r="R472" s="7">
        <f t="shared" si="28"/>
        <v>9.6204070000498411E-9</v>
      </c>
    </row>
    <row r="473" spans="1:18" x14ac:dyDescent="0.25">
      <c r="A473" s="22">
        <v>45258</v>
      </c>
      <c r="B473" s="12">
        <v>219.56</v>
      </c>
      <c r="C473" s="13">
        <v>4.8999999999999998E-3</v>
      </c>
      <c r="D473" s="7">
        <v>489</v>
      </c>
      <c r="E473" s="7">
        <v>4.0000000000000002E-4</v>
      </c>
      <c r="F473" s="7">
        <v>460</v>
      </c>
      <c r="G473" s="8">
        <f t="shared" si="30"/>
        <v>8.2223841368395576E-7</v>
      </c>
      <c r="H473" s="9">
        <f t="shared" si="31"/>
        <v>2.4667152410523604E-8</v>
      </c>
      <c r="I473" s="10">
        <f>SUM($H$3:H473)</f>
        <v>0.44988753541817844</v>
      </c>
      <c r="J473" s="23">
        <v>4.0000000000000002E-4</v>
      </c>
      <c r="Q473" s="7">
        <f t="shared" si="29"/>
        <v>1.0838167095388368E-8</v>
      </c>
      <c r="R473" s="7">
        <f t="shared" si="28"/>
        <v>9.9179453608761262E-9</v>
      </c>
    </row>
    <row r="474" spans="1:18" x14ac:dyDescent="0.25">
      <c r="A474" s="22">
        <v>45259</v>
      </c>
      <c r="B474" s="12">
        <v>221.66</v>
      </c>
      <c r="C474" s="13">
        <v>9.5999999999999992E-3</v>
      </c>
      <c r="D474" s="7">
        <v>488</v>
      </c>
      <c r="E474" s="7">
        <v>4.0000000000000002E-4</v>
      </c>
      <c r="F474" s="7">
        <v>307</v>
      </c>
      <c r="G474" s="8">
        <f t="shared" si="30"/>
        <v>8.688052162675074E-5</v>
      </c>
      <c r="H474" s="9">
        <f t="shared" si="31"/>
        <v>2.6064156488030433E-6</v>
      </c>
      <c r="I474" s="10">
        <f>SUM($H$3:H474)</f>
        <v>0.44989014183382725</v>
      </c>
      <c r="J474" s="23">
        <v>4.0000000000000002E-4</v>
      </c>
      <c r="Q474" s="7">
        <f t="shared" si="29"/>
        <v>1.1173368139575638E-8</v>
      </c>
      <c r="R474" s="7">
        <f t="shared" si="28"/>
        <v>1.0224685939047554E-8</v>
      </c>
    </row>
    <row r="475" spans="1:18" x14ac:dyDescent="0.25">
      <c r="A475" s="22">
        <v>45260</v>
      </c>
      <c r="B475" s="12">
        <v>222.13</v>
      </c>
      <c r="C475" s="13">
        <v>2.0999999999999999E-3</v>
      </c>
      <c r="D475" s="7">
        <v>487</v>
      </c>
      <c r="E475" s="7">
        <v>4.0000000000000002E-4</v>
      </c>
      <c r="F475" s="7">
        <v>219</v>
      </c>
      <c r="G475" s="8">
        <f t="shared" si="30"/>
        <v>1.2676804837419232E-3</v>
      </c>
      <c r="H475" s="9">
        <f t="shared" si="31"/>
        <v>3.8030414512265299E-5</v>
      </c>
      <c r="I475" s="10">
        <f>SUM($H$3:H475)</f>
        <v>0.44992817224833953</v>
      </c>
      <c r="J475" s="23">
        <v>4.0000000000000002E-4</v>
      </c>
      <c r="Q475" s="7">
        <f t="shared" si="29"/>
        <v>1.1518936226366635E-8</v>
      </c>
      <c r="R475" s="7">
        <f t="shared" si="28"/>
        <v>1.054091333922428E-8</v>
      </c>
    </row>
    <row r="476" spans="1:18" x14ac:dyDescent="0.25">
      <c r="A476" s="22">
        <v>45261</v>
      </c>
      <c r="B476" s="12">
        <v>223.75</v>
      </c>
      <c r="C476" s="13">
        <v>7.3000000000000001E-3</v>
      </c>
      <c r="D476" s="7">
        <v>486</v>
      </c>
      <c r="E476" s="7">
        <v>4.0000000000000002E-4</v>
      </c>
      <c r="F476" s="7">
        <v>171</v>
      </c>
      <c r="G476" s="8">
        <f t="shared" si="30"/>
        <v>5.4697384454205408E-3</v>
      </c>
      <c r="H476" s="9">
        <f t="shared" si="31"/>
        <v>1.6409215336264901E-4</v>
      </c>
      <c r="I476" s="10">
        <f>SUM($H$3:H476)</f>
        <v>0.45009226440170219</v>
      </c>
      <c r="J476" s="23">
        <v>4.0000000000000002E-4</v>
      </c>
      <c r="Q476" s="7">
        <f t="shared" si="29"/>
        <v>1.1875191985944984E-8</v>
      </c>
      <c r="R476" s="7">
        <f t="shared" si="28"/>
        <v>1.0866920968272454E-8</v>
      </c>
    </row>
    <row r="477" spans="1:18" x14ac:dyDescent="0.25">
      <c r="A477" s="22">
        <v>45264</v>
      </c>
      <c r="B477" s="12">
        <v>228.18</v>
      </c>
      <c r="C477" s="13">
        <v>1.9800000000000002E-2</v>
      </c>
      <c r="D477" s="7">
        <v>485</v>
      </c>
      <c r="E477" s="7">
        <v>5.0000000000000001E-4</v>
      </c>
      <c r="F477" s="7">
        <v>560</v>
      </c>
      <c r="G477" s="8">
        <f t="shared" si="30"/>
        <v>3.9099498683279328E-8</v>
      </c>
      <c r="H477" s="9">
        <f t="shared" si="31"/>
        <v>1.1729849604986143E-9</v>
      </c>
      <c r="I477" s="10">
        <f>SUM($H$3:H477)</f>
        <v>0.45009226557468718</v>
      </c>
      <c r="J477" s="23">
        <v>5.0000000000000001E-4</v>
      </c>
      <c r="Q477" s="7">
        <f t="shared" si="29"/>
        <v>1.2242465964891738E-8</v>
      </c>
      <c r="R477" s="7">
        <f t="shared" si="28"/>
        <v>1.1203011307497376E-8</v>
      </c>
    </row>
    <row r="478" spans="1:18" x14ac:dyDescent="0.25">
      <c r="A478" s="22">
        <v>45265</v>
      </c>
      <c r="B478" s="12">
        <v>230.06</v>
      </c>
      <c r="C478" s="13">
        <v>8.2000000000000007E-3</v>
      </c>
      <c r="D478" s="7">
        <v>484</v>
      </c>
      <c r="E478" s="7">
        <v>5.0000000000000001E-4</v>
      </c>
      <c r="F478" s="7">
        <v>551</v>
      </c>
      <c r="G478" s="8">
        <f t="shared" si="30"/>
        <v>5.143107248535266E-8</v>
      </c>
      <c r="H478" s="9">
        <f t="shared" si="31"/>
        <v>1.5429321745608881E-9</v>
      </c>
      <c r="I478" s="10">
        <f>SUM($H$3:H478)</f>
        <v>0.45009226711761935</v>
      </c>
      <c r="J478" s="23">
        <v>5.0000000000000001E-4</v>
      </c>
      <c r="Q478" s="7">
        <f t="shared" si="29"/>
        <v>1.262109893287808E-8</v>
      </c>
      <c r="R478" s="7">
        <f t="shared" si="28"/>
        <v>1.1549496193296264E-8</v>
      </c>
    </row>
    <row r="479" spans="1:18" x14ac:dyDescent="0.25">
      <c r="A479" s="22">
        <v>45266</v>
      </c>
      <c r="B479" s="12">
        <v>230.94</v>
      </c>
      <c r="C479" s="13">
        <v>3.8E-3</v>
      </c>
      <c r="D479" s="7">
        <v>483</v>
      </c>
      <c r="E479" s="7">
        <v>5.0000000000000001E-4</v>
      </c>
      <c r="F479" s="7">
        <v>538</v>
      </c>
      <c r="G479" s="8">
        <f t="shared" si="30"/>
        <v>7.6417536882059004E-8</v>
      </c>
      <c r="H479" s="9">
        <f t="shared" si="31"/>
        <v>2.2925261064622283E-9</v>
      </c>
      <c r="I479" s="10">
        <f>SUM($H$3:H479)</f>
        <v>0.45009226941014546</v>
      </c>
      <c r="J479" s="23">
        <v>5.0000000000000001E-4</v>
      </c>
      <c r="Q479" s="7">
        <f t="shared" si="29"/>
        <v>1.3011442198843383E-8</v>
      </c>
      <c r="R479" s="7">
        <f t="shared" si="28"/>
        <v>1.1906697106490995E-8</v>
      </c>
    </row>
    <row r="480" spans="1:18" x14ac:dyDescent="0.25">
      <c r="A480" s="22">
        <v>45267</v>
      </c>
      <c r="B480" s="12">
        <v>230.83</v>
      </c>
      <c r="C480" s="13">
        <v>-5.0000000000000001E-4</v>
      </c>
      <c r="D480" s="7">
        <v>482</v>
      </c>
      <c r="E480" s="7">
        <v>5.0000000000000001E-4</v>
      </c>
      <c r="F480" s="7">
        <v>474</v>
      </c>
      <c r="G480" s="8">
        <f t="shared" si="30"/>
        <v>5.3678706517454869E-7</v>
      </c>
      <c r="H480" s="9">
        <f t="shared" si="31"/>
        <v>1.6103611955239681E-8</v>
      </c>
      <c r="I480" s="10">
        <f>SUM($H$3:H480)</f>
        <v>0.45009228551375741</v>
      </c>
      <c r="J480" s="23">
        <v>5.0000000000000001E-4</v>
      </c>
      <c r="Q480" s="7">
        <f t="shared" si="29"/>
        <v>1.3413857936951941E-8</v>
      </c>
      <c r="R480" s="7">
        <f t="shared" si="28"/>
        <v>1.2274945470609274E-8</v>
      </c>
    </row>
    <row r="481" spans="1:18" x14ac:dyDescent="0.25">
      <c r="A481" s="22">
        <v>45268</v>
      </c>
      <c r="B481" s="12">
        <v>231.36</v>
      </c>
      <c r="C481" s="13">
        <v>2.3E-3</v>
      </c>
      <c r="D481" s="7">
        <v>481</v>
      </c>
      <c r="E481" s="7">
        <v>5.0000000000000001E-4</v>
      </c>
      <c r="F481" s="7">
        <v>458</v>
      </c>
      <c r="G481" s="8">
        <f t="shared" si="30"/>
        <v>8.7388501826331785E-7</v>
      </c>
      <c r="H481" s="9">
        <f t="shared" si="31"/>
        <v>2.6216550547904775E-8</v>
      </c>
      <c r="I481" s="10">
        <f>SUM($H$3:H481)</f>
        <v>0.45009231173030795</v>
      </c>
      <c r="J481" s="23">
        <v>5.0000000000000001E-4</v>
      </c>
      <c r="Q481" s="7">
        <f t="shared" si="29"/>
        <v>1.3828719522630863E-8</v>
      </c>
      <c r="R481" s="7">
        <f t="shared" si="28"/>
        <v>1.2654582959391E-8</v>
      </c>
    </row>
    <row r="482" spans="1:18" x14ac:dyDescent="0.25">
      <c r="A482" s="22">
        <v>45271</v>
      </c>
      <c r="B482" s="12">
        <v>231.79</v>
      </c>
      <c r="C482" s="13">
        <v>1.9E-3</v>
      </c>
      <c r="D482" s="7">
        <v>480</v>
      </c>
      <c r="E482" s="7">
        <v>5.0000000000000001E-4</v>
      </c>
      <c r="F482" s="7">
        <v>389</v>
      </c>
      <c r="G482" s="8">
        <f t="shared" si="30"/>
        <v>7.1483305963221709E-6</v>
      </c>
      <c r="H482" s="9">
        <f t="shared" si="31"/>
        <v>2.1444991788970798E-7</v>
      </c>
      <c r="I482" s="10">
        <f>SUM($H$3:H482)</f>
        <v>0.45009252618022583</v>
      </c>
      <c r="J482" s="23">
        <v>5.0000000000000001E-4</v>
      </c>
      <c r="Q482" s="7">
        <f t="shared" si="29"/>
        <v>1.4256411879000891E-8</v>
      </c>
      <c r="R482" s="7">
        <f t="shared" si="28"/>
        <v>1.3045961813805156E-8</v>
      </c>
    </row>
    <row r="483" spans="1:18" x14ac:dyDescent="0.25">
      <c r="A483" s="22">
        <v>45272</v>
      </c>
      <c r="B483" s="12">
        <v>230.96</v>
      </c>
      <c r="C483" s="13">
        <v>-3.5999999999999999E-3</v>
      </c>
      <c r="D483" s="7">
        <v>479</v>
      </c>
      <c r="E483" s="7">
        <v>5.0000000000000001E-4</v>
      </c>
      <c r="F483" s="7">
        <v>380</v>
      </c>
      <c r="G483" s="8">
        <f t="shared" si="30"/>
        <v>9.4028394590627203E-6</v>
      </c>
      <c r="H483" s="9">
        <f t="shared" si="31"/>
        <v>2.8208518377193797E-7</v>
      </c>
      <c r="I483" s="10">
        <f>SUM($H$3:H483)</f>
        <v>0.45009280826540959</v>
      </c>
      <c r="J483" s="23">
        <v>5.0000000000000001E-4</v>
      </c>
      <c r="Q483" s="7">
        <f t="shared" si="29"/>
        <v>1.4697331834021539E-8</v>
      </c>
      <c r="R483" s="7">
        <f t="shared" si="28"/>
        <v>1.3449445168871296E-8</v>
      </c>
    </row>
    <row r="484" spans="1:18" x14ac:dyDescent="0.25">
      <c r="A484" s="22">
        <v>45273</v>
      </c>
      <c r="B484" s="12">
        <v>231.15</v>
      </c>
      <c r="C484" s="13">
        <v>8.0000000000000004E-4</v>
      </c>
      <c r="D484" s="7">
        <v>478</v>
      </c>
      <c r="E484" s="7">
        <v>5.9999999999999995E-4</v>
      </c>
      <c r="F484" s="7">
        <v>727</v>
      </c>
      <c r="G484" s="8">
        <f t="shared" si="30"/>
        <v>2.4157434549208948E-10</v>
      </c>
      <c r="H484" s="9">
        <f t="shared" si="31"/>
        <v>7.2472303647641333E-12</v>
      </c>
      <c r="I484" s="10">
        <f>SUM($H$3:H484)</f>
        <v>0.4500928082726568</v>
      </c>
      <c r="J484" s="23">
        <v>5.9999999999999995E-4</v>
      </c>
      <c r="Q484" s="7">
        <f t="shared" si="29"/>
        <v>1.5151888488681997E-8</v>
      </c>
      <c r="R484" s="7">
        <f t="shared" si="28"/>
        <v>1.3865407390588962E-8</v>
      </c>
    </row>
    <row r="485" spans="1:18" x14ac:dyDescent="0.25">
      <c r="A485" s="22">
        <v>45274</v>
      </c>
      <c r="B485" s="12">
        <v>233.99</v>
      </c>
      <c r="C485" s="13">
        <v>1.23E-2</v>
      </c>
      <c r="D485" s="7">
        <v>477</v>
      </c>
      <c r="E485" s="7">
        <v>5.9999999999999995E-4</v>
      </c>
      <c r="F485" s="7">
        <v>492</v>
      </c>
      <c r="G485" s="8">
        <f t="shared" si="30"/>
        <v>3.1023676203440395E-7</v>
      </c>
      <c r="H485" s="9">
        <f t="shared" si="31"/>
        <v>9.307102861033978E-9</v>
      </c>
      <c r="I485" s="10">
        <f>SUM($H$3:H485)</f>
        <v>0.45009281757975966</v>
      </c>
      <c r="J485" s="23">
        <v>5.9999999999999995E-4</v>
      </c>
      <c r="Q485" s="7">
        <f t="shared" si="29"/>
        <v>1.5620503596579385E-8</v>
      </c>
      <c r="R485" s="7">
        <f t="shared" si="28"/>
        <v>1.4294234423287597E-8</v>
      </c>
    </row>
    <row r="486" spans="1:18" x14ac:dyDescent="0.25">
      <c r="A486" s="22">
        <v>45275</v>
      </c>
      <c r="B486" s="12">
        <v>236.62</v>
      </c>
      <c r="C486" s="13">
        <v>1.12E-2</v>
      </c>
      <c r="D486" s="7">
        <v>476</v>
      </c>
      <c r="E486" s="7">
        <v>5.9999999999999995E-4</v>
      </c>
      <c r="F486" s="7">
        <v>184</v>
      </c>
      <c r="G486" s="8">
        <f t="shared" si="30"/>
        <v>3.681282149888161E-3</v>
      </c>
      <c r="H486" s="9">
        <f t="shared" si="31"/>
        <v>1.1043846449666691E-4</v>
      </c>
      <c r="I486" s="10">
        <f>SUM($H$3:H486)</f>
        <v>0.45020325604425632</v>
      </c>
      <c r="J486" s="23">
        <v>5.9999999999999995E-4</v>
      </c>
      <c r="Q486" s="7">
        <f t="shared" si="29"/>
        <v>1.6103611955236475E-8</v>
      </c>
      <c r="R486" s="7">
        <f t="shared" si="28"/>
        <v>1.4736324147719167E-8</v>
      </c>
    </row>
    <row r="487" spans="1:18" x14ac:dyDescent="0.25">
      <c r="A487" s="22">
        <v>45278</v>
      </c>
      <c r="B487" s="12">
        <v>236.57</v>
      </c>
      <c r="C487" s="13">
        <v>-2.0000000000000001E-4</v>
      </c>
      <c r="D487" s="7">
        <v>475</v>
      </c>
      <c r="E487" s="7">
        <v>6.9999999999999999E-4</v>
      </c>
      <c r="F487" s="7">
        <v>799</v>
      </c>
      <c r="G487" s="8">
        <f t="shared" si="30"/>
        <v>2.6953531713343161E-11</v>
      </c>
      <c r="H487" s="9">
        <f t="shared" si="31"/>
        <v>8.0860595140045647E-13</v>
      </c>
      <c r="I487" s="10">
        <f>SUM($H$3:H487)</f>
        <v>0.45020325604506495</v>
      </c>
      <c r="J487" s="23">
        <v>6.9999999999999999E-4</v>
      </c>
      <c r="Q487" s="7">
        <f t="shared" si="29"/>
        <v>1.6601661809522136E-8</v>
      </c>
      <c r="R487" s="7">
        <f t="shared" si="28"/>
        <v>1.5192086750225944E-8</v>
      </c>
    </row>
    <row r="488" spans="1:18" x14ac:dyDescent="0.25">
      <c r="A488" s="22">
        <v>45279</v>
      </c>
      <c r="B488" s="12">
        <v>236.7</v>
      </c>
      <c r="C488" s="13">
        <v>5.0000000000000001E-4</v>
      </c>
      <c r="D488" s="7">
        <v>474</v>
      </c>
      <c r="E488" s="7">
        <v>6.9999999999999999E-4</v>
      </c>
      <c r="F488" s="7">
        <v>661</v>
      </c>
      <c r="G488" s="8">
        <f t="shared" si="30"/>
        <v>1.8035008443855493E-9</v>
      </c>
      <c r="H488" s="9">
        <f t="shared" si="31"/>
        <v>5.4105025331577292E-11</v>
      </c>
      <c r="I488" s="10">
        <f>SUM($H$3:H488)</f>
        <v>0.45020325609916995</v>
      </c>
      <c r="J488" s="23">
        <v>6.9999999999999999E-4</v>
      </c>
      <c r="Q488" s="7">
        <f t="shared" si="29"/>
        <v>1.71151152675486E-8</v>
      </c>
      <c r="R488" s="7">
        <f t="shared" si="28"/>
        <v>1.5661945103325722E-8</v>
      </c>
    </row>
    <row r="489" spans="1:18" x14ac:dyDescent="0.25">
      <c r="A489" s="22">
        <v>45280</v>
      </c>
      <c r="B489" s="12">
        <v>233.25</v>
      </c>
      <c r="C489" s="13">
        <v>-1.46E-2</v>
      </c>
      <c r="D489" s="7">
        <v>473</v>
      </c>
      <c r="E489" s="7">
        <v>6.9999999999999999E-4</v>
      </c>
      <c r="F489" s="7">
        <v>644</v>
      </c>
      <c r="G489" s="8">
        <f t="shared" si="30"/>
        <v>3.0268915952471043E-9</v>
      </c>
      <c r="H489" s="9">
        <f t="shared" si="31"/>
        <v>9.0806747857431277E-11</v>
      </c>
      <c r="I489" s="10">
        <f>SUM($H$3:H489)</f>
        <v>0.4502032561899767</v>
      </c>
      <c r="J489" s="23">
        <v>6.9999999999999999E-4</v>
      </c>
      <c r="Q489" s="7">
        <f t="shared" si="29"/>
        <v>1.7644448729431541E-8</v>
      </c>
      <c r="R489" s="7">
        <f t="shared" si="28"/>
        <v>1.6146335158067749E-8</v>
      </c>
    </row>
    <row r="490" spans="1:18" x14ac:dyDescent="0.25">
      <c r="A490" s="22">
        <v>45281</v>
      </c>
      <c r="B490" s="12">
        <v>234.6</v>
      </c>
      <c r="C490" s="13">
        <v>5.7999999999999996E-3</v>
      </c>
      <c r="D490" s="7">
        <v>472</v>
      </c>
      <c r="E490" s="7">
        <v>6.9999999999999999E-4</v>
      </c>
      <c r="F490" s="7">
        <v>640</v>
      </c>
      <c r="G490" s="8">
        <f t="shared" si="30"/>
        <v>3.4190852575060496E-9</v>
      </c>
      <c r="H490" s="9">
        <f t="shared" si="31"/>
        <v>1.02572557725202E-10</v>
      </c>
      <c r="I490" s="10">
        <f>SUM($H$3:H490)</f>
        <v>0.45020325629254926</v>
      </c>
      <c r="J490" s="23">
        <v>6.9999999999999999E-4</v>
      </c>
      <c r="Q490" s="7">
        <f t="shared" si="29"/>
        <v>1.8190153329310871E-8</v>
      </c>
      <c r="R490" s="7">
        <f t="shared" si="28"/>
        <v>1.6645706348523457E-8</v>
      </c>
    </row>
    <row r="491" spans="1:18" x14ac:dyDescent="0.25">
      <c r="A491" s="22">
        <v>45282</v>
      </c>
      <c r="B491" s="12">
        <v>235.5</v>
      </c>
      <c r="C491" s="13">
        <v>3.8E-3</v>
      </c>
      <c r="D491" s="7">
        <v>471</v>
      </c>
      <c r="E491" s="7">
        <v>6.9999999999999999E-4</v>
      </c>
      <c r="F491" s="7">
        <v>424</v>
      </c>
      <c r="G491" s="8">
        <f t="shared" si="30"/>
        <v>2.4615877890718537E-6</v>
      </c>
      <c r="H491" s="9">
        <f t="shared" si="31"/>
        <v>7.3847633672170373E-8</v>
      </c>
      <c r="I491" s="10">
        <f>SUM($H$3:H491)</f>
        <v>0.45020333014018293</v>
      </c>
      <c r="J491" s="23">
        <v>6.9999999999999999E-4</v>
      </c>
      <c r="Q491" s="7">
        <f t="shared" si="29"/>
        <v>1.8752735391042135E-8</v>
      </c>
      <c r="R491" s="7">
        <f t="shared" si="28"/>
        <v>1.7160522008787067E-8</v>
      </c>
    </row>
    <row r="492" spans="1:18" x14ac:dyDescent="0.25">
      <c r="A492" s="22">
        <v>45286</v>
      </c>
      <c r="B492" s="12">
        <v>236.93</v>
      </c>
      <c r="C492" s="13">
        <v>6.1000000000000004E-3</v>
      </c>
      <c r="D492" s="7">
        <v>470</v>
      </c>
      <c r="E492" s="7">
        <v>6.9999999999999999E-4</v>
      </c>
      <c r="F492" s="7">
        <v>412</v>
      </c>
      <c r="G492" s="8">
        <f t="shared" si="30"/>
        <v>3.5477623267917463E-6</v>
      </c>
      <c r="H492" s="9">
        <f t="shared" si="31"/>
        <v>1.0643286980377366E-7</v>
      </c>
      <c r="I492" s="10">
        <f>SUM($H$3:H492)</f>
        <v>0.45020343657305273</v>
      </c>
      <c r="J492" s="23">
        <v>6.9999999999999999E-4</v>
      </c>
      <c r="Q492" s="7">
        <f t="shared" si="29"/>
        <v>1.9332716897981583E-8</v>
      </c>
      <c r="R492" s="7">
        <f t="shared" si="28"/>
        <v>1.7691259802873264E-8</v>
      </c>
    </row>
    <row r="493" spans="1:18" x14ac:dyDescent="0.25">
      <c r="A493" s="22">
        <v>45287</v>
      </c>
      <c r="B493" s="12">
        <v>238.91</v>
      </c>
      <c r="C493" s="13">
        <v>8.3999999999999995E-3</v>
      </c>
      <c r="D493" s="7">
        <v>469</v>
      </c>
      <c r="E493" s="7">
        <v>6.9999999999999999E-4</v>
      </c>
      <c r="F493" s="7">
        <v>329</v>
      </c>
      <c r="G493" s="8">
        <f t="shared" si="30"/>
        <v>4.4452948623436883E-5</v>
      </c>
      <c r="H493" s="9">
        <f t="shared" si="31"/>
        <v>1.3335884587033731E-6</v>
      </c>
      <c r="I493" s="10">
        <f>SUM($H$3:H493)</f>
        <v>0.45020477016151145</v>
      </c>
      <c r="J493" s="23">
        <v>6.9999999999999999E-4</v>
      </c>
      <c r="Q493" s="7">
        <f t="shared" si="29"/>
        <v>1.99306359773006E-8</v>
      </c>
      <c r="R493" s="7">
        <f t="shared" si="28"/>
        <v>1.8238412167910584E-8</v>
      </c>
    </row>
    <row r="494" spans="1:18" x14ac:dyDescent="0.25">
      <c r="A494" s="22">
        <v>45288</v>
      </c>
      <c r="B494" s="12">
        <v>240.16</v>
      </c>
      <c r="C494" s="13">
        <v>5.1999999999999998E-3</v>
      </c>
      <c r="D494" s="7">
        <v>468</v>
      </c>
      <c r="E494" s="7">
        <v>6.9999999999999999E-4</v>
      </c>
      <c r="F494" s="7">
        <v>222</v>
      </c>
      <c r="G494" s="8">
        <f t="shared" si="30"/>
        <v>1.156977750138192E-3</v>
      </c>
      <c r="H494" s="9">
        <f t="shared" si="31"/>
        <v>3.47093325041527E-5</v>
      </c>
      <c r="I494" s="10">
        <f>SUM($H$3:H494)</f>
        <v>0.4502394794940156</v>
      </c>
      <c r="J494" s="23">
        <v>6.9999999999999999E-4</v>
      </c>
      <c r="Q494" s="7">
        <f t="shared" si="29"/>
        <v>2.054704739927897E-8</v>
      </c>
      <c r="R494" s="7">
        <f t="shared" si="28"/>
        <v>1.8802486771041838E-8</v>
      </c>
    </row>
    <row r="495" spans="1:18" x14ac:dyDescent="0.25">
      <c r="A495" s="22">
        <v>45289</v>
      </c>
      <c r="B495" s="12">
        <v>239.65</v>
      </c>
      <c r="C495" s="13">
        <v>-2.0999999999999999E-3</v>
      </c>
      <c r="D495" s="7">
        <v>467</v>
      </c>
      <c r="E495" s="7">
        <v>6.9999999999999999E-4</v>
      </c>
      <c r="F495" s="7">
        <v>134</v>
      </c>
      <c r="G495" s="8">
        <f t="shared" si="30"/>
        <v>1.6881552809671796E-2</v>
      </c>
      <c r="H495" s="9">
        <f t="shared" si="31"/>
        <v>5.0644658429025509E-4</v>
      </c>
      <c r="I495" s="10">
        <f>SUM($H$3:H495)</f>
        <v>0.45074592607830588</v>
      </c>
      <c r="J495" s="23">
        <v>6.9999999999999999E-4</v>
      </c>
      <c r="Q495" s="7">
        <f t="shared" si="29"/>
        <v>2.1182523092040177E-8</v>
      </c>
      <c r="R495" s="7">
        <f t="shared" si="28"/>
        <v>1.9384006980455505E-8</v>
      </c>
    </row>
    <row r="496" spans="1:18" x14ac:dyDescent="0.25">
      <c r="A496" s="22">
        <v>45292</v>
      </c>
      <c r="B496" s="12">
        <v>240.35</v>
      </c>
      <c r="C496" s="13">
        <v>2.8999999999999998E-3</v>
      </c>
      <c r="D496" s="7">
        <v>466</v>
      </c>
      <c r="E496" s="7">
        <v>6.9999999999999999E-4</v>
      </c>
      <c r="F496" s="7">
        <v>7</v>
      </c>
      <c r="G496" s="8">
        <f t="shared" si="30"/>
        <v>0.80798284478112992</v>
      </c>
      <c r="H496" s="9">
        <f t="shared" si="31"/>
        <v>2.4239485343438741E-2</v>
      </c>
      <c r="I496" s="10">
        <f>SUM($H$3:H496)</f>
        <v>0.47498541142174461</v>
      </c>
      <c r="J496" s="23">
        <v>6.9999999999999999E-4</v>
      </c>
      <c r="Q496" s="7">
        <f t="shared" si="29"/>
        <v>2.1837652672206368E-8</v>
      </c>
      <c r="R496" s="7">
        <f t="shared" si="28"/>
        <v>1.9983512350985058E-8</v>
      </c>
    </row>
    <row r="497" spans="1:18" x14ac:dyDescent="0.25">
      <c r="A497" s="22">
        <v>45293</v>
      </c>
      <c r="B497" s="12">
        <v>239.21</v>
      </c>
      <c r="C497" s="13">
        <v>-4.7000000000000002E-3</v>
      </c>
      <c r="D497" s="7">
        <v>465</v>
      </c>
      <c r="E497" s="7">
        <v>8.0000000000000004E-4</v>
      </c>
      <c r="F497" s="7">
        <v>805</v>
      </c>
      <c r="G497" s="8">
        <f t="shared" si="30"/>
        <v>2.2451537351180837E-11</v>
      </c>
      <c r="H497" s="9">
        <f t="shared" si="31"/>
        <v>6.735461205355597E-13</v>
      </c>
      <c r="I497" s="10">
        <f>SUM($H$3:H497)</f>
        <v>0.47498541142241818</v>
      </c>
      <c r="J497" s="23">
        <v>8.0000000000000004E-4</v>
      </c>
      <c r="Q497" s="7">
        <f t="shared" si="29"/>
        <v>2.2513043991965329E-8</v>
      </c>
      <c r="R497" s="7">
        <f t="shared" si="28"/>
        <v>2.0601559124726862E-8</v>
      </c>
    </row>
    <row r="498" spans="1:18" x14ac:dyDescent="0.25">
      <c r="A498" s="22">
        <v>45294</v>
      </c>
      <c r="B498" s="12">
        <v>237.74</v>
      </c>
      <c r="C498" s="13">
        <v>-6.1000000000000004E-3</v>
      </c>
      <c r="D498" s="7">
        <v>464</v>
      </c>
      <c r="E498" s="7">
        <v>8.0000000000000004E-4</v>
      </c>
      <c r="F498" s="7">
        <v>478</v>
      </c>
      <c r="G498" s="8">
        <f t="shared" si="30"/>
        <v>4.7521372930002929E-7</v>
      </c>
      <c r="H498" s="9">
        <f t="shared" si="31"/>
        <v>1.4256411879003728E-8</v>
      </c>
      <c r="I498" s="10">
        <f>SUM($H$3:H498)</f>
        <v>0.47498542567883006</v>
      </c>
      <c r="J498" s="23">
        <v>8.0000000000000004E-4</v>
      </c>
      <c r="Q498" s="7">
        <f t="shared" si="29"/>
        <v>2.320932370305704E-8</v>
      </c>
      <c r="R498" s="7">
        <f t="shared" si="28"/>
        <v>2.1238720747141097E-8</v>
      </c>
    </row>
    <row r="499" spans="1:18" x14ac:dyDescent="0.25">
      <c r="A499" s="22">
        <v>45295</v>
      </c>
      <c r="B499" s="12">
        <v>239.3</v>
      </c>
      <c r="C499" s="13">
        <v>6.6E-3</v>
      </c>
      <c r="D499" s="7">
        <v>463</v>
      </c>
      <c r="E499" s="7">
        <v>8.0000000000000004E-4</v>
      </c>
      <c r="F499" s="7">
        <v>377</v>
      </c>
      <c r="G499" s="8">
        <f t="shared" si="30"/>
        <v>1.0302528352501629E-5</v>
      </c>
      <c r="H499" s="9">
        <f t="shared" si="31"/>
        <v>3.0907585057511064E-7</v>
      </c>
      <c r="I499" s="10">
        <f>SUM($H$3:H499)</f>
        <v>0.47498573475468064</v>
      </c>
      <c r="J499" s="23">
        <v>8.0000000000000004E-4</v>
      </c>
      <c r="Q499" s="7">
        <f t="shared" si="29"/>
        <v>2.3927137838203132E-8</v>
      </c>
      <c r="R499" s="7">
        <f t="shared" si="28"/>
        <v>2.189558839911453E-8</v>
      </c>
    </row>
    <row r="500" spans="1:18" x14ac:dyDescent="0.25">
      <c r="A500" s="22">
        <v>45296</v>
      </c>
      <c r="B500" s="12">
        <v>239.74</v>
      </c>
      <c r="C500" s="13">
        <v>1.8E-3</v>
      </c>
      <c r="D500" s="7">
        <v>462</v>
      </c>
      <c r="E500" s="7">
        <v>8.0000000000000004E-4</v>
      </c>
      <c r="F500" s="7">
        <v>192</v>
      </c>
      <c r="G500" s="8">
        <f t="shared" si="30"/>
        <v>2.8851804391913718E-3</v>
      </c>
      <c r="H500" s="9">
        <f t="shared" si="31"/>
        <v>8.6555413175758459E-5</v>
      </c>
      <c r="I500" s="10">
        <f>SUM($H$3:H500)</f>
        <v>0.4750722901678564</v>
      </c>
      <c r="J500" s="23">
        <v>8.0000000000000004E-4</v>
      </c>
      <c r="Q500" s="7">
        <f t="shared" si="29"/>
        <v>2.4667152410518694E-8</v>
      </c>
      <c r="R500" s="7">
        <f t="shared" si="28"/>
        <v>2.2572771545478898E-8</v>
      </c>
    </row>
    <row r="501" spans="1:18" x14ac:dyDescent="0.25">
      <c r="A501" s="22">
        <v>45299</v>
      </c>
      <c r="B501" s="12">
        <v>237.68</v>
      </c>
      <c r="C501" s="13">
        <v>-8.6E-3</v>
      </c>
      <c r="D501" s="7">
        <v>461</v>
      </c>
      <c r="E501" s="7">
        <v>8.0000000000000004E-4</v>
      </c>
      <c r="F501" s="7">
        <v>63</v>
      </c>
      <c r="G501" s="8">
        <f t="shared" si="30"/>
        <v>0.14676390503592948</v>
      </c>
      <c r="H501" s="9">
        <f t="shared" si="31"/>
        <v>4.4029171510787642E-3</v>
      </c>
      <c r="I501" s="10">
        <f>SUM($H$3:H501)</f>
        <v>0.47947520731893517</v>
      </c>
      <c r="J501" s="23">
        <v>8.0000000000000004E-4</v>
      </c>
      <c r="Q501" s="7">
        <f t="shared" si="29"/>
        <v>2.5430054031462573E-8</v>
      </c>
      <c r="R501" s="7">
        <f t="shared" si="28"/>
        <v>2.327089850049371E-8</v>
      </c>
    </row>
    <row r="502" spans="1:18" x14ac:dyDescent="0.25">
      <c r="A502" s="22">
        <v>45300</v>
      </c>
      <c r="B502" s="12">
        <v>237.78</v>
      </c>
      <c r="C502" s="13">
        <v>4.0000000000000002E-4</v>
      </c>
      <c r="D502" s="7">
        <v>460</v>
      </c>
      <c r="E502" s="7">
        <v>8.9999999999999998E-4</v>
      </c>
      <c r="F502" s="7">
        <v>637</v>
      </c>
      <c r="G502" s="8">
        <f t="shared" si="30"/>
        <v>3.7462325033238075E-9</v>
      </c>
      <c r="H502" s="9">
        <f t="shared" si="31"/>
        <v>1.1238697509973669E-10</v>
      </c>
      <c r="I502" s="10">
        <f>SUM($H$3:H502)</f>
        <v>0.47947520743132216</v>
      </c>
      <c r="J502" s="23">
        <v>8.9999999999999998E-4</v>
      </c>
      <c r="Q502" s="7">
        <f t="shared" si="29"/>
        <v>2.6216550547899557E-8</v>
      </c>
      <c r="R502" s="7">
        <f t="shared" si="28"/>
        <v>2.3990617010818258E-8</v>
      </c>
    </row>
    <row r="503" spans="1:18" x14ac:dyDescent="0.25">
      <c r="A503" s="22">
        <v>45301</v>
      </c>
      <c r="B503" s="12">
        <v>238.76</v>
      </c>
      <c r="C503" s="13">
        <v>4.1000000000000003E-3</v>
      </c>
      <c r="D503" s="7">
        <v>459</v>
      </c>
      <c r="E503" s="7">
        <v>8.9999999999999998E-4</v>
      </c>
      <c r="F503" s="7">
        <v>594</v>
      </c>
      <c r="G503" s="8">
        <f t="shared" si="30"/>
        <v>1.3880661202746463E-8</v>
      </c>
      <c r="H503" s="9">
        <f t="shared" si="31"/>
        <v>4.1641983608247712E-10</v>
      </c>
      <c r="I503" s="10">
        <f>SUM($H$3:H503)</f>
        <v>0.479475207847742</v>
      </c>
      <c r="J503" s="23">
        <v>8.9999999999999998E-4</v>
      </c>
      <c r="Q503" s="7">
        <f t="shared" si="29"/>
        <v>2.7027371698865521E-8</v>
      </c>
      <c r="R503" s="7">
        <f t="shared" si="28"/>
        <v>2.4732594856513665E-8</v>
      </c>
    </row>
    <row r="504" spans="1:18" x14ac:dyDescent="0.25">
      <c r="A504" s="22">
        <v>45302</v>
      </c>
      <c r="B504" s="12">
        <v>238.87</v>
      </c>
      <c r="C504" s="13">
        <v>5.0000000000000001E-4</v>
      </c>
      <c r="D504" s="7">
        <v>458</v>
      </c>
      <c r="E504" s="7">
        <v>8.9999999999999998E-4</v>
      </c>
      <c r="F504" s="7">
        <v>304</v>
      </c>
      <c r="G504" s="8">
        <f t="shared" si="30"/>
        <v>9.5193482908720588E-5</v>
      </c>
      <c r="H504" s="9">
        <f t="shared" si="31"/>
        <v>2.8558044872621886E-6</v>
      </c>
      <c r="I504" s="10">
        <f>SUM($H$3:H504)</f>
        <v>0.47947806365222928</v>
      </c>
      <c r="J504" s="23">
        <v>8.9999999999999998E-4</v>
      </c>
      <c r="Q504" s="7">
        <f t="shared" si="29"/>
        <v>2.7863269792644875E-8</v>
      </c>
      <c r="R504" s="7">
        <f t="shared" si="28"/>
        <v>2.5497520470632652E-8</v>
      </c>
    </row>
    <row r="505" spans="1:18" x14ac:dyDescent="0.25">
      <c r="A505" s="22">
        <v>45303</v>
      </c>
      <c r="B505" s="12">
        <v>241.73</v>
      </c>
      <c r="C505" s="13">
        <v>1.2E-2</v>
      </c>
      <c r="D505" s="7">
        <v>457</v>
      </c>
      <c r="E505" s="7">
        <v>8.9999999999999998E-4</v>
      </c>
      <c r="F505" s="7">
        <v>10</v>
      </c>
      <c r="G505" s="8">
        <f t="shared" si="30"/>
        <v>0.7374241268949282</v>
      </c>
      <c r="H505" s="9">
        <f t="shared" si="31"/>
        <v>2.2122723806852269E-2</v>
      </c>
      <c r="I505" s="10">
        <f>SUM($H$3:H505)</f>
        <v>0.50160078745908154</v>
      </c>
      <c r="J505" s="23">
        <v>8.9999999999999998E-4</v>
      </c>
      <c r="Q505" s="7">
        <f t="shared" si="29"/>
        <v>2.8725020404788526E-8</v>
      </c>
      <c r="R505" s="7">
        <f t="shared" si="28"/>
        <v>2.6286103577971801E-8</v>
      </c>
    </row>
    <row r="506" spans="1:18" x14ac:dyDescent="0.25">
      <c r="A506" s="22">
        <v>45306</v>
      </c>
      <c r="B506" s="12">
        <v>244.07</v>
      </c>
      <c r="C506" s="13">
        <v>9.7000000000000003E-3</v>
      </c>
      <c r="D506" s="7">
        <v>456</v>
      </c>
      <c r="E506" s="7">
        <v>1E-3</v>
      </c>
      <c r="F506" s="7">
        <v>763</v>
      </c>
      <c r="G506" s="8">
        <f t="shared" si="30"/>
        <v>8.0692513793729032E-11</v>
      </c>
      <c r="H506" s="9">
        <f t="shared" si="31"/>
        <v>2.4207754138123546E-12</v>
      </c>
      <c r="I506" s="10">
        <f>SUM($H$3:H506)</f>
        <v>0.50160078746150227</v>
      </c>
      <c r="J506" s="23">
        <v>1E-3</v>
      </c>
      <c r="Q506" s="7">
        <f t="shared" si="29"/>
        <v>2.9613423097720134E-8</v>
      </c>
      <c r="R506" s="7">
        <f t="shared" si="28"/>
        <v>2.7099075853579183E-8</v>
      </c>
    </row>
    <row r="507" spans="1:18" x14ac:dyDescent="0.25">
      <c r="A507" s="22">
        <v>45307</v>
      </c>
      <c r="B507" s="12">
        <v>243.24</v>
      </c>
      <c r="C507" s="13">
        <v>-3.3999999999999998E-3</v>
      </c>
      <c r="D507" s="7">
        <v>455</v>
      </c>
      <c r="E507" s="7">
        <v>1E-3</v>
      </c>
      <c r="F507" s="7">
        <v>692</v>
      </c>
      <c r="G507" s="8">
        <f t="shared" si="30"/>
        <v>7.0152008912049397E-10</v>
      </c>
      <c r="H507" s="9">
        <f t="shared" si="31"/>
        <v>2.1045602673619025E-11</v>
      </c>
      <c r="I507" s="10">
        <f>SUM($H$3:H507)</f>
        <v>0.50160078748254788</v>
      </c>
      <c r="J507" s="23">
        <v>1E-3</v>
      </c>
      <c r="Q507" s="7">
        <f t="shared" si="29"/>
        <v>3.0529302162598078E-8</v>
      </c>
      <c r="R507" s="7">
        <f t="shared" si="28"/>
        <v>2.7937191601628023E-8</v>
      </c>
    </row>
    <row r="508" spans="1:18" x14ac:dyDescent="0.25">
      <c r="A508" s="22">
        <v>45308</v>
      </c>
      <c r="B508" s="12">
        <v>238.38</v>
      </c>
      <c r="C508" s="13">
        <v>-0.02</v>
      </c>
      <c r="D508" s="7">
        <v>454</v>
      </c>
      <c r="E508" s="7">
        <v>1E-3</v>
      </c>
      <c r="F508" s="7">
        <v>300</v>
      </c>
      <c r="G508" s="8">
        <f t="shared" si="30"/>
        <v>1.075276810490764E-4</v>
      </c>
      <c r="H508" s="9">
        <f t="shared" si="31"/>
        <v>3.2258304314729367E-6</v>
      </c>
      <c r="I508" s="10">
        <f>SUM($H$3:H508)</f>
        <v>0.50160401331297932</v>
      </c>
      <c r="J508" s="23">
        <v>1E-3</v>
      </c>
      <c r="Q508" s="7">
        <f t="shared" si="29"/>
        <v>3.1473507384121732E-8</v>
      </c>
      <c r="R508" s="7">
        <f t="shared" si="28"/>
        <v>2.8801228455286622E-8</v>
      </c>
    </row>
    <row r="509" spans="1:18" x14ac:dyDescent="0.25">
      <c r="A509" s="22">
        <v>45309</v>
      </c>
      <c r="B509" s="12">
        <v>237.51</v>
      </c>
      <c r="C509" s="13">
        <v>-3.5999999999999999E-3</v>
      </c>
      <c r="D509" s="7">
        <v>453</v>
      </c>
      <c r="E509" s="7">
        <v>1E-3</v>
      </c>
      <c r="F509" s="7">
        <v>49</v>
      </c>
      <c r="G509" s="8">
        <f t="shared" si="30"/>
        <v>0.22480966530660562</v>
      </c>
      <c r="H509" s="9">
        <f t="shared" si="31"/>
        <v>6.7442899591995164E-3</v>
      </c>
      <c r="I509" s="10">
        <f>SUM($H$3:H509)</f>
        <v>0.50834830327217884</v>
      </c>
      <c r="J509" s="23">
        <v>1E-3</v>
      </c>
      <c r="Q509" s="7">
        <f t="shared" si="29"/>
        <v>3.2446914828991475E-8</v>
      </c>
      <c r="R509" s="7">
        <f t="shared" si="28"/>
        <v>2.9691988098233632E-8</v>
      </c>
    </row>
    <row r="510" spans="1:18" x14ac:dyDescent="0.25">
      <c r="A510" s="22">
        <v>45310</v>
      </c>
      <c r="B510" s="12">
        <v>239.15</v>
      </c>
      <c r="C510" s="13">
        <v>6.8999999999999999E-3</v>
      </c>
      <c r="D510" s="7">
        <v>452</v>
      </c>
      <c r="E510" s="7">
        <v>1.1000000000000001E-3</v>
      </c>
      <c r="F510" s="7">
        <v>613</v>
      </c>
      <c r="G510" s="8">
        <f t="shared" si="30"/>
        <v>7.7816752970477367E-9</v>
      </c>
      <c r="H510" s="9">
        <f t="shared" si="31"/>
        <v>2.3345025891147878E-10</v>
      </c>
      <c r="I510" s="10">
        <f>SUM($H$3:H510)</f>
        <v>0.5083483035056291</v>
      </c>
      <c r="J510" s="23">
        <v>1.1000000000000001E-3</v>
      </c>
      <c r="Q510" s="7">
        <f t="shared" si="29"/>
        <v>3.3450427658754099E-8</v>
      </c>
      <c r="R510" s="7">
        <f t="shared" si="28"/>
        <v>3.0610297008488282E-8</v>
      </c>
    </row>
    <row r="511" spans="1:18" x14ac:dyDescent="0.25">
      <c r="A511" s="22">
        <v>45311</v>
      </c>
      <c r="B511" s="12">
        <v>238.95</v>
      </c>
      <c r="C511" s="13">
        <v>-8.0000000000000004E-4</v>
      </c>
      <c r="D511" s="7">
        <v>451</v>
      </c>
      <c r="E511" s="7">
        <v>1.1000000000000001E-3</v>
      </c>
      <c r="F511" s="7">
        <v>341</v>
      </c>
      <c r="G511" s="8">
        <f t="shared" si="30"/>
        <v>3.0843338826094348E-5</v>
      </c>
      <c r="H511" s="9">
        <f t="shared" si="31"/>
        <v>9.2530016478301538E-7</v>
      </c>
      <c r="I511" s="10">
        <f>SUM($H$3:H511)</f>
        <v>0.50834922880579392</v>
      </c>
      <c r="J511" s="23">
        <v>1.1000000000000001E-3</v>
      </c>
      <c r="Q511" s="7">
        <f t="shared" si="29"/>
        <v>3.4484976967787731E-8</v>
      </c>
      <c r="R511" s="7">
        <f t="shared" si="28"/>
        <v>3.155700722524565E-8</v>
      </c>
    </row>
    <row r="512" spans="1:18" x14ac:dyDescent="0.25">
      <c r="A512" s="22">
        <v>45314</v>
      </c>
      <c r="B512" s="12">
        <v>234.87</v>
      </c>
      <c r="C512" s="13">
        <v>-1.7100000000000001E-2</v>
      </c>
      <c r="D512" s="7">
        <v>450</v>
      </c>
      <c r="E512" s="7">
        <v>1.1000000000000001E-3</v>
      </c>
      <c r="F512" s="7">
        <v>309</v>
      </c>
      <c r="G512" s="8">
        <f t="shared" si="30"/>
        <v>8.1745882798609765E-5</v>
      </c>
      <c r="H512" s="9">
        <f t="shared" si="31"/>
        <v>2.4523764839587832E-6</v>
      </c>
      <c r="I512" s="10">
        <f>SUM($H$3:H512)</f>
        <v>0.50835168118227791</v>
      </c>
      <c r="J512" s="23">
        <v>1.1000000000000001E-3</v>
      </c>
      <c r="Q512" s="7">
        <f t="shared" si="29"/>
        <v>3.5551522647203845E-8</v>
      </c>
      <c r="R512" s="7">
        <f t="shared" si="28"/>
        <v>3.2532997139428505E-8</v>
      </c>
    </row>
    <row r="513" spans="1:18" x14ac:dyDescent="0.25">
      <c r="A513" s="22">
        <v>45315</v>
      </c>
      <c r="B513" s="12">
        <v>237.29</v>
      </c>
      <c r="C513" s="13">
        <v>1.03E-2</v>
      </c>
      <c r="D513" s="7">
        <v>449</v>
      </c>
      <c r="E513" s="7">
        <v>1.1000000000000001E-3</v>
      </c>
      <c r="F513" s="7">
        <v>232</v>
      </c>
      <c r="G513" s="8">
        <f t="shared" si="30"/>
        <v>8.5318330723251469E-4</v>
      </c>
      <c r="H513" s="9">
        <f t="shared" si="31"/>
        <v>2.5595499216980557E-5</v>
      </c>
      <c r="I513" s="10">
        <f>SUM($H$3:H513)</f>
        <v>0.50837727668149491</v>
      </c>
      <c r="J513" s="23">
        <v>1.1000000000000001E-3</v>
      </c>
      <c r="Q513" s="7">
        <f t="shared" si="29"/>
        <v>3.6651054275467865E-8</v>
      </c>
      <c r="R513" s="7">
        <f t="shared" si="28"/>
        <v>3.3539172308689162E-8</v>
      </c>
    </row>
    <row r="514" spans="1:18" x14ac:dyDescent="0.25">
      <c r="A514" s="22">
        <v>45316</v>
      </c>
      <c r="B514" s="12">
        <v>236.15</v>
      </c>
      <c r="C514" s="13">
        <v>-4.7999999999999996E-3</v>
      </c>
      <c r="D514" s="7">
        <v>448</v>
      </c>
      <c r="E514" s="7">
        <v>1.1999999999999999E-3</v>
      </c>
      <c r="F514" s="7">
        <v>545</v>
      </c>
      <c r="G514" s="8">
        <f t="shared" si="30"/>
        <v>6.1744058841132951E-8</v>
      </c>
      <c r="H514" s="9">
        <f t="shared" si="31"/>
        <v>1.8523217652343589E-9</v>
      </c>
      <c r="I514" s="10">
        <f>SUM($H$3:H514)</f>
        <v>0.50837727853381665</v>
      </c>
      <c r="J514" s="23">
        <v>1.1999999999999999E-3</v>
      </c>
      <c r="Q514" s="7">
        <f t="shared" si="29"/>
        <v>3.7784592036564817E-8</v>
      </c>
      <c r="R514" s="7">
        <f t="shared" ref="R514:R577" si="32">Q514/$U$2</f>
        <v>3.4576466297617699E-8</v>
      </c>
    </row>
    <row r="515" spans="1:18" x14ac:dyDescent="0.25">
      <c r="A515" s="22">
        <v>45320</v>
      </c>
      <c r="B515" s="12">
        <v>240.05</v>
      </c>
      <c r="C515" s="13">
        <v>1.6500000000000001E-2</v>
      </c>
      <c r="D515" s="7">
        <v>447</v>
      </c>
      <c r="E515" s="7">
        <v>1.1999999999999999E-3</v>
      </c>
      <c r="F515" s="7">
        <v>208</v>
      </c>
      <c r="G515" s="8">
        <f t="shared" si="30"/>
        <v>1.7722326256723758E-3</v>
      </c>
      <c r="H515" s="9">
        <f t="shared" si="31"/>
        <v>5.31669787701819E-5</v>
      </c>
      <c r="I515" s="10">
        <f>SUM($H$3:H515)</f>
        <v>0.50843044551258687</v>
      </c>
      <c r="J515" s="23">
        <v>1.1999999999999999E-3</v>
      </c>
      <c r="Q515" s="7">
        <f t="shared" ref="Q515:Q578" si="33">(1-$N$3) * $N$3^(D516-1)</f>
        <v>3.8953187666561667E-8</v>
      </c>
      <c r="R515" s="7">
        <f t="shared" si="32"/>
        <v>3.5645841543935779E-8</v>
      </c>
    </row>
    <row r="516" spans="1:18" x14ac:dyDescent="0.25">
      <c r="A516" s="22">
        <v>45321</v>
      </c>
      <c r="B516" s="12">
        <v>238.13</v>
      </c>
      <c r="C516" s="13">
        <v>-8.0000000000000002E-3</v>
      </c>
      <c r="D516" s="7">
        <v>446</v>
      </c>
      <c r="E516" s="7">
        <v>1.1999999999999999E-3</v>
      </c>
      <c r="F516" s="7">
        <v>95</v>
      </c>
      <c r="G516" s="8">
        <f t="shared" ref="G516:G579" si="34">$N$3^F516</f>
        <v>5.5375129553813955E-2</v>
      </c>
      <c r="H516" s="9">
        <f t="shared" si="31"/>
        <v>1.6612538866147507E-3</v>
      </c>
      <c r="I516" s="10">
        <f>SUM($H$3:H516)</f>
        <v>0.51009169939920163</v>
      </c>
      <c r="J516" s="23">
        <v>1.1999999999999999E-3</v>
      </c>
      <c r="Q516" s="7">
        <f t="shared" si="33"/>
        <v>4.0157925429445017E-8</v>
      </c>
      <c r="R516" s="7">
        <f t="shared" si="32"/>
        <v>3.6748290251480183E-8</v>
      </c>
    </row>
    <row r="517" spans="1:18" x14ac:dyDescent="0.25">
      <c r="A517" s="22">
        <v>45322</v>
      </c>
      <c r="B517" s="12">
        <v>240.26</v>
      </c>
      <c r="C517" s="13">
        <v>8.8999999999999999E-3</v>
      </c>
      <c r="D517" s="7">
        <v>445</v>
      </c>
      <c r="E517" s="7">
        <v>1.1999999999999999E-3</v>
      </c>
      <c r="F517" s="7">
        <v>28</v>
      </c>
      <c r="G517" s="8">
        <f t="shared" si="34"/>
        <v>0.42619520516862325</v>
      </c>
      <c r="H517" s="9">
        <f t="shared" ref="H517:H580" si="35">G517/$N$4</f>
        <v>1.2785856155061254E-2</v>
      </c>
      <c r="I517" s="10">
        <f>SUM($H$3:H517)</f>
        <v>0.52287755555426285</v>
      </c>
      <c r="J517" s="23">
        <v>1.1999999999999999E-3</v>
      </c>
      <c r="Q517" s="7">
        <f t="shared" si="33"/>
        <v>4.1399923123139194E-8</v>
      </c>
      <c r="R517" s="7">
        <f t="shared" si="32"/>
        <v>3.7884835310804309E-8</v>
      </c>
    </row>
    <row r="518" spans="1:18" x14ac:dyDescent="0.25">
      <c r="A518" s="22">
        <v>45323</v>
      </c>
      <c r="B518" s="12">
        <v>240.03</v>
      </c>
      <c r="C518" s="13">
        <v>-1E-3</v>
      </c>
      <c r="D518" s="7">
        <v>444</v>
      </c>
      <c r="E518" s="7">
        <v>1.2999999999999999E-3</v>
      </c>
      <c r="F518" s="7">
        <v>810</v>
      </c>
      <c r="G518" s="8">
        <f t="shared" si="34"/>
        <v>1.9279899052733433E-11</v>
      </c>
      <c r="H518" s="9">
        <f t="shared" si="35"/>
        <v>5.783969715821186E-13</v>
      </c>
      <c r="I518" s="10">
        <f>SUM($H$3:H518)</f>
        <v>0.52287755555484128</v>
      </c>
      <c r="J518" s="23">
        <v>1.2999999999999999E-3</v>
      </c>
      <c r="Q518" s="7">
        <f t="shared" si="33"/>
        <v>4.2680333116638355E-8</v>
      </c>
      <c r="R518" s="7">
        <f t="shared" si="32"/>
        <v>3.905653124825188E-8</v>
      </c>
    </row>
    <row r="519" spans="1:18" x14ac:dyDescent="0.25">
      <c r="A519" s="22">
        <v>45324</v>
      </c>
      <c r="B519" s="12">
        <v>241.3</v>
      </c>
      <c r="C519" s="13">
        <v>5.3E-3</v>
      </c>
      <c r="D519" s="7">
        <v>443</v>
      </c>
      <c r="E519" s="7">
        <v>1.2999999999999999E-3</v>
      </c>
      <c r="F519" s="7">
        <v>771</v>
      </c>
      <c r="G519" s="8">
        <f t="shared" si="34"/>
        <v>6.3242221842169838E-11</v>
      </c>
      <c r="H519" s="9">
        <f t="shared" si="35"/>
        <v>1.8972666552654745E-12</v>
      </c>
      <c r="I519" s="10">
        <f>SUM($H$3:H519)</f>
        <v>0.52287755555673854</v>
      </c>
      <c r="J519" s="23">
        <v>1.2999999999999999E-3</v>
      </c>
      <c r="Q519" s="7">
        <f t="shared" si="33"/>
        <v>4.4000343419214794E-8</v>
      </c>
      <c r="R519" s="7">
        <f t="shared" si="32"/>
        <v>4.0264465204383374E-8</v>
      </c>
    </row>
    <row r="520" spans="1:18" x14ac:dyDescent="0.25">
      <c r="A520" s="22">
        <v>45327</v>
      </c>
      <c r="B520" s="12">
        <v>240.24</v>
      </c>
      <c r="C520" s="13">
        <v>-4.4000000000000003E-3</v>
      </c>
      <c r="D520" s="7">
        <v>442</v>
      </c>
      <c r="E520" s="7">
        <v>1.2999999999999999E-3</v>
      </c>
      <c r="F520" s="7">
        <v>693</v>
      </c>
      <c r="G520" s="8">
        <f t="shared" si="34"/>
        <v>6.8047448644687915E-10</v>
      </c>
      <c r="H520" s="9">
        <f t="shared" si="35"/>
        <v>2.0414234593410455E-11</v>
      </c>
      <c r="I520" s="10">
        <f>SUM($H$3:H520)</f>
        <v>0.52287755557715276</v>
      </c>
      <c r="J520" s="23">
        <v>1.2999999999999999E-3</v>
      </c>
      <c r="Q520" s="7">
        <f t="shared" si="33"/>
        <v>4.5361178782695662E-8</v>
      </c>
      <c r="R520" s="7">
        <f t="shared" si="32"/>
        <v>4.1509757942663269E-8</v>
      </c>
    </row>
    <row r="521" spans="1:18" x14ac:dyDescent="0.25">
      <c r="A521" s="22">
        <v>45328</v>
      </c>
      <c r="B521" s="12">
        <v>242.01</v>
      </c>
      <c r="C521" s="13">
        <v>7.4000000000000003E-3</v>
      </c>
      <c r="D521" s="7">
        <v>441</v>
      </c>
      <c r="E521" s="7">
        <v>1.2999999999999999E-3</v>
      </c>
      <c r="F521" s="7">
        <v>431</v>
      </c>
      <c r="G521" s="8">
        <f t="shared" si="34"/>
        <v>1.9889207044927685E-6</v>
      </c>
      <c r="H521" s="9">
        <f t="shared" si="35"/>
        <v>5.9667621134794974E-8</v>
      </c>
      <c r="I521" s="10">
        <f>SUM($H$3:H521)</f>
        <v>0.52287761524477394</v>
      </c>
      <c r="J521" s="23">
        <v>1.2999999999999999E-3</v>
      </c>
      <c r="Q521" s="7">
        <f t="shared" si="33"/>
        <v>4.676410183783058E-8</v>
      </c>
      <c r="R521" s="7">
        <f t="shared" si="32"/>
        <v>4.2793564889343579E-8</v>
      </c>
    </row>
    <row r="522" spans="1:18" x14ac:dyDescent="0.25">
      <c r="A522" s="22">
        <v>45329</v>
      </c>
      <c r="B522" s="12">
        <v>242.35</v>
      </c>
      <c r="C522" s="13">
        <v>1.4E-3</v>
      </c>
      <c r="D522" s="7">
        <v>440</v>
      </c>
      <c r="E522" s="7">
        <v>1.2999999999999999E-3</v>
      </c>
      <c r="F522" s="7">
        <v>354</v>
      </c>
      <c r="G522" s="8">
        <f t="shared" si="34"/>
        <v>2.0758402581117172E-5</v>
      </c>
      <c r="H522" s="9">
        <f t="shared" si="35"/>
        <v>6.2275207743363958E-7</v>
      </c>
      <c r="I522" s="10">
        <f>SUM($H$3:H522)</f>
        <v>0.5228782379968514</v>
      </c>
      <c r="J522" s="23">
        <v>1.2999999999999999E-3</v>
      </c>
      <c r="Q522" s="7">
        <f t="shared" si="33"/>
        <v>4.8210414265804728E-8</v>
      </c>
      <c r="R522" s="7">
        <f t="shared" si="32"/>
        <v>4.4117077205508846E-8</v>
      </c>
    </row>
    <row r="523" spans="1:18" x14ac:dyDescent="0.25">
      <c r="A523" s="22">
        <v>45330</v>
      </c>
      <c r="B523" s="12">
        <v>240.28</v>
      </c>
      <c r="C523" s="13">
        <v>-8.5000000000000006E-3</v>
      </c>
      <c r="D523" s="7">
        <v>439</v>
      </c>
      <c r="E523" s="7">
        <v>1.2999999999999999E-3</v>
      </c>
      <c r="F523" s="7">
        <v>351</v>
      </c>
      <c r="G523" s="8">
        <f t="shared" si="34"/>
        <v>2.2744622204357062E-5</v>
      </c>
      <c r="H523" s="9">
        <f t="shared" si="35"/>
        <v>6.8233866613084826E-7</v>
      </c>
      <c r="I523" s="10">
        <f>SUM($H$3:H523)</f>
        <v>0.52287892033551753</v>
      </c>
      <c r="J523" s="23">
        <v>1.2999999999999999E-3</v>
      </c>
      <c r="Q523" s="7">
        <f t="shared" si="33"/>
        <v>4.9701458005984258E-8</v>
      </c>
      <c r="R523" s="7">
        <f t="shared" si="32"/>
        <v>4.5481522892277169E-8</v>
      </c>
    </row>
    <row r="524" spans="1:18" x14ac:dyDescent="0.25">
      <c r="A524" s="22">
        <v>45331</v>
      </c>
      <c r="B524" s="12">
        <v>240.78</v>
      </c>
      <c r="C524" s="13">
        <v>2.0999999999999999E-3</v>
      </c>
      <c r="D524" s="7">
        <v>438</v>
      </c>
      <c r="E524" s="7">
        <v>1.2999999999999999E-3</v>
      </c>
      <c r="F524" s="7">
        <v>308</v>
      </c>
      <c r="G524" s="8">
        <f t="shared" si="34"/>
        <v>8.4274105977948219E-5</v>
      </c>
      <c r="H524" s="9">
        <f t="shared" si="35"/>
        <v>2.5282231793389518E-6</v>
      </c>
      <c r="I524" s="10">
        <f>SUM($H$3:H524)</f>
        <v>0.52288144855869689</v>
      </c>
      <c r="J524" s="23">
        <v>1.2999999999999999E-3</v>
      </c>
      <c r="Q524" s="7">
        <f t="shared" si="33"/>
        <v>5.1238616501014697E-8</v>
      </c>
      <c r="R524" s="7">
        <f t="shared" si="32"/>
        <v>4.6888167930182644E-8</v>
      </c>
    </row>
    <row r="525" spans="1:18" x14ac:dyDescent="0.25">
      <c r="A525" s="22">
        <v>45334</v>
      </c>
      <c r="B525" s="12">
        <v>239.32</v>
      </c>
      <c r="C525" s="13">
        <v>-6.1000000000000004E-3</v>
      </c>
      <c r="D525" s="7">
        <v>437</v>
      </c>
      <c r="E525" s="7">
        <v>1.2999999999999999E-3</v>
      </c>
      <c r="F525" s="7">
        <v>301</v>
      </c>
      <c r="G525" s="8">
        <f t="shared" si="34"/>
        <v>1.0430185061760411E-4</v>
      </c>
      <c r="H525" s="9">
        <f t="shared" si="35"/>
        <v>3.1290555185287485E-6</v>
      </c>
      <c r="I525" s="10">
        <f>SUM($H$3:H525)</f>
        <v>0.52288457761421547</v>
      </c>
      <c r="J525" s="23">
        <v>1.2999999999999999E-3</v>
      </c>
      <c r="Q525" s="7">
        <f t="shared" si="33"/>
        <v>5.2823315980427528E-8</v>
      </c>
      <c r="R525" s="7">
        <f t="shared" si="32"/>
        <v>4.8338317453796543E-8</v>
      </c>
    </row>
    <row r="526" spans="1:18" x14ac:dyDescent="0.25">
      <c r="A526" s="22">
        <v>45335</v>
      </c>
      <c r="B526" s="12">
        <v>240.59</v>
      </c>
      <c r="C526" s="13">
        <v>5.3E-3</v>
      </c>
      <c r="D526" s="7">
        <v>436</v>
      </c>
      <c r="E526" s="7">
        <v>1.2999999999999999E-3</v>
      </c>
      <c r="F526" s="7">
        <v>169</v>
      </c>
      <c r="G526" s="8">
        <f t="shared" si="34"/>
        <v>5.8133047565315562E-3</v>
      </c>
      <c r="H526" s="9">
        <f t="shared" si="35"/>
        <v>1.7439914269598155E-4</v>
      </c>
      <c r="I526" s="10">
        <f>SUM($H$3:H526)</f>
        <v>0.52305897675691149</v>
      </c>
      <c r="J526" s="23">
        <v>1.2999999999999999E-3</v>
      </c>
      <c r="Q526" s="7">
        <f t="shared" si="33"/>
        <v>5.4457026783945891E-8</v>
      </c>
      <c r="R526" s="7">
        <f t="shared" si="32"/>
        <v>4.9833316962676835E-8</v>
      </c>
    </row>
    <row r="527" spans="1:18" x14ac:dyDescent="0.25">
      <c r="A527" s="22">
        <v>45336</v>
      </c>
      <c r="B527" s="12">
        <v>241.55</v>
      </c>
      <c r="C527" s="13">
        <v>4.0000000000000001E-3</v>
      </c>
      <c r="D527" s="7">
        <v>435</v>
      </c>
      <c r="E527" s="7">
        <v>1.2999999999999999E-3</v>
      </c>
      <c r="F527" s="7">
        <v>144</v>
      </c>
      <c r="G527" s="8">
        <f t="shared" si="34"/>
        <v>1.2448864341302844E-2</v>
      </c>
      <c r="H527" s="9">
        <f t="shared" si="35"/>
        <v>3.7346593023915997E-4</v>
      </c>
      <c r="I527" s="10">
        <f>SUM($H$3:H527)</f>
        <v>0.52343244268715061</v>
      </c>
      <c r="J527" s="23">
        <v>1.2999999999999999E-3</v>
      </c>
      <c r="Q527" s="7">
        <f t="shared" si="33"/>
        <v>5.6141264725717419E-8</v>
      </c>
      <c r="R527" s="7">
        <f t="shared" si="32"/>
        <v>5.1374553569769942E-8</v>
      </c>
    </row>
    <row r="528" spans="1:18" x14ac:dyDescent="0.25">
      <c r="A528" s="22">
        <v>45337</v>
      </c>
      <c r="B528" s="12">
        <v>242.72</v>
      </c>
      <c r="C528" s="13">
        <v>4.7999999999999996E-3</v>
      </c>
      <c r="D528" s="7">
        <v>434</v>
      </c>
      <c r="E528" s="7">
        <v>1.4E-3</v>
      </c>
      <c r="F528" s="7">
        <v>740</v>
      </c>
      <c r="G528" s="8">
        <f t="shared" si="34"/>
        <v>1.6258607880519423E-10</v>
      </c>
      <c r="H528" s="9">
        <f t="shared" si="35"/>
        <v>4.8775823641568016E-12</v>
      </c>
      <c r="I528" s="10">
        <f>SUM($H$3:H528)</f>
        <v>0.52343244269202815</v>
      </c>
      <c r="J528" s="23">
        <v>1.4E-3</v>
      </c>
      <c r="Q528" s="7">
        <f t="shared" si="33"/>
        <v>5.7877592500739613E-8</v>
      </c>
      <c r="R528" s="7">
        <f t="shared" si="32"/>
        <v>5.2963457288422626E-8</v>
      </c>
    </row>
    <row r="529" spans="1:18" x14ac:dyDescent="0.25">
      <c r="A529" s="22">
        <v>45338</v>
      </c>
      <c r="B529" s="12">
        <v>243.99</v>
      </c>
      <c r="C529" s="13">
        <v>5.1999999999999998E-3</v>
      </c>
      <c r="D529" s="7">
        <v>433</v>
      </c>
      <c r="E529" s="7">
        <v>1.4E-3</v>
      </c>
      <c r="F529" s="7">
        <v>680</v>
      </c>
      <c r="G529" s="8">
        <f t="shared" si="34"/>
        <v>1.0110655223097664E-9</v>
      </c>
      <c r="H529" s="9">
        <f t="shared" si="35"/>
        <v>3.0331965669299057E-11</v>
      </c>
      <c r="I529" s="10">
        <f>SUM($H$3:H529)</f>
        <v>0.52343244272236011</v>
      </c>
      <c r="J529" s="23">
        <v>1.4E-3</v>
      </c>
      <c r="Q529" s="7">
        <f t="shared" si="33"/>
        <v>5.9667621134783102E-8</v>
      </c>
      <c r="R529" s="7">
        <f t="shared" si="32"/>
        <v>5.4601502359198577E-8</v>
      </c>
    </row>
    <row r="530" spans="1:18" x14ac:dyDescent="0.25">
      <c r="A530" s="22">
        <v>45341</v>
      </c>
      <c r="B530" s="12">
        <v>245.04</v>
      </c>
      <c r="C530" s="13">
        <v>4.3E-3</v>
      </c>
      <c r="D530" s="7">
        <v>432</v>
      </c>
      <c r="E530" s="7">
        <v>1.4E-3</v>
      </c>
      <c r="F530" s="7">
        <v>618</v>
      </c>
      <c r="G530" s="8">
        <f t="shared" si="34"/>
        <v>6.6823893545240451E-9</v>
      </c>
      <c r="H530" s="9">
        <f t="shared" si="35"/>
        <v>2.0047168063576142E-10</v>
      </c>
      <c r="I530" s="10">
        <f>SUM($H$3:H530)</f>
        <v>0.52343244292283175</v>
      </c>
      <c r="J530" s="23">
        <v>1.4E-3</v>
      </c>
      <c r="Q530" s="7">
        <f t="shared" si="33"/>
        <v>6.1513011479157833E-8</v>
      </c>
      <c r="R530" s="7">
        <f t="shared" si="32"/>
        <v>5.6290208617730491E-8</v>
      </c>
    </row>
    <row r="531" spans="1:18" x14ac:dyDescent="0.25">
      <c r="A531" s="22">
        <v>45342</v>
      </c>
      <c r="B531" s="12">
        <v>245.37</v>
      </c>
      <c r="C531" s="13">
        <v>1.2999999999999999E-3</v>
      </c>
      <c r="D531" s="7">
        <v>431</v>
      </c>
      <c r="E531" s="7">
        <v>1.4E-3</v>
      </c>
      <c r="F531" s="7">
        <v>550</v>
      </c>
      <c r="G531" s="8">
        <f t="shared" si="34"/>
        <v>5.302172421170377E-8</v>
      </c>
      <c r="H531" s="9">
        <f t="shared" si="35"/>
        <v>1.5906517263514309E-9</v>
      </c>
      <c r="I531" s="10">
        <f>SUM($H$3:H531)</f>
        <v>0.52343244451348347</v>
      </c>
      <c r="J531" s="23">
        <v>1.4E-3</v>
      </c>
      <c r="Q531" s="7">
        <f t="shared" si="33"/>
        <v>6.3415475751709122E-8</v>
      </c>
      <c r="R531" s="7">
        <f t="shared" si="32"/>
        <v>5.8031142904876805E-8</v>
      </c>
    </row>
    <row r="532" spans="1:18" x14ac:dyDescent="0.25">
      <c r="A532" s="22">
        <v>45343</v>
      </c>
      <c r="B532" s="12">
        <v>243.87</v>
      </c>
      <c r="C532" s="13">
        <v>-6.1000000000000004E-3</v>
      </c>
      <c r="D532" s="7">
        <v>430</v>
      </c>
      <c r="E532" s="7">
        <v>1.4E-3</v>
      </c>
      <c r="F532" s="7">
        <v>440</v>
      </c>
      <c r="G532" s="8">
        <f t="shared" si="34"/>
        <v>1.5120392927565208E-6</v>
      </c>
      <c r="H532" s="9">
        <f t="shared" si="35"/>
        <v>4.5361178782704688E-8</v>
      </c>
      <c r="I532" s="10">
        <f>SUM($H$3:H532)</f>
        <v>0.52343248987466229</v>
      </c>
      <c r="J532" s="23">
        <v>1.4E-3</v>
      </c>
      <c r="Q532" s="7">
        <f t="shared" si="33"/>
        <v>6.5376779125473316E-8</v>
      </c>
      <c r="R532" s="7">
        <f t="shared" si="32"/>
        <v>5.9825920520491552E-8</v>
      </c>
    </row>
    <row r="533" spans="1:18" x14ac:dyDescent="0.25">
      <c r="A533" s="22">
        <v>45344</v>
      </c>
      <c r="B533" s="12">
        <v>245.79</v>
      </c>
      <c r="C533" s="13">
        <v>7.9000000000000008E-3</v>
      </c>
      <c r="D533" s="7">
        <v>429</v>
      </c>
      <c r="E533" s="7">
        <v>1.4E-3</v>
      </c>
      <c r="F533" s="7">
        <v>282</v>
      </c>
      <c r="G533" s="8">
        <f t="shared" si="34"/>
        <v>1.8604973813180081E-4</v>
      </c>
      <c r="H533" s="9">
        <f t="shared" si="35"/>
        <v>5.5814921439551396E-6</v>
      </c>
      <c r="I533" s="10">
        <f>SUM($H$3:H533)</f>
        <v>0.5234380713668062</v>
      </c>
      <c r="J533" s="23">
        <v>1.4E-3</v>
      </c>
      <c r="Q533" s="7">
        <f t="shared" si="33"/>
        <v>6.7398741366467343E-8</v>
      </c>
      <c r="R533" s="7">
        <f t="shared" si="32"/>
        <v>6.1676206722156238E-8</v>
      </c>
    </row>
    <row r="534" spans="1:18" x14ac:dyDescent="0.25">
      <c r="A534" s="22">
        <v>45345</v>
      </c>
      <c r="B534" s="12">
        <v>245.69</v>
      </c>
      <c r="C534" s="13">
        <v>-4.0000000000000002E-4</v>
      </c>
      <c r="D534" s="7">
        <v>428</v>
      </c>
      <c r="E534" s="7">
        <v>1.4E-3</v>
      </c>
      <c r="F534" s="7">
        <v>50</v>
      </c>
      <c r="G534" s="8">
        <f t="shared" si="34"/>
        <v>0.21806537534740747</v>
      </c>
      <c r="H534" s="9">
        <f t="shared" si="35"/>
        <v>6.5419612604235315E-3</v>
      </c>
      <c r="I534" s="10">
        <f>SUM($H$3:H534)</f>
        <v>0.5299800326272297</v>
      </c>
      <c r="J534" s="23">
        <v>1.4E-3</v>
      </c>
      <c r="Q534" s="7">
        <f t="shared" si="33"/>
        <v>6.9483238522131283E-8</v>
      </c>
      <c r="R534" s="7">
        <f t="shared" si="32"/>
        <v>6.3583718270264171E-8</v>
      </c>
    </row>
    <row r="535" spans="1:18" x14ac:dyDescent="0.25">
      <c r="A535" s="22">
        <v>45348</v>
      </c>
      <c r="B535" s="12">
        <v>244.87</v>
      </c>
      <c r="C535" s="13">
        <v>-3.3E-3</v>
      </c>
      <c r="D535" s="7">
        <v>427</v>
      </c>
      <c r="E535" s="7">
        <v>1.4E-3</v>
      </c>
      <c r="F535" s="7">
        <v>48</v>
      </c>
      <c r="G535" s="8">
        <f t="shared" si="34"/>
        <v>0.2317625415532017</v>
      </c>
      <c r="H535" s="9">
        <f t="shared" si="35"/>
        <v>6.9528762465974406E-3</v>
      </c>
      <c r="I535" s="10">
        <f>SUM($H$3:H535)</f>
        <v>0.53693290887382716</v>
      </c>
      <c r="J535" s="23">
        <v>1.4E-3</v>
      </c>
      <c r="Q535" s="7">
        <f t="shared" si="33"/>
        <v>7.1632204661991004E-8</v>
      </c>
      <c r="R535" s="7">
        <f t="shared" si="32"/>
        <v>6.5550225020890887E-8</v>
      </c>
    </row>
    <row r="536" spans="1:18" x14ac:dyDescent="0.25">
      <c r="A536" s="22">
        <v>45349</v>
      </c>
      <c r="B536" s="12">
        <v>245.5</v>
      </c>
      <c r="C536" s="13">
        <v>2.5999999999999999E-3</v>
      </c>
      <c r="D536" s="7">
        <v>426</v>
      </c>
      <c r="E536" s="7">
        <v>1.5E-3</v>
      </c>
      <c r="F536" s="7">
        <v>627</v>
      </c>
      <c r="G536" s="8">
        <f t="shared" si="34"/>
        <v>5.0801599333318114E-9</v>
      </c>
      <c r="H536" s="9">
        <f t="shared" si="35"/>
        <v>1.524047979999848E-10</v>
      </c>
      <c r="I536" s="10">
        <f>SUM($H$3:H536)</f>
        <v>0.53693290902623192</v>
      </c>
      <c r="J536" s="23">
        <v>1.5E-3</v>
      </c>
      <c r="Q536" s="7">
        <f t="shared" si="33"/>
        <v>7.3847633672155682E-8</v>
      </c>
      <c r="R536" s="7">
        <f t="shared" si="32"/>
        <v>6.7577551567928759E-8</v>
      </c>
    </row>
    <row r="537" spans="1:18" x14ac:dyDescent="0.25">
      <c r="A537" s="22">
        <v>45350</v>
      </c>
      <c r="B537" s="12">
        <v>243.07</v>
      </c>
      <c r="C537" s="13">
        <v>-9.9000000000000008E-3</v>
      </c>
      <c r="D537" s="7">
        <v>425</v>
      </c>
      <c r="E537" s="7">
        <v>1.5E-3</v>
      </c>
      <c r="F537" s="7">
        <v>324</v>
      </c>
      <c r="G537" s="8">
        <f t="shared" si="34"/>
        <v>5.1765677489256254E-5</v>
      </c>
      <c r="H537" s="9">
        <f t="shared" si="35"/>
        <v>1.5529703246779981E-6</v>
      </c>
      <c r="I537" s="10">
        <f>SUM($H$3:H537)</f>
        <v>0.53693446199655659</v>
      </c>
      <c r="J537" s="23">
        <v>1.5E-3</v>
      </c>
      <c r="Q537" s="7">
        <f t="shared" si="33"/>
        <v>7.6131581105315139E-8</v>
      </c>
      <c r="R537" s="7">
        <f t="shared" si="32"/>
        <v>6.9667578936009024E-8</v>
      </c>
    </row>
    <row r="538" spans="1:18" x14ac:dyDescent="0.25">
      <c r="A538" s="22">
        <v>45351</v>
      </c>
      <c r="B538" s="12">
        <v>243.25</v>
      </c>
      <c r="C538" s="13">
        <v>6.9999999999999999E-4</v>
      </c>
      <c r="D538" s="7">
        <v>424</v>
      </c>
      <c r="E538" s="7">
        <v>1.5E-3</v>
      </c>
      <c r="F538" s="7">
        <v>2</v>
      </c>
      <c r="G538" s="8">
        <f t="shared" si="34"/>
        <v>0.94089999999999996</v>
      </c>
      <c r="H538" s="9">
        <f t="shared" si="35"/>
        <v>2.822700000000564E-2</v>
      </c>
      <c r="I538" s="10">
        <f>SUM($H$3:H538)</f>
        <v>0.56516146199656225</v>
      </c>
      <c r="J538" s="23">
        <v>1.5E-3</v>
      </c>
      <c r="Q538" s="7">
        <f t="shared" si="33"/>
        <v>7.8486166087953743E-8</v>
      </c>
      <c r="R538" s="7">
        <f t="shared" si="32"/>
        <v>7.1822246325782502E-8</v>
      </c>
    </row>
    <row r="539" spans="1:18" x14ac:dyDescent="0.25">
      <c r="A539" s="22">
        <v>45352</v>
      </c>
      <c r="B539" s="12">
        <v>246.85</v>
      </c>
      <c r="C539" s="13">
        <v>1.4800000000000001E-2</v>
      </c>
      <c r="D539" s="7">
        <v>423</v>
      </c>
      <c r="E539" s="7">
        <v>1.6000000000000001E-3</v>
      </c>
      <c r="F539" s="7">
        <v>502</v>
      </c>
      <c r="G539" s="8">
        <f t="shared" si="34"/>
        <v>2.2877607337392996E-7</v>
      </c>
      <c r="H539" s="9">
        <f t="shared" si="35"/>
        <v>6.8632822012192706E-9</v>
      </c>
      <c r="I539" s="10">
        <f>SUM($H$3:H539)</f>
        <v>0.56516146885984442</v>
      </c>
      <c r="J539" s="23">
        <v>1.6000000000000001E-3</v>
      </c>
      <c r="Q539" s="7">
        <f t="shared" si="33"/>
        <v>8.0913573286550259E-8</v>
      </c>
      <c r="R539" s="7">
        <f t="shared" si="32"/>
        <v>7.4043552913177843E-8</v>
      </c>
    </row>
    <row r="540" spans="1:18" x14ac:dyDescent="0.25">
      <c r="A540" s="22">
        <v>45353</v>
      </c>
      <c r="B540" s="12">
        <v>247.31</v>
      </c>
      <c r="C540" s="13">
        <v>1.9E-3</v>
      </c>
      <c r="D540" s="7">
        <v>422</v>
      </c>
      <c r="E540" s="7">
        <v>1.6000000000000001E-3</v>
      </c>
      <c r="F540" s="7">
        <v>237</v>
      </c>
      <c r="G540" s="8">
        <f t="shared" si="34"/>
        <v>7.326575360798172E-4</v>
      </c>
      <c r="H540" s="9">
        <f t="shared" si="35"/>
        <v>2.1979726082398908E-5</v>
      </c>
      <c r="I540" s="10">
        <f>SUM($H$3:H540)</f>
        <v>0.56518344858592684</v>
      </c>
      <c r="J540" s="23">
        <v>1.6000000000000001E-3</v>
      </c>
      <c r="Q540" s="7">
        <f t="shared" si="33"/>
        <v>8.3416054934587905E-8</v>
      </c>
      <c r="R540" s="7">
        <f t="shared" si="32"/>
        <v>7.6333559704307064E-8</v>
      </c>
    </row>
    <row r="541" spans="1:18" x14ac:dyDescent="0.25">
      <c r="A541" s="22">
        <v>45355</v>
      </c>
      <c r="B541" s="12">
        <v>247.83</v>
      </c>
      <c r="C541" s="13">
        <v>2.0999999999999999E-3</v>
      </c>
      <c r="D541" s="7">
        <v>421</v>
      </c>
      <c r="E541" s="7">
        <v>1.6999999999999999E-3</v>
      </c>
      <c r="F541" s="7">
        <v>954</v>
      </c>
      <c r="G541" s="8">
        <f t="shared" si="34"/>
        <v>2.4001284782149175E-13</v>
      </c>
      <c r="H541" s="9">
        <f t="shared" si="35"/>
        <v>7.2003854346461922E-15</v>
      </c>
      <c r="I541" s="10">
        <f>SUM($H$3:H541)</f>
        <v>0.56518344858593406</v>
      </c>
      <c r="J541" s="23">
        <v>1.6999999999999999E-3</v>
      </c>
      <c r="Q541" s="7">
        <f t="shared" si="33"/>
        <v>8.5995932922255564E-8</v>
      </c>
      <c r="R541" s="7">
        <f t="shared" si="32"/>
        <v>7.8694391447739226E-8</v>
      </c>
    </row>
    <row r="542" spans="1:18" x14ac:dyDescent="0.25">
      <c r="A542" s="22">
        <v>45356</v>
      </c>
      <c r="B542" s="12">
        <v>247.34</v>
      </c>
      <c r="C542" s="13">
        <v>-2E-3</v>
      </c>
      <c r="D542" s="7">
        <v>420</v>
      </c>
      <c r="E542" s="7">
        <v>1.6999999999999999E-3</v>
      </c>
      <c r="F542" s="7">
        <v>711</v>
      </c>
      <c r="G542" s="8">
        <f t="shared" si="34"/>
        <v>3.9328108857030109E-10</v>
      </c>
      <c r="H542" s="9">
        <f t="shared" si="35"/>
        <v>1.179843265711139E-11</v>
      </c>
      <c r="I542" s="10">
        <f>SUM($H$3:H542)</f>
        <v>0.56518344859773251</v>
      </c>
      <c r="J542" s="23">
        <v>1.6999999999999999E-3</v>
      </c>
      <c r="Q542" s="7">
        <f t="shared" si="33"/>
        <v>8.8655600950778921E-8</v>
      </c>
      <c r="R542" s="7">
        <f t="shared" si="32"/>
        <v>8.1128238605916721E-8</v>
      </c>
    </row>
    <row r="543" spans="1:18" x14ac:dyDescent="0.25">
      <c r="A543" s="22">
        <v>45357</v>
      </c>
      <c r="B543" s="12">
        <v>248.62</v>
      </c>
      <c r="C543" s="13">
        <v>5.1999999999999998E-3</v>
      </c>
      <c r="D543" s="7">
        <v>419</v>
      </c>
      <c r="E543" s="7">
        <v>1.6999999999999999E-3</v>
      </c>
      <c r="F543" s="7">
        <v>667</v>
      </c>
      <c r="G543" s="8">
        <f t="shared" si="34"/>
        <v>1.5022657142389753E-9</v>
      </c>
      <c r="H543" s="9">
        <f t="shared" si="35"/>
        <v>4.5067971427178264E-11</v>
      </c>
      <c r="I543" s="10">
        <f>SUM($H$3:H543)</f>
        <v>0.56518344864280046</v>
      </c>
      <c r="J543" s="23">
        <v>1.6999999999999999E-3</v>
      </c>
      <c r="Q543" s="7">
        <f t="shared" si="33"/>
        <v>9.1397526753380336E-8</v>
      </c>
      <c r="R543" s="7">
        <f t="shared" si="32"/>
        <v>8.3637359387543013E-8</v>
      </c>
    </row>
    <row r="544" spans="1:18" x14ac:dyDescent="0.25">
      <c r="A544" s="22">
        <v>45358</v>
      </c>
      <c r="B544" s="12">
        <v>248.67</v>
      </c>
      <c r="C544" s="13">
        <v>2.0000000000000001E-4</v>
      </c>
      <c r="D544" s="7">
        <v>418</v>
      </c>
      <c r="E544" s="7">
        <v>1.6999999999999999E-3</v>
      </c>
      <c r="F544" s="7">
        <v>333</v>
      </c>
      <c r="G544" s="8">
        <f t="shared" si="34"/>
        <v>3.9353875799628065E-5</v>
      </c>
      <c r="H544" s="9">
        <f t="shared" si="35"/>
        <v>1.1806162739890779E-6</v>
      </c>
      <c r="I544" s="10">
        <f>SUM($H$3:H544)</f>
        <v>0.56518462925907442</v>
      </c>
      <c r="J544" s="23">
        <v>1.6999999999999999E-3</v>
      </c>
      <c r="Q544" s="7">
        <f t="shared" si="33"/>
        <v>9.4224254384928186E-8</v>
      </c>
      <c r="R544" s="7">
        <f t="shared" si="32"/>
        <v>8.622408184282786E-8</v>
      </c>
    </row>
    <row r="545" spans="1:18" x14ac:dyDescent="0.25">
      <c r="A545" s="22">
        <v>45362</v>
      </c>
      <c r="B545" s="12">
        <v>247.45</v>
      </c>
      <c r="C545" s="13">
        <v>-4.8999999999999998E-3</v>
      </c>
      <c r="D545" s="7">
        <v>417</v>
      </c>
      <c r="E545" s="7">
        <v>1.6999999999999999E-3</v>
      </c>
      <c r="F545" s="7">
        <v>292</v>
      </c>
      <c r="G545" s="8">
        <f t="shared" si="34"/>
        <v>1.3719756570087322E-4</v>
      </c>
      <c r="H545" s="9">
        <f t="shared" si="35"/>
        <v>4.115926971027019E-6</v>
      </c>
      <c r="I545" s="10">
        <f>SUM($H$3:H545)</f>
        <v>0.56518874518604545</v>
      </c>
      <c r="J545" s="23">
        <v>1.6999999999999999E-3</v>
      </c>
      <c r="Q545" s="7">
        <f t="shared" si="33"/>
        <v>9.7138406582400184E-8</v>
      </c>
      <c r="R545" s="7">
        <f t="shared" si="32"/>
        <v>8.8890806023533867E-8</v>
      </c>
    </row>
    <row r="546" spans="1:18" x14ac:dyDescent="0.25">
      <c r="A546" s="22">
        <v>45363</v>
      </c>
      <c r="B546" s="12">
        <v>247.42</v>
      </c>
      <c r="C546" s="13">
        <v>-1E-4</v>
      </c>
      <c r="D546" s="7">
        <v>416</v>
      </c>
      <c r="E546" s="7">
        <v>1.6999999999999999E-3</v>
      </c>
      <c r="F546" s="7">
        <v>109</v>
      </c>
      <c r="G546" s="8">
        <f t="shared" si="34"/>
        <v>3.6150893441810779E-2</v>
      </c>
      <c r="H546" s="9">
        <f t="shared" si="35"/>
        <v>1.0845268032545401E-3</v>
      </c>
      <c r="I546" s="10">
        <f>SUM($H$3:H546)</f>
        <v>0.5662732719893</v>
      </c>
      <c r="J546" s="23">
        <v>1.6999999999999999E-3</v>
      </c>
      <c r="Q546" s="7">
        <f t="shared" si="33"/>
        <v>1.001426871983507E-7</v>
      </c>
      <c r="R546" s="7">
        <f t="shared" si="32"/>
        <v>9.1640006209828723E-8</v>
      </c>
    </row>
    <row r="547" spans="1:18" x14ac:dyDescent="0.25">
      <c r="A547" s="22">
        <v>45364</v>
      </c>
      <c r="B547" s="12">
        <v>243.71</v>
      </c>
      <c r="C547" s="13">
        <v>-1.4999999999999999E-2</v>
      </c>
      <c r="D547" s="7">
        <v>415</v>
      </c>
      <c r="E547" s="7">
        <v>1.8E-3</v>
      </c>
      <c r="F547" s="7">
        <v>951</v>
      </c>
      <c r="G547" s="8">
        <f t="shared" si="34"/>
        <v>2.6297792070269607E-13</v>
      </c>
      <c r="H547" s="9">
        <f t="shared" si="35"/>
        <v>7.8893376210824585E-15</v>
      </c>
      <c r="I547" s="10">
        <f>SUM($H$3:H547)</f>
        <v>0.56627327198930788</v>
      </c>
      <c r="J547" s="23">
        <v>1.8E-3</v>
      </c>
      <c r="Q547" s="7">
        <f t="shared" si="33"/>
        <v>1.032398837096399E-7</v>
      </c>
      <c r="R547" s="7">
        <f t="shared" si="32"/>
        <v>9.4474233206009002E-8</v>
      </c>
    </row>
    <row r="548" spans="1:18" x14ac:dyDescent="0.25">
      <c r="A548" s="22">
        <v>45365</v>
      </c>
      <c r="B548" s="12">
        <v>245.39</v>
      </c>
      <c r="C548" s="13">
        <v>6.8999999999999999E-3</v>
      </c>
      <c r="D548" s="7">
        <v>414</v>
      </c>
      <c r="E548" s="7">
        <v>1.8E-3</v>
      </c>
      <c r="F548" s="7">
        <v>913</v>
      </c>
      <c r="G548" s="8">
        <f t="shared" si="34"/>
        <v>8.3674549936842586E-13</v>
      </c>
      <c r="H548" s="9">
        <f t="shared" si="35"/>
        <v>2.5102364981057795E-14</v>
      </c>
      <c r="I548" s="10">
        <f>SUM($H$3:H548)</f>
        <v>0.56627327198933297</v>
      </c>
      <c r="J548" s="23">
        <v>1.8E-3</v>
      </c>
      <c r="Q548" s="7">
        <f t="shared" si="33"/>
        <v>1.0643286980375249E-7</v>
      </c>
      <c r="R548" s="7">
        <f t="shared" si="32"/>
        <v>9.7396116707225783E-8</v>
      </c>
    </row>
    <row r="549" spans="1:18" x14ac:dyDescent="0.25">
      <c r="A549" s="22">
        <v>45366</v>
      </c>
      <c r="B549" s="12">
        <v>243.8</v>
      </c>
      <c r="C549" s="13">
        <v>-6.4999999999999997E-3</v>
      </c>
      <c r="D549" s="7">
        <v>413</v>
      </c>
      <c r="E549" s="7">
        <v>1.8E-3</v>
      </c>
      <c r="F549" s="7">
        <v>685</v>
      </c>
      <c r="G549" s="8">
        <f t="shared" si="34"/>
        <v>8.6823636621953888E-10</v>
      </c>
      <c r="H549" s="9">
        <f t="shared" si="35"/>
        <v>2.6047090986591374E-11</v>
      </c>
      <c r="I549" s="10">
        <f>SUM($H$3:H549)</f>
        <v>0.56627327201538002</v>
      </c>
      <c r="J549" s="23">
        <v>1.8E-3</v>
      </c>
      <c r="Q549" s="7">
        <f t="shared" si="33"/>
        <v>1.0972460804510566E-7</v>
      </c>
      <c r="R549" s="7">
        <f t="shared" si="32"/>
        <v>1.0040836773940803E-7</v>
      </c>
    </row>
    <row r="550" spans="1:18" x14ac:dyDescent="0.25">
      <c r="A550" s="22">
        <v>45369</v>
      </c>
      <c r="B550" s="12">
        <v>243.98</v>
      </c>
      <c r="C550" s="13">
        <v>6.9999999999999999E-4</v>
      </c>
      <c r="D550" s="7">
        <v>412</v>
      </c>
      <c r="E550" s="7">
        <v>1.8E-3</v>
      </c>
      <c r="F550" s="7">
        <v>626</v>
      </c>
      <c r="G550" s="8">
        <f t="shared" si="34"/>
        <v>5.2372782817853731E-9</v>
      </c>
      <c r="H550" s="9">
        <f t="shared" si="35"/>
        <v>1.571183484535926E-10</v>
      </c>
      <c r="I550" s="10">
        <f>SUM($H$3:H550)</f>
        <v>0.56627327217249834</v>
      </c>
      <c r="J550" s="23">
        <v>1.8E-3</v>
      </c>
      <c r="Q550" s="7">
        <f t="shared" si="33"/>
        <v>1.1311815262382027E-7</v>
      </c>
      <c r="R550" s="7">
        <f t="shared" si="32"/>
        <v>1.0351378117464746E-7</v>
      </c>
    </row>
    <row r="551" spans="1:18" x14ac:dyDescent="0.25">
      <c r="A551" s="22">
        <v>45370</v>
      </c>
      <c r="B551" s="12">
        <v>241.6</v>
      </c>
      <c r="C551" s="13">
        <v>-9.7999999999999997E-3</v>
      </c>
      <c r="D551" s="7">
        <v>411</v>
      </c>
      <c r="E551" s="7">
        <v>1.8E-3</v>
      </c>
      <c r="F551" s="7">
        <v>597</v>
      </c>
      <c r="G551" s="8">
        <f t="shared" si="34"/>
        <v>1.2668504701894221E-8</v>
      </c>
      <c r="H551" s="9">
        <f t="shared" si="35"/>
        <v>3.8005514105690257E-10</v>
      </c>
      <c r="I551" s="10">
        <f>SUM($H$3:H551)</f>
        <v>0.56627327255255344</v>
      </c>
      <c r="J551" s="23">
        <v>1.8E-3</v>
      </c>
      <c r="Q551" s="7">
        <f t="shared" si="33"/>
        <v>1.1661665218950542E-7</v>
      </c>
      <c r="R551" s="7">
        <f t="shared" si="32"/>
        <v>1.067152383243788E-7</v>
      </c>
    </row>
    <row r="552" spans="1:18" x14ac:dyDescent="0.25">
      <c r="A552" s="22">
        <v>45371</v>
      </c>
      <c r="B552" s="12">
        <v>241.58</v>
      </c>
      <c r="C552" s="13">
        <v>-1E-4</v>
      </c>
      <c r="D552" s="7">
        <v>410</v>
      </c>
      <c r="E552" s="7">
        <v>1.8E-3</v>
      </c>
      <c r="F552" s="7">
        <v>549</v>
      </c>
      <c r="G552" s="8">
        <f t="shared" si="34"/>
        <v>5.4661571352271926E-8</v>
      </c>
      <c r="H552" s="9">
        <f t="shared" si="35"/>
        <v>1.6398471405684856E-9</v>
      </c>
      <c r="I552" s="10">
        <f>SUM($H$3:H552)</f>
        <v>0.56627327419240059</v>
      </c>
      <c r="J552" s="23">
        <v>1.8E-3</v>
      </c>
      <c r="Q552" s="7">
        <f t="shared" si="33"/>
        <v>1.2022335277268599E-7</v>
      </c>
      <c r="R552" s="7">
        <f t="shared" si="32"/>
        <v>1.1001570961276165E-7</v>
      </c>
    </row>
    <row r="553" spans="1:18" x14ac:dyDescent="0.25">
      <c r="A553" s="22">
        <v>45372</v>
      </c>
      <c r="B553" s="12">
        <v>243.99</v>
      </c>
      <c r="C553" s="13">
        <v>0.01</v>
      </c>
      <c r="D553" s="7">
        <v>409</v>
      </c>
      <c r="E553" s="7">
        <v>1.8E-3</v>
      </c>
      <c r="F553" s="7">
        <v>544</v>
      </c>
      <c r="G553" s="8">
        <f t="shared" si="34"/>
        <v>6.3653668908384479E-8</v>
      </c>
      <c r="H553" s="9">
        <f t="shared" si="35"/>
        <v>1.9096100672519158E-9</v>
      </c>
      <c r="I553" s="10">
        <f>SUM($H$3:H553)</f>
        <v>0.56627327610201061</v>
      </c>
      <c r="J553" s="23">
        <v>1.8E-3</v>
      </c>
      <c r="Q553" s="7">
        <f t="shared" si="33"/>
        <v>1.2394160079658352E-7</v>
      </c>
      <c r="R553" s="7">
        <f t="shared" si="32"/>
        <v>1.1341825733274399E-7</v>
      </c>
    </row>
    <row r="554" spans="1:18" x14ac:dyDescent="0.25">
      <c r="A554" s="22">
        <v>45373</v>
      </c>
      <c r="B554" s="12">
        <v>244.74</v>
      </c>
      <c r="C554" s="13">
        <v>3.0999999999999999E-3</v>
      </c>
      <c r="D554" s="7">
        <v>408</v>
      </c>
      <c r="E554" s="7">
        <v>1.8E-3</v>
      </c>
      <c r="F554" s="7">
        <v>462</v>
      </c>
      <c r="G554" s="8">
        <f t="shared" si="34"/>
        <v>7.7364412343523397E-7</v>
      </c>
      <c r="H554" s="9">
        <f t="shared" si="35"/>
        <v>2.3209323703061659E-8</v>
      </c>
      <c r="I554" s="10">
        <f>SUM($H$3:H554)</f>
        <v>0.5662732993113343</v>
      </c>
      <c r="J554" s="23">
        <v>1.8E-3</v>
      </c>
      <c r="Q554" s="7">
        <f t="shared" si="33"/>
        <v>1.2777484618204487E-7</v>
      </c>
      <c r="R554" s="7">
        <f t="shared" si="32"/>
        <v>1.1692603848736493E-7</v>
      </c>
    </row>
    <row r="555" spans="1:18" x14ac:dyDescent="0.25">
      <c r="A555" s="22">
        <v>45377</v>
      </c>
      <c r="B555" s="12">
        <v>243.79</v>
      </c>
      <c r="C555" s="13">
        <v>-3.8999999999999998E-3</v>
      </c>
      <c r="D555" s="7">
        <v>407</v>
      </c>
      <c r="E555" s="7">
        <v>1.8E-3</v>
      </c>
      <c r="F555" s="7">
        <v>17</v>
      </c>
      <c r="G555" s="8">
        <f t="shared" si="34"/>
        <v>0.595826043858805</v>
      </c>
      <c r="H555" s="9">
        <f t="shared" si="35"/>
        <v>1.7874781315767724E-2</v>
      </c>
      <c r="I555" s="10">
        <f>SUM($H$3:H555)</f>
        <v>0.584148080627102</v>
      </c>
      <c r="J555" s="23">
        <v>1.8E-3</v>
      </c>
      <c r="Q555" s="7">
        <f t="shared" si="33"/>
        <v>1.3172664554849987E-7</v>
      </c>
      <c r="R555" s="7">
        <f t="shared" si="32"/>
        <v>1.2054230771893292E-7</v>
      </c>
    </row>
    <row r="556" spans="1:18" x14ac:dyDescent="0.25">
      <c r="A556" s="22">
        <v>45378</v>
      </c>
      <c r="B556" s="12">
        <v>244.96</v>
      </c>
      <c r="C556" s="13">
        <v>4.7999999999999996E-3</v>
      </c>
      <c r="D556" s="7">
        <v>406</v>
      </c>
      <c r="E556" s="7">
        <v>1.9E-3</v>
      </c>
      <c r="F556" s="7">
        <v>752</v>
      </c>
      <c r="G556" s="8">
        <f t="shared" si="34"/>
        <v>1.1280910878318631E-10</v>
      </c>
      <c r="H556" s="9">
        <f t="shared" si="35"/>
        <v>3.3842732634962659E-12</v>
      </c>
      <c r="I556" s="10">
        <f>SUM($H$3:H556)</f>
        <v>0.58414808063048629</v>
      </c>
      <c r="J556" s="23">
        <v>1.9E-3</v>
      </c>
      <c r="Q556" s="7">
        <f t="shared" si="33"/>
        <v>1.358006655139174E-7</v>
      </c>
      <c r="R556" s="7">
        <f t="shared" si="32"/>
        <v>1.2427042032879683E-7</v>
      </c>
    </row>
    <row r="557" spans="1:18" x14ac:dyDescent="0.25">
      <c r="A557" s="22">
        <v>45379</v>
      </c>
      <c r="B557" s="12">
        <v>246.96</v>
      </c>
      <c r="C557" s="13">
        <v>8.2000000000000007E-3</v>
      </c>
      <c r="D557" s="7">
        <v>405</v>
      </c>
      <c r="E557" s="7">
        <v>1.9E-3</v>
      </c>
      <c r="F557" s="7">
        <v>736</v>
      </c>
      <c r="G557" s="8">
        <f t="shared" si="34"/>
        <v>1.8365232041723489E-10</v>
      </c>
      <c r="H557" s="9">
        <f t="shared" si="35"/>
        <v>5.5095696125181476E-12</v>
      </c>
      <c r="I557" s="10">
        <f>SUM($H$3:H557)</f>
        <v>0.58414808063599588</v>
      </c>
      <c r="J557" s="23">
        <v>1.9E-3</v>
      </c>
      <c r="Q557" s="7">
        <f t="shared" si="33"/>
        <v>1.4000068609682204E-7</v>
      </c>
      <c r="R557" s="7">
        <f t="shared" si="32"/>
        <v>1.2811383539051219E-7</v>
      </c>
    </row>
    <row r="558" spans="1:18" x14ac:dyDescent="0.25">
      <c r="A558" s="22">
        <v>45383</v>
      </c>
      <c r="B558" s="12">
        <v>248.19</v>
      </c>
      <c r="C558" s="13">
        <v>5.0000000000000001E-3</v>
      </c>
      <c r="D558" s="7">
        <v>404</v>
      </c>
      <c r="E558" s="7">
        <v>1.9E-3</v>
      </c>
      <c r="F558" s="7">
        <v>602</v>
      </c>
      <c r="G558" s="8">
        <f t="shared" si="34"/>
        <v>1.0878876042257003E-8</v>
      </c>
      <c r="H558" s="9">
        <f t="shared" si="35"/>
        <v>3.2636628126777532E-10</v>
      </c>
      <c r="I558" s="10">
        <f>SUM($H$3:H558)</f>
        <v>0.58414808096236215</v>
      </c>
      <c r="J558" s="23">
        <v>1.9E-3</v>
      </c>
      <c r="Q558" s="7">
        <f t="shared" si="33"/>
        <v>1.4433060422352791E-7</v>
      </c>
      <c r="R558" s="7">
        <f t="shared" si="32"/>
        <v>1.3207611895929094E-7</v>
      </c>
    </row>
    <row r="559" spans="1:18" x14ac:dyDescent="0.25">
      <c r="A559" s="22">
        <v>45384</v>
      </c>
      <c r="B559" s="12">
        <v>248.65</v>
      </c>
      <c r="C559" s="13">
        <v>1.9E-3</v>
      </c>
      <c r="D559" s="7">
        <v>403</v>
      </c>
      <c r="E559" s="7">
        <v>1.9E-3</v>
      </c>
      <c r="F559" s="7">
        <v>480</v>
      </c>
      <c r="G559" s="8">
        <f t="shared" si="34"/>
        <v>4.4712859789839761E-7</v>
      </c>
      <c r="H559" s="9">
        <f t="shared" si="35"/>
        <v>1.3413857936954609E-8</v>
      </c>
      <c r="I559" s="10">
        <f>SUM($H$3:H559)</f>
        <v>0.58414809437622006</v>
      </c>
      <c r="J559" s="23">
        <v>1.9E-3</v>
      </c>
      <c r="Q559" s="7">
        <f t="shared" si="33"/>
        <v>1.4879443734384318E-7</v>
      </c>
      <c r="R559" s="7">
        <f t="shared" si="32"/>
        <v>1.3616094738071229E-7</v>
      </c>
    </row>
    <row r="560" spans="1:18" x14ac:dyDescent="0.25">
      <c r="A560" s="22">
        <v>45385</v>
      </c>
      <c r="B560" s="12">
        <v>248.59</v>
      </c>
      <c r="C560" s="13">
        <v>-2.0000000000000001E-4</v>
      </c>
      <c r="D560" s="7">
        <v>402</v>
      </c>
      <c r="E560" s="7">
        <v>1.9E-3</v>
      </c>
      <c r="F560" s="7">
        <v>422</v>
      </c>
      <c r="G560" s="8">
        <f t="shared" si="34"/>
        <v>2.6162055362651224E-6</v>
      </c>
      <c r="H560" s="9">
        <f t="shared" si="35"/>
        <v>7.848616608796936E-8</v>
      </c>
      <c r="I560" s="10">
        <f>SUM($H$3:H560)</f>
        <v>0.58414817286238618</v>
      </c>
      <c r="J560" s="23">
        <v>1.9E-3</v>
      </c>
      <c r="Q560" s="7">
        <f t="shared" si="33"/>
        <v>1.533963271586012E-7</v>
      </c>
      <c r="R560" s="7">
        <f t="shared" si="32"/>
        <v>1.4037211070176524E-7</v>
      </c>
    </row>
    <row r="561" spans="1:18" x14ac:dyDescent="0.25">
      <c r="A561" s="22">
        <v>45386</v>
      </c>
      <c r="B561" s="12">
        <v>249.23</v>
      </c>
      <c r="C561" s="13">
        <v>2.5999999999999999E-3</v>
      </c>
      <c r="D561" s="7">
        <v>401</v>
      </c>
      <c r="E561" s="7">
        <v>1.9E-3</v>
      </c>
      <c r="F561" s="7">
        <v>403</v>
      </c>
      <c r="G561" s="8">
        <f t="shared" si="34"/>
        <v>4.6666895365607306E-6</v>
      </c>
      <c r="H561" s="9">
        <f t="shared" si="35"/>
        <v>1.4000068609684989E-7</v>
      </c>
      <c r="I561" s="10">
        <f>SUM($H$3:H561)</f>
        <v>0.58414831286307223</v>
      </c>
      <c r="J561" s="23">
        <v>1.9E-3</v>
      </c>
      <c r="Q561" s="7">
        <f t="shared" si="33"/>
        <v>1.5814054346247551E-7</v>
      </c>
      <c r="R561" s="7">
        <f t="shared" si="32"/>
        <v>1.4471351618738687E-7</v>
      </c>
    </row>
    <row r="562" spans="1:18" x14ac:dyDescent="0.25">
      <c r="A562" s="22">
        <v>45387</v>
      </c>
      <c r="B562" s="12">
        <v>249.05</v>
      </c>
      <c r="C562" s="13">
        <v>-6.9999999999999999E-4</v>
      </c>
      <c r="D562" s="7">
        <v>400</v>
      </c>
      <c r="E562" s="7">
        <v>1.9E-3</v>
      </c>
      <c r="F562" s="7">
        <v>59</v>
      </c>
      <c r="G562" s="8">
        <f t="shared" si="34"/>
        <v>0.16578007115626467</v>
      </c>
      <c r="H562" s="9">
        <f t="shared" si="35"/>
        <v>4.9734021346889345E-3</v>
      </c>
      <c r="I562" s="10">
        <f>SUM($H$3:H562)</f>
        <v>0.58912171499776111</v>
      </c>
      <c r="J562" s="23">
        <v>1.9E-3</v>
      </c>
      <c r="Q562" s="7">
        <f t="shared" si="33"/>
        <v>1.6303148810564483E-7</v>
      </c>
      <c r="R562" s="7">
        <f t="shared" si="32"/>
        <v>1.4918919194575964E-7</v>
      </c>
    </row>
    <row r="563" spans="1:18" x14ac:dyDescent="0.25">
      <c r="A563" s="22">
        <v>45390</v>
      </c>
      <c r="B563" s="12">
        <v>250.75</v>
      </c>
      <c r="C563" s="13">
        <v>6.7999999999999996E-3</v>
      </c>
      <c r="D563" s="7">
        <v>399</v>
      </c>
      <c r="E563" s="7">
        <v>2E-3</v>
      </c>
      <c r="F563" s="7">
        <v>345</v>
      </c>
      <c r="G563" s="8">
        <f t="shared" si="34"/>
        <v>2.730538609913516E-5</v>
      </c>
      <c r="H563" s="9">
        <f t="shared" si="35"/>
        <v>8.1916158297421855E-7</v>
      </c>
      <c r="I563" s="10">
        <f>SUM($H$3:H563)</f>
        <v>0.58912253415934412</v>
      </c>
      <c r="J563" s="23">
        <v>2E-3</v>
      </c>
      <c r="Q563" s="7">
        <f t="shared" si="33"/>
        <v>1.6807369907798436E-7</v>
      </c>
      <c r="R563" s="7">
        <f t="shared" si="32"/>
        <v>1.5380329066573159E-7</v>
      </c>
    </row>
    <row r="564" spans="1:18" x14ac:dyDescent="0.25">
      <c r="A564" s="22">
        <v>45391</v>
      </c>
      <c r="B564" s="12">
        <v>250.74</v>
      </c>
      <c r="C564" s="13">
        <v>0</v>
      </c>
      <c r="D564" s="7">
        <v>398</v>
      </c>
      <c r="E564" s="7">
        <v>2E-3</v>
      </c>
      <c r="F564" s="7">
        <v>288</v>
      </c>
      <c r="G564" s="8">
        <f t="shared" si="34"/>
        <v>1.5497422338816151E-4</v>
      </c>
      <c r="H564" s="9">
        <f t="shared" si="35"/>
        <v>4.6492267016457742E-6</v>
      </c>
      <c r="I564" s="10">
        <f>SUM($H$3:H564)</f>
        <v>0.58912718338604575</v>
      </c>
      <c r="J564" s="23">
        <v>2E-3</v>
      </c>
      <c r="Q564" s="7">
        <f t="shared" si="33"/>
        <v>1.7327185471957153E-7</v>
      </c>
      <c r="R564" s="7">
        <f t="shared" si="32"/>
        <v>1.5856009346982639E-7</v>
      </c>
    </row>
    <row r="565" spans="1:18" x14ac:dyDescent="0.25">
      <c r="A565" s="22">
        <v>45392</v>
      </c>
      <c r="B565" s="12">
        <v>251.57</v>
      </c>
      <c r="C565" s="13">
        <v>3.3E-3</v>
      </c>
      <c r="D565" s="7">
        <v>397</v>
      </c>
      <c r="E565" s="7">
        <v>2E-3</v>
      </c>
      <c r="F565" s="7">
        <v>100</v>
      </c>
      <c r="G565" s="8">
        <f t="shared" si="34"/>
        <v>4.7552507925405704E-2</v>
      </c>
      <c r="H565" s="9">
        <f t="shared" si="35"/>
        <v>1.4265752377624562E-3</v>
      </c>
      <c r="I565" s="10">
        <f>SUM($H$3:H565)</f>
        <v>0.59055375862380821</v>
      </c>
      <c r="J565" s="23">
        <v>2E-3</v>
      </c>
      <c r="Q565" s="7">
        <f t="shared" si="33"/>
        <v>1.7863077806141396E-7</v>
      </c>
      <c r="R565" s="7">
        <f t="shared" si="32"/>
        <v>1.6346401388641898E-7</v>
      </c>
    </row>
    <row r="566" spans="1:18" x14ac:dyDescent="0.25">
      <c r="A566" s="22">
        <v>45394</v>
      </c>
      <c r="B566" s="12">
        <v>249.56</v>
      </c>
      <c r="C566" s="13">
        <v>-8.0000000000000002E-3</v>
      </c>
      <c r="D566" s="7">
        <v>396</v>
      </c>
      <c r="E566" s="7">
        <v>2E-3</v>
      </c>
      <c r="F566" s="7">
        <v>60</v>
      </c>
      <c r="G566" s="8">
        <f t="shared" si="34"/>
        <v>0.16080666902157673</v>
      </c>
      <c r="H566" s="9">
        <f t="shared" si="35"/>
        <v>4.8242000706482657E-3</v>
      </c>
      <c r="I566" s="10">
        <f>SUM($H$3:H566)</f>
        <v>0.59537795869445653</v>
      </c>
      <c r="J566" s="23">
        <v>2E-3</v>
      </c>
      <c r="Q566" s="7">
        <f t="shared" si="33"/>
        <v>1.8415544130042677E-7</v>
      </c>
      <c r="R566" s="7">
        <f t="shared" si="32"/>
        <v>1.6851960194476185E-7</v>
      </c>
    </row>
    <row r="567" spans="1:18" x14ac:dyDescent="0.25">
      <c r="A567" s="22">
        <v>45397</v>
      </c>
      <c r="B567" s="12">
        <v>246.87</v>
      </c>
      <c r="C567" s="13">
        <v>-1.0800000000000001E-2</v>
      </c>
      <c r="D567" s="7">
        <v>395</v>
      </c>
      <c r="E567" s="7">
        <v>2E-3</v>
      </c>
      <c r="F567" s="7">
        <v>47</v>
      </c>
      <c r="G567" s="8">
        <f t="shared" si="34"/>
        <v>0.23893045520948628</v>
      </c>
      <c r="H567" s="9">
        <f t="shared" si="35"/>
        <v>7.1679136562860209E-3</v>
      </c>
      <c r="I567" s="10">
        <f>SUM($H$3:H567)</f>
        <v>0.60254587235074253</v>
      </c>
      <c r="J567" s="23">
        <v>2E-3</v>
      </c>
      <c r="Q567" s="7">
        <f t="shared" si="33"/>
        <v>1.8985097041281108E-7</v>
      </c>
      <c r="R567" s="7">
        <f t="shared" si="32"/>
        <v>1.7373154839666168E-7</v>
      </c>
    </row>
    <row r="568" spans="1:18" x14ac:dyDescent="0.25">
      <c r="A568" s="22">
        <v>45398</v>
      </c>
      <c r="B568" s="12">
        <v>245.52</v>
      </c>
      <c r="C568" s="13">
        <v>-5.4999999999999997E-3</v>
      </c>
      <c r="D568" s="7">
        <v>394</v>
      </c>
      <c r="E568" s="7">
        <v>2.0999999999999999E-3</v>
      </c>
      <c r="F568" s="7">
        <v>604</v>
      </c>
      <c r="G568" s="8">
        <f t="shared" si="34"/>
        <v>1.0235934468159613E-8</v>
      </c>
      <c r="H568" s="9">
        <f t="shared" si="35"/>
        <v>3.0707803404484976E-10</v>
      </c>
      <c r="I568" s="10">
        <f>SUM($H$3:H568)</f>
        <v>0.60254587265782056</v>
      </c>
      <c r="J568" s="23">
        <v>2.0999999999999999E-3</v>
      </c>
      <c r="Q568" s="7">
        <f t="shared" si="33"/>
        <v>1.9572264991011449E-7</v>
      </c>
      <c r="R568" s="7">
        <f t="shared" si="32"/>
        <v>1.7910468906872335E-7</v>
      </c>
    </row>
    <row r="569" spans="1:18" x14ac:dyDescent="0.25">
      <c r="A569" s="22">
        <v>45400</v>
      </c>
      <c r="B569" s="12">
        <v>243.94</v>
      </c>
      <c r="C569" s="13">
        <v>-6.4000000000000003E-3</v>
      </c>
      <c r="D569" s="7">
        <v>393</v>
      </c>
      <c r="E569" s="7">
        <v>2.0999999999999999E-3</v>
      </c>
      <c r="F569" s="7">
        <v>582</v>
      </c>
      <c r="G569" s="8">
        <f t="shared" si="34"/>
        <v>2.0005496901100465E-8</v>
      </c>
      <c r="H569" s="9">
        <f t="shared" si="35"/>
        <v>6.001649070331339E-10</v>
      </c>
      <c r="I569" s="10">
        <f>SUM($H$3:H569)</f>
        <v>0.60254587325798548</v>
      </c>
      <c r="J569" s="23">
        <v>2.0999999999999999E-3</v>
      </c>
      <c r="Q569" s="7">
        <f t="shared" si="33"/>
        <v>2.0177592774238612E-7</v>
      </c>
      <c r="R569" s="7">
        <f t="shared" si="32"/>
        <v>1.8464400934919939E-7</v>
      </c>
    </row>
    <row r="570" spans="1:18" x14ac:dyDescent="0.25">
      <c r="A570" s="22">
        <v>45401</v>
      </c>
      <c r="B570" s="12">
        <v>245.53</v>
      </c>
      <c r="C570" s="13">
        <v>6.4999999999999997E-3</v>
      </c>
      <c r="D570" s="7">
        <v>392</v>
      </c>
      <c r="E570" s="7">
        <v>2.0999999999999999E-3</v>
      </c>
      <c r="F570" s="7">
        <v>487</v>
      </c>
      <c r="G570" s="8">
        <f t="shared" si="34"/>
        <v>3.6127223651294528E-7</v>
      </c>
      <c r="H570" s="9">
        <f t="shared" si="35"/>
        <v>1.0838167095390524E-8</v>
      </c>
      <c r="I570" s="10">
        <f>SUM($H$3:H570)</f>
        <v>0.60254588409615262</v>
      </c>
      <c r="J570" s="23">
        <v>2.0999999999999999E-3</v>
      </c>
      <c r="Q570" s="7">
        <f t="shared" si="33"/>
        <v>2.080164203529754E-7</v>
      </c>
      <c r="R570" s="7">
        <f t="shared" si="32"/>
        <v>1.9035464881360763E-7</v>
      </c>
    </row>
    <row r="571" spans="1:18" x14ac:dyDescent="0.25">
      <c r="A571" s="22">
        <v>45404</v>
      </c>
      <c r="B571" s="12">
        <v>247.31</v>
      </c>
      <c r="C571" s="13">
        <v>7.1999999999999998E-3</v>
      </c>
      <c r="D571" s="7">
        <v>391</v>
      </c>
      <c r="E571" s="7">
        <v>2.0999999999999999E-3</v>
      </c>
      <c r="F571" s="7">
        <v>438</v>
      </c>
      <c r="G571" s="8">
        <f t="shared" si="34"/>
        <v>1.6070138088601562E-6</v>
      </c>
      <c r="H571" s="9">
        <f t="shared" si="35"/>
        <v>4.8210414265814324E-8</v>
      </c>
      <c r="I571" s="10">
        <f>SUM($H$3:H571)</f>
        <v>0.60254593230656683</v>
      </c>
      <c r="J571" s="23">
        <v>2.0999999999999999E-3</v>
      </c>
      <c r="Q571" s="7">
        <f t="shared" si="33"/>
        <v>2.1444991788966531E-7</v>
      </c>
      <c r="R571" s="7">
        <f t="shared" si="32"/>
        <v>1.9624190599340989E-7</v>
      </c>
    </row>
    <row r="572" spans="1:18" x14ac:dyDescent="0.25">
      <c r="A572" s="22">
        <v>45405</v>
      </c>
      <c r="B572" s="12">
        <v>247.82</v>
      </c>
      <c r="C572" s="13">
        <v>2.0999999999999999E-3</v>
      </c>
      <c r="D572" s="7">
        <v>390</v>
      </c>
      <c r="E572" s="7">
        <v>2.0999999999999999E-3</v>
      </c>
      <c r="F572" s="7">
        <v>421</v>
      </c>
      <c r="G572" s="8">
        <f t="shared" si="34"/>
        <v>2.6971191095516727E-6</v>
      </c>
      <c r="H572" s="9">
        <f t="shared" si="35"/>
        <v>8.0913573286566352E-8</v>
      </c>
      <c r="I572" s="10">
        <f>SUM($H$3:H572)</f>
        <v>0.60254601322014012</v>
      </c>
      <c r="J572" s="23">
        <v>2.0999999999999999E-3</v>
      </c>
      <c r="Q572" s="7">
        <f t="shared" si="33"/>
        <v>2.2108238957697457E-7</v>
      </c>
      <c r="R572" s="7">
        <f t="shared" si="32"/>
        <v>2.0231124329217515E-7</v>
      </c>
    </row>
    <row r="573" spans="1:18" x14ac:dyDescent="0.25">
      <c r="A573" s="22">
        <v>45406</v>
      </c>
      <c r="B573" s="12">
        <v>247.94</v>
      </c>
      <c r="C573" s="13">
        <v>5.0000000000000001E-4</v>
      </c>
      <c r="D573" s="7">
        <v>389</v>
      </c>
      <c r="E573" s="7">
        <v>2.0999999999999999E-3</v>
      </c>
      <c r="F573" s="7">
        <v>390</v>
      </c>
      <c r="G573" s="8">
        <f t="shared" si="34"/>
        <v>6.9338806784325071E-6</v>
      </c>
      <c r="H573" s="9">
        <f t="shared" si="35"/>
        <v>2.080164203530168E-7</v>
      </c>
      <c r="I573" s="10">
        <f>SUM($H$3:H573)</f>
        <v>0.60254622123656043</v>
      </c>
      <c r="J573" s="23">
        <v>2.0999999999999999E-3</v>
      </c>
      <c r="Q573" s="7">
        <f t="shared" si="33"/>
        <v>2.2791998925461295E-7</v>
      </c>
      <c r="R573" s="7">
        <f t="shared" si="32"/>
        <v>2.0856829205378881E-7</v>
      </c>
    </row>
    <row r="574" spans="1:18" x14ac:dyDescent="0.25">
      <c r="A574" s="22">
        <v>45407</v>
      </c>
      <c r="B574" s="12">
        <v>249.27</v>
      </c>
      <c r="C574" s="13">
        <v>5.4000000000000003E-3</v>
      </c>
      <c r="D574" s="7">
        <v>388</v>
      </c>
      <c r="E574" s="7">
        <v>2.0999999999999999E-3</v>
      </c>
      <c r="F574" s="7">
        <v>322</v>
      </c>
      <c r="G574" s="8">
        <f t="shared" si="34"/>
        <v>5.5017193632964452E-5</v>
      </c>
      <c r="H574" s="9">
        <f t="shared" si="35"/>
        <v>1.6505158089892634E-6</v>
      </c>
      <c r="I574" s="10">
        <f>SUM($H$3:H574)</f>
        <v>0.60254787175236946</v>
      </c>
      <c r="J574" s="23">
        <v>2.0999999999999999E-3</v>
      </c>
      <c r="Q574" s="7">
        <f t="shared" si="33"/>
        <v>2.3496906108722989E-7</v>
      </c>
      <c r="R574" s="7">
        <f t="shared" si="32"/>
        <v>2.1501885778741118E-7</v>
      </c>
    </row>
    <row r="575" spans="1:18" x14ac:dyDescent="0.25">
      <c r="A575" s="22">
        <v>45408</v>
      </c>
      <c r="B575" s="12">
        <v>248.44</v>
      </c>
      <c r="C575" s="13">
        <v>-3.3E-3</v>
      </c>
      <c r="D575" s="7">
        <v>387</v>
      </c>
      <c r="E575" s="7">
        <v>2.0999999999999999E-3</v>
      </c>
      <c r="F575" s="7">
        <v>274</v>
      </c>
      <c r="G575" s="8">
        <f t="shared" si="34"/>
        <v>2.3738604721995209E-4</v>
      </c>
      <c r="H575" s="9">
        <f t="shared" si="35"/>
        <v>7.1215814165999865E-6</v>
      </c>
      <c r="I575" s="10">
        <f>SUM($H$3:H575)</f>
        <v>0.60255499333378604</v>
      </c>
      <c r="J575" s="23">
        <v>2.0999999999999999E-3</v>
      </c>
      <c r="Q575" s="7">
        <f t="shared" si="33"/>
        <v>2.4223614545075247E-7</v>
      </c>
      <c r="R575" s="7">
        <f t="shared" si="32"/>
        <v>2.2166892555403214E-7</v>
      </c>
    </row>
    <row r="576" spans="1:18" x14ac:dyDescent="0.25">
      <c r="A576" s="22">
        <v>45411</v>
      </c>
      <c r="B576" s="12">
        <v>250.59</v>
      </c>
      <c r="C576" s="13">
        <v>8.6999999999999994E-3</v>
      </c>
      <c r="D576" s="7">
        <v>386</v>
      </c>
      <c r="E576" s="7">
        <v>2.2000000000000001E-3</v>
      </c>
      <c r="F576" s="7">
        <v>657</v>
      </c>
      <c r="G576" s="8">
        <f t="shared" si="34"/>
        <v>2.0371800425957932E-9</v>
      </c>
      <c r="H576" s="9">
        <f t="shared" si="35"/>
        <v>6.1115401277886008E-11</v>
      </c>
      <c r="I576" s="10">
        <f>SUM($H$3:H576)</f>
        <v>0.60255499339490148</v>
      </c>
      <c r="J576" s="23">
        <v>2.2000000000000001E-3</v>
      </c>
      <c r="Q576" s="7">
        <f t="shared" si="33"/>
        <v>2.4972798500077577E-7</v>
      </c>
      <c r="R576" s="7">
        <f t="shared" si="32"/>
        <v>2.285246655196208E-7</v>
      </c>
    </row>
    <row r="577" spans="1:18" x14ac:dyDescent="0.25">
      <c r="A577" s="22">
        <v>45412</v>
      </c>
      <c r="B577" s="12">
        <v>250.06</v>
      </c>
      <c r="C577" s="13">
        <v>-2.0999999999999999E-3</v>
      </c>
      <c r="D577" s="7">
        <v>385</v>
      </c>
      <c r="E577" s="7">
        <v>2.2000000000000001E-3</v>
      </c>
      <c r="F577" s="7">
        <v>609</v>
      </c>
      <c r="G577" s="8">
        <f t="shared" si="34"/>
        <v>8.7899452126440946E-9</v>
      </c>
      <c r="H577" s="9">
        <f t="shared" si="35"/>
        <v>2.6369835637937557E-10</v>
      </c>
      <c r="I577" s="10">
        <f>SUM($H$3:H577)</f>
        <v>0.60255499365859988</v>
      </c>
      <c r="J577" s="23">
        <v>2.2000000000000001E-3</v>
      </c>
      <c r="Q577" s="7">
        <f t="shared" si="33"/>
        <v>2.5745153092863468E-7</v>
      </c>
      <c r="R577" s="7">
        <f t="shared" si="32"/>
        <v>2.3559243868002133E-7</v>
      </c>
    </row>
    <row r="578" spans="1:18" x14ac:dyDescent="0.25">
      <c r="A578" s="22">
        <v>45414</v>
      </c>
      <c r="B578" s="12">
        <v>250.84</v>
      </c>
      <c r="C578" s="13">
        <v>3.0999999999999999E-3</v>
      </c>
      <c r="D578" s="7">
        <v>384</v>
      </c>
      <c r="E578" s="7">
        <v>2.2000000000000001E-3</v>
      </c>
      <c r="F578" s="7">
        <v>373</v>
      </c>
      <c r="G578" s="8">
        <f t="shared" si="34"/>
        <v>1.1637424630729386E-5</v>
      </c>
      <c r="H578" s="9">
        <f t="shared" si="35"/>
        <v>3.4912273892195139E-7</v>
      </c>
      <c r="I578" s="10">
        <f>SUM($H$3:H578)</f>
        <v>0.60255534278133882</v>
      </c>
      <c r="J578" s="23">
        <v>2.2000000000000001E-3</v>
      </c>
      <c r="Q578" s="7">
        <f t="shared" si="33"/>
        <v>2.6541394941096363E-7</v>
      </c>
      <c r="R578" s="7">
        <f t="shared" ref="R578:R641" si="36">Q578/$U$2</f>
        <v>2.4287880276290861E-7</v>
      </c>
    </row>
    <row r="579" spans="1:18" x14ac:dyDescent="0.25">
      <c r="A579" s="22">
        <v>45415</v>
      </c>
      <c r="B579" s="12">
        <v>248.75</v>
      </c>
      <c r="C579" s="13">
        <v>-8.3000000000000001E-3</v>
      </c>
      <c r="D579" s="7">
        <v>383</v>
      </c>
      <c r="E579" s="7">
        <v>2.2000000000000001E-3</v>
      </c>
      <c r="F579" s="7">
        <v>325</v>
      </c>
      <c r="G579" s="8">
        <f t="shared" si="34"/>
        <v>5.0212707164578563E-5</v>
      </c>
      <c r="H579" s="9">
        <f t="shared" si="35"/>
        <v>1.506381214937658E-6</v>
      </c>
      <c r="I579" s="10">
        <f>SUM($H$3:H579)</f>
        <v>0.60255684916255381</v>
      </c>
      <c r="J579" s="23">
        <v>2.2000000000000001E-3</v>
      </c>
      <c r="Q579" s="7">
        <f t="shared" ref="Q579:Q642" si="37">(1-$N$3) * $N$3^(D580-1)</f>
        <v>2.7362262825872536E-7</v>
      </c>
      <c r="R579" s="7">
        <f t="shared" si="36"/>
        <v>2.5039051831227689E-7</v>
      </c>
    </row>
    <row r="580" spans="1:18" x14ac:dyDescent="0.25">
      <c r="A580" s="22">
        <v>45418</v>
      </c>
      <c r="B580" s="12">
        <v>248.37</v>
      </c>
      <c r="C580" s="13">
        <v>-1.5E-3</v>
      </c>
      <c r="D580" s="7">
        <v>382</v>
      </c>
      <c r="E580" s="7">
        <v>2.2000000000000001E-3</v>
      </c>
      <c r="F580" s="7">
        <v>290</v>
      </c>
      <c r="G580" s="8">
        <f t="shared" ref="G580:G643" si="38">$N$3^F580</f>
        <v>1.4581524678592117E-4</v>
      </c>
      <c r="H580" s="9">
        <f t="shared" si="35"/>
        <v>4.3744574035785091E-6</v>
      </c>
      <c r="I580" s="10">
        <f>SUM($H$3:H580)</f>
        <v>0.60256122361995734</v>
      </c>
      <c r="J580" s="23">
        <v>2.2000000000000001E-3</v>
      </c>
      <c r="Q580" s="7">
        <f t="shared" si="37"/>
        <v>2.8208518377188186E-7</v>
      </c>
      <c r="R580" s="7">
        <f t="shared" si="36"/>
        <v>2.5813455496111023E-7</v>
      </c>
    </row>
    <row r="581" spans="1:18" x14ac:dyDescent="0.25">
      <c r="A581" s="22">
        <v>45419</v>
      </c>
      <c r="B581" s="12">
        <v>247.11</v>
      </c>
      <c r="C581" s="13">
        <v>-5.1000000000000004E-3</v>
      </c>
      <c r="D581" s="7">
        <v>381</v>
      </c>
      <c r="E581" s="7">
        <v>2.3E-3</v>
      </c>
      <c r="F581" s="7">
        <v>801</v>
      </c>
      <c r="G581" s="8">
        <f t="shared" si="38"/>
        <v>2.5360577989084584E-11</v>
      </c>
      <c r="H581" s="9">
        <f t="shared" ref="H581:H644" si="39">G581/$N$4</f>
        <v>7.608173396726896E-13</v>
      </c>
      <c r="I581" s="10">
        <f>SUM($H$3:H581)</f>
        <v>0.60256122362071818</v>
      </c>
      <c r="J581" s="23">
        <v>2.3E-3</v>
      </c>
      <c r="Q581" s="7">
        <f t="shared" si="37"/>
        <v>2.9080946780606378E-7</v>
      </c>
      <c r="R581" s="7">
        <f t="shared" si="36"/>
        <v>2.6611809789805179E-7</v>
      </c>
    </row>
    <row r="582" spans="1:18" x14ac:dyDescent="0.25">
      <c r="A582" s="22">
        <v>45420</v>
      </c>
      <c r="B582" s="12">
        <v>247.24</v>
      </c>
      <c r="C582" s="13">
        <v>5.0000000000000001E-4</v>
      </c>
      <c r="D582" s="7">
        <v>380</v>
      </c>
      <c r="E582" s="7">
        <v>2.3E-3</v>
      </c>
      <c r="F582" s="7">
        <v>616</v>
      </c>
      <c r="G582" s="8">
        <f t="shared" si="38"/>
        <v>7.1021249383824483E-9</v>
      </c>
      <c r="H582" s="9">
        <f t="shared" si="39"/>
        <v>2.1306374815151605E-10</v>
      </c>
      <c r="I582" s="10">
        <f>SUM($H$3:H582)</f>
        <v>0.60256122383378197</v>
      </c>
      <c r="J582" s="23">
        <v>2.3E-3</v>
      </c>
      <c r="Q582" s="7">
        <f t="shared" si="37"/>
        <v>2.9980357505779779E-7</v>
      </c>
      <c r="R582" s="7">
        <f t="shared" si="36"/>
        <v>2.7434855453407409E-7</v>
      </c>
    </row>
    <row r="583" spans="1:18" x14ac:dyDescent="0.25">
      <c r="A583" s="22">
        <v>45421</v>
      </c>
      <c r="B583" s="12">
        <v>243.49</v>
      </c>
      <c r="C583" s="13">
        <v>-1.52E-2</v>
      </c>
      <c r="D583" s="7">
        <v>379</v>
      </c>
      <c r="E583" s="7">
        <v>2.3E-3</v>
      </c>
      <c r="F583" s="7">
        <v>579</v>
      </c>
      <c r="G583" s="8">
        <f t="shared" si="38"/>
        <v>2.1919676489937214E-8</v>
      </c>
      <c r="H583" s="9">
        <f t="shared" si="39"/>
        <v>6.575902946982479E-10</v>
      </c>
      <c r="I583" s="10">
        <f>SUM($H$3:H583)</f>
        <v>0.60256122449137228</v>
      </c>
      <c r="J583" s="23">
        <v>2.3E-3</v>
      </c>
      <c r="Q583" s="7">
        <f t="shared" si="37"/>
        <v>3.0907585057504918E-7</v>
      </c>
      <c r="R583" s="7">
        <f t="shared" si="36"/>
        <v>2.8283356137533406E-7</v>
      </c>
    </row>
    <row r="584" spans="1:18" x14ac:dyDescent="0.25">
      <c r="A584" s="22">
        <v>45422</v>
      </c>
      <c r="B584" s="12">
        <v>244.97</v>
      </c>
      <c r="C584" s="13">
        <v>6.1000000000000004E-3</v>
      </c>
      <c r="D584" s="7">
        <v>378</v>
      </c>
      <c r="E584" s="7">
        <v>2.3E-3</v>
      </c>
      <c r="F584" s="7">
        <v>556</v>
      </c>
      <c r="G584" s="8">
        <f t="shared" si="38"/>
        <v>4.4165611921415389E-8</v>
      </c>
      <c r="H584" s="9">
        <f t="shared" si="39"/>
        <v>1.3249683576427265E-9</v>
      </c>
      <c r="I584" s="10">
        <f>SUM($H$3:H584)</f>
        <v>0.60256122581634064</v>
      </c>
      <c r="J584" s="23">
        <v>2.3E-3</v>
      </c>
      <c r="Q584" s="7">
        <f t="shared" si="37"/>
        <v>3.1863489750005074E-7</v>
      </c>
      <c r="R584" s="7">
        <f t="shared" si="36"/>
        <v>2.9158099110859181E-7</v>
      </c>
    </row>
    <row r="585" spans="1:18" x14ac:dyDescent="0.25">
      <c r="A585" s="22">
        <v>45425</v>
      </c>
      <c r="B585" s="12">
        <v>245.16</v>
      </c>
      <c r="C585" s="13">
        <v>8.0000000000000004E-4</v>
      </c>
      <c r="D585" s="7">
        <v>377</v>
      </c>
      <c r="E585" s="7">
        <v>2.3E-3</v>
      </c>
      <c r="F585" s="7">
        <v>481</v>
      </c>
      <c r="G585" s="8">
        <f t="shared" si="38"/>
        <v>4.3371473996144573E-7</v>
      </c>
      <c r="H585" s="9">
        <f t="shared" si="39"/>
        <v>1.3011442198845972E-8</v>
      </c>
      <c r="I585" s="10">
        <f>SUM($H$3:H585)</f>
        <v>0.60256123882778279</v>
      </c>
      <c r="J585" s="23">
        <v>2.3E-3</v>
      </c>
      <c r="Q585" s="7">
        <f t="shared" si="37"/>
        <v>3.2848958505159868E-7</v>
      </c>
      <c r="R585" s="7">
        <f t="shared" si="36"/>
        <v>3.0059895990576474E-7</v>
      </c>
    </row>
    <row r="586" spans="1:18" x14ac:dyDescent="0.25">
      <c r="A586" s="22">
        <v>45426</v>
      </c>
      <c r="B586" s="12">
        <v>246.61</v>
      </c>
      <c r="C586" s="13">
        <v>5.8999999999999999E-3</v>
      </c>
      <c r="D586" s="7">
        <v>376</v>
      </c>
      <c r="E586" s="7">
        <v>2.3E-3</v>
      </c>
      <c r="F586" s="7">
        <v>356</v>
      </c>
      <c r="G586" s="8">
        <f t="shared" si="38"/>
        <v>1.9531580988573149E-5</v>
      </c>
      <c r="H586" s="9">
        <f t="shared" si="39"/>
        <v>5.8594742965731162E-7</v>
      </c>
      <c r="I586" s="10">
        <f>SUM($H$3:H586)</f>
        <v>0.60256182477521247</v>
      </c>
      <c r="J586" s="23">
        <v>2.3E-3</v>
      </c>
      <c r="Q586" s="7">
        <f t="shared" si="37"/>
        <v>3.3864905675422545E-7</v>
      </c>
      <c r="R586" s="7">
        <f t="shared" si="36"/>
        <v>3.0989583495439667E-7</v>
      </c>
    </row>
    <row r="587" spans="1:18" x14ac:dyDescent="0.25">
      <c r="A587" s="22">
        <v>45427</v>
      </c>
      <c r="B587" s="12">
        <v>246.42</v>
      </c>
      <c r="C587" s="13">
        <v>-8.0000000000000004E-4</v>
      </c>
      <c r="D587" s="7">
        <v>375</v>
      </c>
      <c r="E587" s="7">
        <v>2.3E-3</v>
      </c>
      <c r="F587" s="7">
        <v>323</v>
      </c>
      <c r="G587" s="8">
        <f t="shared" si="38"/>
        <v>5.336667782397552E-5</v>
      </c>
      <c r="H587" s="9">
        <f t="shared" si="39"/>
        <v>1.6010003347195856E-6</v>
      </c>
      <c r="I587" s="10">
        <f>SUM($H$3:H587)</f>
        <v>0.60256342577554722</v>
      </c>
      <c r="J587" s="23">
        <v>2.3E-3</v>
      </c>
      <c r="Q587" s="7">
        <f t="shared" si="37"/>
        <v>3.4912273892188189E-7</v>
      </c>
      <c r="R587" s="7">
        <f t="shared" si="36"/>
        <v>3.1948024222102745E-7</v>
      </c>
    </row>
    <row r="588" spans="1:18" x14ac:dyDescent="0.25">
      <c r="A588" s="22">
        <v>45428</v>
      </c>
      <c r="B588" s="12">
        <v>248.18</v>
      </c>
      <c r="C588" s="13">
        <v>7.1000000000000004E-3</v>
      </c>
      <c r="D588" s="7">
        <v>374</v>
      </c>
      <c r="E588" s="7">
        <v>2.3E-3</v>
      </c>
      <c r="F588" s="7">
        <v>311</v>
      </c>
      <c r="G588" s="8">
        <f t="shared" si="38"/>
        <v>7.6914701125211927E-5</v>
      </c>
      <c r="H588" s="9">
        <f t="shared" si="39"/>
        <v>2.3074410337568191E-6</v>
      </c>
      <c r="I588" s="10">
        <f>SUM($H$3:H588)</f>
        <v>0.60256573321658102</v>
      </c>
      <c r="J588" s="23">
        <v>2.3E-3</v>
      </c>
      <c r="Q588" s="7">
        <f t="shared" si="37"/>
        <v>3.59920349404002E-7</v>
      </c>
      <c r="R588" s="7">
        <f t="shared" si="36"/>
        <v>3.2936107445466755E-7</v>
      </c>
    </row>
    <row r="589" spans="1:18" x14ac:dyDescent="0.25">
      <c r="A589" s="22">
        <v>45429</v>
      </c>
      <c r="B589" s="12">
        <v>248.73</v>
      </c>
      <c r="C589" s="13">
        <v>2.2000000000000001E-3</v>
      </c>
      <c r="D589" s="7">
        <v>373</v>
      </c>
      <c r="E589" s="7">
        <v>2.3E-3</v>
      </c>
      <c r="F589" s="7">
        <v>247</v>
      </c>
      <c r="G589" s="8">
        <f t="shared" si="38"/>
        <v>5.4027934385664851E-4</v>
      </c>
      <c r="H589" s="9">
        <f t="shared" si="39"/>
        <v>1.6208380315702696E-5</v>
      </c>
      <c r="I589" s="10">
        <f>SUM($H$3:H589)</f>
        <v>0.60258194159689671</v>
      </c>
      <c r="J589" s="23">
        <v>2.3E-3</v>
      </c>
      <c r="Q589" s="7">
        <f t="shared" si="37"/>
        <v>3.7105190660206388E-7</v>
      </c>
      <c r="R589" s="7">
        <f t="shared" si="36"/>
        <v>3.3954749943780155E-7</v>
      </c>
    </row>
    <row r="590" spans="1:18" x14ac:dyDescent="0.25">
      <c r="A590" s="22">
        <v>45433</v>
      </c>
      <c r="B590" s="12">
        <v>249.74</v>
      </c>
      <c r="C590" s="13">
        <v>4.1000000000000003E-3</v>
      </c>
      <c r="D590" s="7">
        <v>372</v>
      </c>
      <c r="E590" s="7">
        <v>2.3E-3</v>
      </c>
      <c r="F590" s="7">
        <v>30</v>
      </c>
      <c r="G590" s="8">
        <f t="shared" si="38"/>
        <v>0.4010070685431576</v>
      </c>
      <c r="H590" s="9">
        <f t="shared" si="39"/>
        <v>1.2030212056297132E-2</v>
      </c>
      <c r="I590" s="10">
        <f>SUM($H$3:H590)</f>
        <v>0.61461215365319388</v>
      </c>
      <c r="J590" s="23">
        <v>2.3E-3</v>
      </c>
      <c r="Q590" s="7">
        <f t="shared" si="37"/>
        <v>3.8252773876501435E-7</v>
      </c>
      <c r="R590" s="7">
        <f t="shared" si="36"/>
        <v>3.5004896849257894E-7</v>
      </c>
    </row>
    <row r="591" spans="1:18" x14ac:dyDescent="0.25">
      <c r="A591" s="22">
        <v>45434</v>
      </c>
      <c r="B591" s="12">
        <v>250.36</v>
      </c>
      <c r="C591" s="13">
        <v>2.5000000000000001E-3</v>
      </c>
      <c r="D591" s="7">
        <v>371</v>
      </c>
      <c r="E591" s="7">
        <v>2.3999999999999998E-3</v>
      </c>
      <c r="F591" s="7">
        <v>124</v>
      </c>
      <c r="G591" s="8">
        <f t="shared" si="38"/>
        <v>2.2892596260384031E-2</v>
      </c>
      <c r="H591" s="9">
        <f t="shared" si="39"/>
        <v>6.8677788781165824E-4</v>
      </c>
      <c r="I591" s="10">
        <f>SUM($H$3:H591)</f>
        <v>0.61529893154100557</v>
      </c>
      <c r="J591" s="23">
        <v>2.3999999999999998E-3</v>
      </c>
      <c r="Q591" s="7">
        <f t="shared" si="37"/>
        <v>3.9435849357217979E-7</v>
      </c>
      <c r="R591" s="7">
        <f t="shared" si="36"/>
        <v>3.6087522525008142E-7</v>
      </c>
    </row>
    <row r="592" spans="1:18" x14ac:dyDescent="0.25">
      <c r="A592" s="22">
        <v>45435</v>
      </c>
      <c r="B592" s="12">
        <v>254.29</v>
      </c>
      <c r="C592" s="13">
        <v>1.5699999999999999E-2</v>
      </c>
      <c r="D592" s="7">
        <v>370</v>
      </c>
      <c r="E592" s="7">
        <v>2.3999999999999998E-3</v>
      </c>
      <c r="F592" s="7">
        <v>45</v>
      </c>
      <c r="G592" s="8">
        <f t="shared" si="38"/>
        <v>0.25393820300721254</v>
      </c>
      <c r="H592" s="9">
        <f t="shared" si="39"/>
        <v>7.6181460902178984E-3</v>
      </c>
      <c r="I592" s="10">
        <f>SUM($H$3:H592)</f>
        <v>0.6229170776312235</v>
      </c>
      <c r="J592" s="23">
        <v>2.3999999999999998E-3</v>
      </c>
      <c r="Q592" s="7">
        <f t="shared" si="37"/>
        <v>4.0655514801255651E-7</v>
      </c>
      <c r="R592" s="7">
        <f t="shared" si="36"/>
        <v>3.7203631469080562E-7</v>
      </c>
    </row>
    <row r="593" spans="1:18" x14ac:dyDescent="0.25">
      <c r="A593" s="22">
        <v>45436</v>
      </c>
      <c r="B593" s="12">
        <v>254.98</v>
      </c>
      <c r="C593" s="13">
        <v>2.7000000000000001E-3</v>
      </c>
      <c r="D593" s="7">
        <v>369</v>
      </c>
      <c r="E593" s="7">
        <v>2.5000000000000001E-3</v>
      </c>
      <c r="F593" s="7">
        <v>935</v>
      </c>
      <c r="G593" s="8">
        <f t="shared" si="38"/>
        <v>4.2812593660653149E-13</v>
      </c>
      <c r="H593" s="9">
        <f t="shared" si="39"/>
        <v>1.2843778098198512E-14</v>
      </c>
      <c r="I593" s="10">
        <f>SUM($H$3:H593)</f>
        <v>0.62291707763123638</v>
      </c>
      <c r="J593" s="23">
        <v>2.5000000000000001E-3</v>
      </c>
      <c r="Q593" s="7">
        <f t="shared" si="37"/>
        <v>4.1912901856964581E-7</v>
      </c>
      <c r="R593" s="7">
        <f t="shared" si="36"/>
        <v>3.8354259246474801E-7</v>
      </c>
    </row>
    <row r="594" spans="1:18" x14ac:dyDescent="0.25">
      <c r="A594" s="22">
        <v>45439</v>
      </c>
      <c r="B594" s="12">
        <v>254.72</v>
      </c>
      <c r="C594" s="13">
        <v>-1E-3</v>
      </c>
      <c r="D594" s="7">
        <v>368</v>
      </c>
      <c r="E594" s="7">
        <v>2.5000000000000001E-3</v>
      </c>
      <c r="F594" s="7">
        <v>636</v>
      </c>
      <c r="G594" s="8">
        <f t="shared" si="38"/>
        <v>3.8620953642513483E-9</v>
      </c>
      <c r="H594" s="9">
        <f t="shared" si="39"/>
        <v>1.158628609275636E-10</v>
      </c>
      <c r="I594" s="10">
        <f>SUM($H$3:H594)</f>
        <v>0.62291707774709926</v>
      </c>
      <c r="J594" s="23">
        <v>2.5000000000000001E-3</v>
      </c>
      <c r="Q594" s="7">
        <f t="shared" si="37"/>
        <v>4.3209177172128431E-7</v>
      </c>
      <c r="R594" s="7">
        <f t="shared" si="36"/>
        <v>3.954047344997402E-7</v>
      </c>
    </row>
    <row r="595" spans="1:18" x14ac:dyDescent="0.25">
      <c r="A595" s="22">
        <v>45440</v>
      </c>
      <c r="B595" s="12">
        <v>254.2</v>
      </c>
      <c r="C595" s="13">
        <v>-2E-3</v>
      </c>
      <c r="D595" s="7">
        <v>367</v>
      </c>
      <c r="E595" s="7">
        <v>2.5000000000000001E-3</v>
      </c>
      <c r="F595" s="7">
        <v>371</v>
      </c>
      <c r="G595" s="8">
        <f t="shared" si="38"/>
        <v>1.2368396886735452E-5</v>
      </c>
      <c r="H595" s="9">
        <f t="shared" si="39"/>
        <v>3.7105190660213773E-7</v>
      </c>
      <c r="I595" s="10">
        <f>SUM($H$3:H595)</f>
        <v>0.6229174487990059</v>
      </c>
      <c r="J595" s="23">
        <v>2.5000000000000001E-3</v>
      </c>
      <c r="Q595" s="7">
        <f t="shared" si="37"/>
        <v>4.4545543476421067E-7</v>
      </c>
      <c r="R595" s="7">
        <f t="shared" si="36"/>
        <v>4.0763374690694871E-7</v>
      </c>
    </row>
    <row r="596" spans="1:18" x14ac:dyDescent="0.25">
      <c r="A596" s="22">
        <v>45441</v>
      </c>
      <c r="B596" s="12">
        <v>252.37</v>
      </c>
      <c r="C596" s="13">
        <v>-7.1999999999999998E-3</v>
      </c>
      <c r="D596" s="7">
        <v>366</v>
      </c>
      <c r="E596" s="7">
        <v>2.5000000000000001E-3</v>
      </c>
      <c r="F596" s="7">
        <v>202</v>
      </c>
      <c r="G596" s="8">
        <f t="shared" si="38"/>
        <v>2.1276016663050227E-3</v>
      </c>
      <c r="H596" s="9">
        <f t="shared" si="39"/>
        <v>6.3828049989163443E-5</v>
      </c>
      <c r="I596" s="10">
        <f>SUM($H$3:H596)</f>
        <v>0.62298127684899507</v>
      </c>
      <c r="J596" s="23">
        <v>2.5000000000000001E-3</v>
      </c>
      <c r="Q596" s="7">
        <f t="shared" si="37"/>
        <v>4.5923240697341308E-7</v>
      </c>
      <c r="R596" s="7">
        <f t="shared" si="36"/>
        <v>4.202409761927306E-7</v>
      </c>
    </row>
    <row r="597" spans="1:18" x14ac:dyDescent="0.25">
      <c r="A597" s="22">
        <v>45442</v>
      </c>
      <c r="B597" s="12">
        <v>250.35</v>
      </c>
      <c r="C597" s="13">
        <v>-8.0000000000000002E-3</v>
      </c>
      <c r="D597" s="7">
        <v>365</v>
      </c>
      <c r="E597" s="7">
        <v>2.5000000000000001E-3</v>
      </c>
      <c r="F597" s="7">
        <v>114</v>
      </c>
      <c r="G597" s="8">
        <f t="shared" si="38"/>
        <v>3.1044002257937898E-2</v>
      </c>
      <c r="H597" s="9">
        <f t="shared" si="39"/>
        <v>9.3132006773832311E-4</v>
      </c>
      <c r="I597" s="10">
        <f>SUM($H$3:H597)</f>
        <v>0.6239125969167334</v>
      </c>
      <c r="J597" s="23">
        <v>2.5000000000000001E-3</v>
      </c>
      <c r="Q597" s="7">
        <f t="shared" si="37"/>
        <v>4.734354711066114E-7</v>
      </c>
      <c r="R597" s="7">
        <f t="shared" si="36"/>
        <v>4.3323811978632021E-7</v>
      </c>
    </row>
    <row r="598" spans="1:18" x14ac:dyDescent="0.25">
      <c r="A598" s="22">
        <v>45443</v>
      </c>
      <c r="B598" s="12">
        <v>251.15</v>
      </c>
      <c r="C598" s="13">
        <v>3.2000000000000002E-3</v>
      </c>
      <c r="D598" s="7">
        <v>364</v>
      </c>
      <c r="E598" s="7">
        <v>2.5000000000000001E-3</v>
      </c>
      <c r="F598" s="7">
        <v>92</v>
      </c>
      <c r="G598" s="8">
        <f t="shared" si="38"/>
        <v>6.0673570439592227E-2</v>
      </c>
      <c r="H598" s="9">
        <f t="shared" si="39"/>
        <v>1.8202071131881306E-3</v>
      </c>
      <c r="I598" s="10">
        <f>SUM($H$3:H598)</f>
        <v>0.62573280402992149</v>
      </c>
      <c r="J598" s="23">
        <v>2.5000000000000001E-3</v>
      </c>
      <c r="Q598" s="7">
        <f t="shared" si="37"/>
        <v>4.8807780526454776E-7</v>
      </c>
      <c r="R598" s="7">
        <f t="shared" si="36"/>
        <v>4.4663723689311356E-7</v>
      </c>
    </row>
    <row r="599" spans="1:18" x14ac:dyDescent="0.25">
      <c r="A599" s="22">
        <v>45446</v>
      </c>
      <c r="B599" s="12">
        <v>258.14</v>
      </c>
      <c r="C599" s="13">
        <v>2.7799999999999998E-2</v>
      </c>
      <c r="D599" s="7">
        <v>363</v>
      </c>
      <c r="E599" s="7">
        <v>2.5000000000000001E-3</v>
      </c>
      <c r="F599" s="7">
        <v>40</v>
      </c>
      <c r="G599" s="8">
        <f t="shared" si="38"/>
        <v>0.29571228739913263</v>
      </c>
      <c r="H599" s="9">
        <f t="shared" si="39"/>
        <v>8.8713686219757514E-3</v>
      </c>
      <c r="I599" s="10">
        <f>SUM($H$3:H599)</f>
        <v>0.63460417265189728</v>
      </c>
      <c r="J599" s="23">
        <v>2.5000000000000001E-3</v>
      </c>
      <c r="Q599" s="7">
        <f t="shared" si="37"/>
        <v>5.0317299511809067E-7</v>
      </c>
      <c r="R599" s="7">
        <f t="shared" si="36"/>
        <v>4.6045075968362237E-7</v>
      </c>
    </row>
    <row r="600" spans="1:18" x14ac:dyDescent="0.25">
      <c r="A600" s="22">
        <v>45447</v>
      </c>
      <c r="B600" s="12">
        <v>250.48</v>
      </c>
      <c r="C600" s="13">
        <v>-2.9700000000000001E-2</v>
      </c>
      <c r="D600" s="7">
        <v>362</v>
      </c>
      <c r="E600" s="7">
        <v>2.5999999999999999E-3</v>
      </c>
      <c r="F600" s="7">
        <v>956</v>
      </c>
      <c r="G600" s="8">
        <f t="shared" si="38"/>
        <v>2.2582808851524156E-13</v>
      </c>
      <c r="H600" s="9">
        <f t="shared" si="39"/>
        <v>6.7748426554586009E-15</v>
      </c>
      <c r="I600" s="10">
        <f>SUM($H$3:H600)</f>
        <v>0.63460417265190405</v>
      </c>
      <c r="J600" s="23">
        <v>2.5999999999999999E-3</v>
      </c>
      <c r="Q600" s="7">
        <f t="shared" si="37"/>
        <v>5.1873504651349549E-7</v>
      </c>
      <c r="R600" s="7">
        <f t="shared" si="36"/>
        <v>4.7469150482847665E-7</v>
      </c>
    </row>
    <row r="601" spans="1:18" x14ac:dyDescent="0.25">
      <c r="A601" s="22">
        <v>45448</v>
      </c>
      <c r="B601" s="12">
        <v>251.3</v>
      </c>
      <c r="C601" s="13">
        <v>3.3E-3</v>
      </c>
      <c r="D601" s="7">
        <v>361</v>
      </c>
      <c r="E601" s="7">
        <v>2.5999999999999999E-3</v>
      </c>
      <c r="F601" s="7">
        <v>846</v>
      </c>
      <c r="G601" s="8">
        <f t="shared" si="38"/>
        <v>6.4400196017724066E-12</v>
      </c>
      <c r="H601" s="9">
        <f t="shared" si="39"/>
        <v>1.9320058805321082E-13</v>
      </c>
      <c r="I601" s="10">
        <f>SUM($H$3:H601)</f>
        <v>0.63460417265209723</v>
      </c>
      <c r="J601" s="23">
        <v>2.5999999999999999E-3</v>
      </c>
      <c r="Q601" s="7">
        <f t="shared" si="37"/>
        <v>5.3477839846752115E-7</v>
      </c>
      <c r="R601" s="7">
        <f t="shared" si="36"/>
        <v>4.8937268539018217E-7</v>
      </c>
    </row>
    <row r="602" spans="1:18" x14ac:dyDescent="0.25">
      <c r="A602" s="22">
        <v>45449</v>
      </c>
      <c r="B602" s="12">
        <v>252.98</v>
      </c>
      <c r="C602" s="13">
        <v>6.7000000000000002E-3</v>
      </c>
      <c r="D602" s="7">
        <v>360</v>
      </c>
      <c r="E602" s="7">
        <v>2.5999999999999999E-3</v>
      </c>
      <c r="F602" s="7">
        <v>814</v>
      </c>
      <c r="G602" s="8">
        <f t="shared" si="38"/>
        <v>1.7068356008910719E-11</v>
      </c>
      <c r="H602" s="9">
        <f t="shared" si="39"/>
        <v>5.1205068026742395E-13</v>
      </c>
      <c r="I602" s="10">
        <f>SUM($H$3:H602)</f>
        <v>0.63460417265260927</v>
      </c>
      <c r="J602" s="23">
        <v>2.5999999999999999E-3</v>
      </c>
      <c r="Q602" s="7">
        <f t="shared" si="37"/>
        <v>5.5131793656445478E-7</v>
      </c>
      <c r="R602" s="7">
        <f t="shared" si="36"/>
        <v>5.0450792308266199E-7</v>
      </c>
    </row>
    <row r="603" spans="1:18" x14ac:dyDescent="0.25">
      <c r="A603" s="22">
        <v>45450</v>
      </c>
      <c r="B603" s="12">
        <v>258.42</v>
      </c>
      <c r="C603" s="13">
        <v>2.1499999999999998E-2</v>
      </c>
      <c r="D603" s="7">
        <v>359</v>
      </c>
      <c r="E603" s="7">
        <v>2.5999999999999999E-3</v>
      </c>
      <c r="F603" s="7">
        <v>757</v>
      </c>
      <c r="G603" s="8">
        <f t="shared" si="38"/>
        <v>9.6873020121014788E-11</v>
      </c>
      <c r="H603" s="9">
        <f t="shared" si="39"/>
        <v>2.9061906036310245E-12</v>
      </c>
      <c r="I603" s="10">
        <f>SUM($H$3:H603)</f>
        <v>0.6346041726555155</v>
      </c>
      <c r="J603" s="23">
        <v>2.5999999999999999E-3</v>
      </c>
      <c r="Q603" s="7">
        <f t="shared" si="37"/>
        <v>5.6836900676747913E-7</v>
      </c>
      <c r="R603" s="7">
        <f t="shared" si="36"/>
        <v>5.2011126090996081E-7</v>
      </c>
    </row>
    <row r="604" spans="1:18" x14ac:dyDescent="0.25">
      <c r="A604" s="22">
        <v>45453</v>
      </c>
      <c r="B604" s="12">
        <v>257.94</v>
      </c>
      <c r="C604" s="13">
        <v>-1.9E-3</v>
      </c>
      <c r="D604" s="7">
        <v>358</v>
      </c>
      <c r="E604" s="7">
        <v>2.5999999999999999E-3</v>
      </c>
      <c r="F604" s="7">
        <v>426</v>
      </c>
      <c r="G604" s="8">
        <f t="shared" si="38"/>
        <v>2.3161079507377072E-6</v>
      </c>
      <c r="H604" s="9">
        <f t="shared" si="39"/>
        <v>6.94832385221451E-8</v>
      </c>
      <c r="I604" s="10">
        <f>SUM($H$3:H604)</f>
        <v>0.63460424213875399</v>
      </c>
      <c r="J604" s="23">
        <v>2.5999999999999999E-3</v>
      </c>
      <c r="Q604" s="7">
        <f t="shared" si="37"/>
        <v>5.8594742965719494E-7</v>
      </c>
      <c r="R604" s="7">
        <f t="shared" si="36"/>
        <v>5.3619717619583579E-7</v>
      </c>
    </row>
    <row r="605" spans="1:18" x14ac:dyDescent="0.25">
      <c r="A605" s="22">
        <v>45454</v>
      </c>
      <c r="B605" s="12">
        <v>258.8</v>
      </c>
      <c r="C605" s="13">
        <v>3.3E-3</v>
      </c>
      <c r="D605" s="7">
        <v>357</v>
      </c>
      <c r="E605" s="7">
        <v>2.5999999999999999E-3</v>
      </c>
      <c r="F605" s="7">
        <v>401</v>
      </c>
      <c r="G605" s="8">
        <f t="shared" si="38"/>
        <v>4.9598145781281015E-6</v>
      </c>
      <c r="H605" s="9">
        <f t="shared" si="39"/>
        <v>1.487944373438728E-7</v>
      </c>
      <c r="I605" s="10">
        <f>SUM($H$3:H605)</f>
        <v>0.63460439093319132</v>
      </c>
      <c r="J605" s="23">
        <v>2.5999999999999999E-3</v>
      </c>
      <c r="Q605" s="7">
        <f t="shared" si="37"/>
        <v>6.040695151105104E-7</v>
      </c>
      <c r="R605" s="7">
        <f t="shared" si="36"/>
        <v>5.5278059401632575E-7</v>
      </c>
    </row>
    <row r="606" spans="1:18" x14ac:dyDescent="0.25">
      <c r="A606" s="22">
        <v>45455</v>
      </c>
      <c r="B606" s="12">
        <v>259.39</v>
      </c>
      <c r="C606" s="13">
        <v>2.3E-3</v>
      </c>
      <c r="D606" s="7">
        <v>356</v>
      </c>
      <c r="E606" s="7">
        <v>2.5999999999999999E-3</v>
      </c>
      <c r="F606" s="7">
        <v>214</v>
      </c>
      <c r="G606" s="8">
        <f t="shared" si="38"/>
        <v>1.4762201634069046E-3</v>
      </c>
      <c r="H606" s="9">
        <f t="shared" si="39"/>
        <v>4.4286604902215993E-5</v>
      </c>
      <c r="I606" s="10">
        <f>SUM($H$3:H606)</f>
        <v>0.63464867753809351</v>
      </c>
      <c r="J606" s="23">
        <v>2.5999999999999999E-3</v>
      </c>
      <c r="Q606" s="7">
        <f t="shared" si="37"/>
        <v>6.227520774335157E-7</v>
      </c>
      <c r="R606" s="7">
        <f t="shared" si="36"/>
        <v>5.6987690104775836E-7</v>
      </c>
    </row>
    <row r="607" spans="1:18" x14ac:dyDescent="0.25">
      <c r="A607" s="22">
        <v>45456</v>
      </c>
      <c r="B607" s="12">
        <v>260.3</v>
      </c>
      <c r="C607" s="13">
        <v>3.5000000000000001E-3</v>
      </c>
      <c r="D607" s="7">
        <v>355</v>
      </c>
      <c r="E607" s="7">
        <v>2.7000000000000001E-3</v>
      </c>
      <c r="F607" s="7">
        <v>903</v>
      </c>
      <c r="G607" s="8">
        <f t="shared" si="38"/>
        <v>1.1346869038469223E-12</v>
      </c>
      <c r="H607" s="9">
        <f t="shared" si="39"/>
        <v>3.4040607115414475E-14</v>
      </c>
      <c r="I607" s="10">
        <f>SUM($H$3:H607)</f>
        <v>0.63464867753812759</v>
      </c>
      <c r="J607" s="23">
        <v>2.7000000000000001E-3</v>
      </c>
      <c r="Q607" s="7">
        <f t="shared" si="37"/>
        <v>6.4201245096238752E-7</v>
      </c>
      <c r="R607" s="7">
        <f t="shared" si="36"/>
        <v>5.8750195984304999E-7</v>
      </c>
    </row>
    <row r="608" spans="1:18" x14ac:dyDescent="0.25">
      <c r="A608" s="22">
        <v>45457</v>
      </c>
      <c r="B608" s="12">
        <v>260.64999999999998</v>
      </c>
      <c r="C608" s="13">
        <v>1.2999999999999999E-3</v>
      </c>
      <c r="D608" s="7">
        <v>354</v>
      </c>
      <c r="E608" s="7">
        <v>2.7000000000000001E-3</v>
      </c>
      <c r="F608" s="7">
        <v>808</v>
      </c>
      <c r="G608" s="8">
        <f t="shared" si="38"/>
        <v>2.0490911948914267E-11</v>
      </c>
      <c r="H608" s="9">
        <f t="shared" si="39"/>
        <v>6.147273584675509E-13</v>
      </c>
      <c r="I608" s="10">
        <f>SUM($H$3:H608)</f>
        <v>0.63464867753874232</v>
      </c>
      <c r="J608" s="23">
        <v>2.7000000000000001E-3</v>
      </c>
      <c r="Q608" s="7">
        <f t="shared" si="37"/>
        <v>6.618685061467912E-7</v>
      </c>
      <c r="R608" s="7">
        <f t="shared" si="36"/>
        <v>6.0567212354953599E-7</v>
      </c>
    </row>
    <row r="609" spans="1:18" x14ac:dyDescent="0.25">
      <c r="A609" s="22">
        <v>45461</v>
      </c>
      <c r="B609" s="12">
        <v>261.56</v>
      </c>
      <c r="C609" s="13">
        <v>3.5000000000000001E-3</v>
      </c>
      <c r="D609" s="7">
        <v>353</v>
      </c>
      <c r="E609" s="7">
        <v>2.7000000000000001E-3</v>
      </c>
      <c r="F609" s="7">
        <v>654</v>
      </c>
      <c r="G609" s="8">
        <f t="shared" si="38"/>
        <v>2.2321028918306922E-9</v>
      </c>
      <c r="H609" s="9">
        <f t="shared" si="39"/>
        <v>6.6963086754934146E-11</v>
      </c>
      <c r="I609" s="10">
        <f>SUM($H$3:H609)</f>
        <v>0.63464867760570542</v>
      </c>
      <c r="J609" s="23">
        <v>2.7000000000000001E-3</v>
      </c>
      <c r="Q609" s="7">
        <f t="shared" si="37"/>
        <v>6.8233866613071242E-7</v>
      </c>
      <c r="R609" s="7">
        <f t="shared" si="36"/>
        <v>6.2440425108199572E-7</v>
      </c>
    </row>
    <row r="610" spans="1:18" x14ac:dyDescent="0.25">
      <c r="A610" s="22">
        <v>45462</v>
      </c>
      <c r="B610" s="12">
        <v>261.38</v>
      </c>
      <c r="C610" s="13">
        <v>-6.9999999999999999E-4</v>
      </c>
      <c r="D610" s="7">
        <v>352</v>
      </c>
      <c r="E610" s="7">
        <v>2.7000000000000001E-3</v>
      </c>
      <c r="F610" s="7">
        <v>369</v>
      </c>
      <c r="G610" s="8">
        <f t="shared" si="38"/>
        <v>1.3145283119072647E-5</v>
      </c>
      <c r="H610" s="9">
        <f t="shared" si="39"/>
        <v>3.9435849357225824E-7</v>
      </c>
      <c r="I610" s="10">
        <f>SUM($H$3:H610)</f>
        <v>0.63464907196419895</v>
      </c>
      <c r="J610" s="23">
        <v>2.7000000000000001E-3</v>
      </c>
      <c r="Q610" s="7">
        <f t="shared" si="37"/>
        <v>7.0344192384609533E-7</v>
      </c>
      <c r="R610" s="7">
        <f t="shared" si="36"/>
        <v>6.4371572276494417E-7</v>
      </c>
    </row>
    <row r="611" spans="1:18" x14ac:dyDescent="0.25">
      <c r="A611" s="22">
        <v>45463</v>
      </c>
      <c r="B611" s="12">
        <v>261.72000000000003</v>
      </c>
      <c r="C611" s="13">
        <v>1.2999999999999999E-3</v>
      </c>
      <c r="D611" s="7">
        <v>351</v>
      </c>
      <c r="E611" s="7">
        <v>2.7000000000000001E-3</v>
      </c>
      <c r="F611" s="7">
        <v>343</v>
      </c>
      <c r="G611" s="8">
        <f t="shared" si="38"/>
        <v>2.9020497501472171E-5</v>
      </c>
      <c r="H611" s="9">
        <f t="shared" si="39"/>
        <v>8.7061492504433911E-7</v>
      </c>
      <c r="I611" s="10">
        <f>SUM($H$3:H611)</f>
        <v>0.63464994257912399</v>
      </c>
      <c r="J611" s="23">
        <v>2.7000000000000001E-3</v>
      </c>
      <c r="Q611" s="7">
        <f t="shared" si="37"/>
        <v>7.251978596351499E-7</v>
      </c>
      <c r="R611" s="7">
        <f t="shared" si="36"/>
        <v>6.6362445645870537E-7</v>
      </c>
    </row>
    <row r="612" spans="1:18" x14ac:dyDescent="0.25">
      <c r="A612" s="22">
        <v>45464</v>
      </c>
      <c r="B612" s="12">
        <v>260.87</v>
      </c>
      <c r="C612" s="13">
        <v>-3.2000000000000002E-3</v>
      </c>
      <c r="D612" s="7">
        <v>350</v>
      </c>
      <c r="E612" s="7">
        <v>2.7000000000000001E-3</v>
      </c>
      <c r="F612" s="7">
        <v>284</v>
      </c>
      <c r="G612" s="8">
        <f t="shared" si="38"/>
        <v>1.7505419860821135E-4</v>
      </c>
      <c r="H612" s="9">
        <f t="shared" si="39"/>
        <v>5.2516259582473897E-6</v>
      </c>
      <c r="I612" s="10">
        <f>SUM($H$3:H612)</f>
        <v>0.63465519420508221</v>
      </c>
      <c r="J612" s="23">
        <v>2.7000000000000001E-3</v>
      </c>
      <c r="Q612" s="7">
        <f t="shared" si="37"/>
        <v>7.4762665941768019E-7</v>
      </c>
      <c r="R612" s="7">
        <f t="shared" si="36"/>
        <v>6.8414892418423227E-7</v>
      </c>
    </row>
    <row r="613" spans="1:18" x14ac:dyDescent="0.25">
      <c r="A613" s="22">
        <v>45467</v>
      </c>
      <c r="B613" s="12">
        <v>261.66000000000003</v>
      </c>
      <c r="C613" s="13">
        <v>3.0000000000000001E-3</v>
      </c>
      <c r="D613" s="7">
        <v>349</v>
      </c>
      <c r="E613" s="7">
        <v>2.7000000000000001E-3</v>
      </c>
      <c r="F613" s="7">
        <v>221</v>
      </c>
      <c r="G613" s="8">
        <f t="shared" si="38"/>
        <v>1.1927605671527752E-3</v>
      </c>
      <c r="H613" s="9">
        <f t="shared" si="39"/>
        <v>3.5782817014590406E-5</v>
      </c>
      <c r="I613" s="10">
        <f>SUM($H$3:H613)</f>
        <v>0.63469097702209676</v>
      </c>
      <c r="J613" s="23">
        <v>2.7000000000000001E-3</v>
      </c>
      <c r="Q613" s="7">
        <f t="shared" si="37"/>
        <v>7.7074913342028909E-7</v>
      </c>
      <c r="R613" s="7">
        <f t="shared" si="36"/>
        <v>7.0530816926209532E-7</v>
      </c>
    </row>
    <row r="614" spans="1:18" x14ac:dyDescent="0.25">
      <c r="A614" s="22">
        <v>45468</v>
      </c>
      <c r="B614" s="12">
        <v>263.58999999999997</v>
      </c>
      <c r="C614" s="13">
        <v>7.4000000000000003E-3</v>
      </c>
      <c r="D614" s="7">
        <v>348</v>
      </c>
      <c r="E614" s="7">
        <v>2.8E-3</v>
      </c>
      <c r="F614" s="7">
        <v>825</v>
      </c>
      <c r="G614" s="8">
        <f t="shared" si="38"/>
        <v>1.2209019001580702E-11</v>
      </c>
      <c r="H614" s="9">
        <f t="shared" si="39"/>
        <v>3.6627057004749427E-13</v>
      </c>
      <c r="I614" s="10">
        <f>SUM($H$3:H614)</f>
        <v>0.63469097702246302</v>
      </c>
      <c r="J614" s="23">
        <v>2.8E-3</v>
      </c>
      <c r="Q614" s="7">
        <f t="shared" si="37"/>
        <v>7.9458673548483407E-7</v>
      </c>
      <c r="R614" s="7">
        <f t="shared" si="36"/>
        <v>7.2712182398154153E-7</v>
      </c>
    </row>
    <row r="615" spans="1:18" x14ac:dyDescent="0.25">
      <c r="A615" s="22">
        <v>45469</v>
      </c>
      <c r="B615" s="12">
        <v>265.01</v>
      </c>
      <c r="C615" s="13">
        <v>5.4000000000000003E-3</v>
      </c>
      <c r="D615" s="7">
        <v>347</v>
      </c>
      <c r="E615" s="7">
        <v>2.8E-3</v>
      </c>
      <c r="F615" s="7">
        <v>725</v>
      </c>
      <c r="G615" s="8">
        <f t="shared" si="38"/>
        <v>2.5674816185789087E-10</v>
      </c>
      <c r="H615" s="9">
        <f t="shared" si="39"/>
        <v>7.7024448557382658E-12</v>
      </c>
      <c r="I615" s="10">
        <f>SUM($H$3:H615)</f>
        <v>0.63469097703016542</v>
      </c>
      <c r="J615" s="23">
        <v>2.8E-3</v>
      </c>
      <c r="Q615" s="7">
        <f t="shared" si="37"/>
        <v>8.191615829740555E-7</v>
      </c>
      <c r="R615" s="7">
        <f t="shared" si="36"/>
        <v>7.4961012781602189E-7</v>
      </c>
    </row>
    <row r="616" spans="1:18" x14ac:dyDescent="0.25">
      <c r="A616" s="22">
        <v>45470</v>
      </c>
      <c r="B616" s="12">
        <v>266.95</v>
      </c>
      <c r="C616" s="13">
        <v>7.3000000000000001E-3</v>
      </c>
      <c r="D616" s="7">
        <v>346</v>
      </c>
      <c r="E616" s="7">
        <v>2.8999999999999998E-3</v>
      </c>
      <c r="F616" s="7">
        <v>466</v>
      </c>
      <c r="G616" s="8">
        <f t="shared" si="38"/>
        <v>6.8490157997596503E-7</v>
      </c>
      <c r="H616" s="9">
        <f t="shared" si="39"/>
        <v>2.0547047399283057E-8</v>
      </c>
      <c r="I616" s="10">
        <f>SUM($H$3:H616)</f>
        <v>0.63469099757721281</v>
      </c>
      <c r="J616" s="23">
        <v>2.8999999999999998E-3</v>
      </c>
      <c r="Q616" s="7">
        <f t="shared" si="37"/>
        <v>8.4449647729284095E-7</v>
      </c>
      <c r="R616" s="7">
        <f t="shared" si="36"/>
        <v>7.7279394620208469E-7</v>
      </c>
    </row>
    <row r="617" spans="1:18" x14ac:dyDescent="0.25">
      <c r="A617" s="22">
        <v>45471</v>
      </c>
      <c r="B617" s="12">
        <v>267.48</v>
      </c>
      <c r="C617" s="13">
        <v>2E-3</v>
      </c>
      <c r="D617" s="7">
        <v>345</v>
      </c>
      <c r="E617" s="7">
        <v>2.8999999999999998E-3</v>
      </c>
      <c r="F617" s="7">
        <v>90</v>
      </c>
      <c r="G617" s="8">
        <f t="shared" si="38"/>
        <v>6.4484610946532295E-2</v>
      </c>
      <c r="H617" s="9">
        <f t="shared" si="39"/>
        <v>1.9345383283963554E-3</v>
      </c>
      <c r="I617" s="10">
        <f>SUM($H$3:H617)</f>
        <v>0.63662553590560922</v>
      </c>
      <c r="J617" s="23">
        <v>2.8999999999999998E-3</v>
      </c>
      <c r="Q617" s="7">
        <f t="shared" si="37"/>
        <v>8.706149250441659E-7</v>
      </c>
      <c r="R617" s="7">
        <f t="shared" si="36"/>
        <v>7.9669478989905631E-7</v>
      </c>
    </row>
    <row r="618" spans="1:18" x14ac:dyDescent="0.25">
      <c r="A618" s="22">
        <v>45474</v>
      </c>
      <c r="B618" s="12">
        <v>268.3</v>
      </c>
      <c r="C618" s="13">
        <v>3.0999999999999999E-3</v>
      </c>
      <c r="D618" s="7">
        <v>344</v>
      </c>
      <c r="E618" s="7">
        <v>2.8999999999999998E-3</v>
      </c>
      <c r="F618" s="7">
        <v>81</v>
      </c>
      <c r="G618" s="8">
        <f t="shared" si="38"/>
        <v>8.4822384211262411E-2</v>
      </c>
      <c r="H618" s="9">
        <f t="shared" si="39"/>
        <v>2.544671526338381E-3</v>
      </c>
      <c r="I618" s="10">
        <f>SUM($H$3:H618)</f>
        <v>0.63917020743194763</v>
      </c>
      <c r="J618" s="23">
        <v>2.8999999999999998E-3</v>
      </c>
      <c r="Q618" s="7">
        <f t="shared" si="37"/>
        <v>8.9754115983934633E-7</v>
      </c>
      <c r="R618" s="7">
        <f t="shared" si="36"/>
        <v>8.2133483494748081E-7</v>
      </c>
    </row>
    <row r="619" spans="1:18" x14ac:dyDescent="0.25">
      <c r="A619" s="22">
        <v>45475</v>
      </c>
      <c r="B619" s="12">
        <v>269.02999999999997</v>
      </c>
      <c r="C619" s="13">
        <v>2.7000000000000001E-3</v>
      </c>
      <c r="D619" s="7">
        <v>343</v>
      </c>
      <c r="E619" s="7">
        <v>3.0000000000000001E-3</v>
      </c>
      <c r="F619" s="7">
        <v>517</v>
      </c>
      <c r="G619" s="8">
        <f t="shared" si="38"/>
        <v>1.4487272051008652E-7</v>
      </c>
      <c r="H619" s="9">
        <f t="shared" si="39"/>
        <v>4.3461816153034639E-9</v>
      </c>
      <c r="I619" s="10">
        <f>SUM($H$3:H619)</f>
        <v>0.63917021177812927</v>
      </c>
      <c r="J619" s="23">
        <v>3.0000000000000001E-3</v>
      </c>
      <c r="Q619" s="7">
        <f t="shared" si="37"/>
        <v>9.2530016478283126E-7</v>
      </c>
      <c r="R619" s="7">
        <f t="shared" si="36"/>
        <v>8.4673694324482561E-7</v>
      </c>
    </row>
    <row r="620" spans="1:18" x14ac:dyDescent="0.25">
      <c r="A620" s="22">
        <v>45476</v>
      </c>
      <c r="B620" s="12">
        <v>270.23</v>
      </c>
      <c r="C620" s="13">
        <v>4.4999999999999997E-3</v>
      </c>
      <c r="D620" s="7">
        <v>342</v>
      </c>
      <c r="E620" s="7">
        <v>3.0000000000000001E-3</v>
      </c>
      <c r="F620" s="7">
        <v>349</v>
      </c>
      <c r="G620" s="8">
        <f t="shared" si="38"/>
        <v>2.4173261987838308E-5</v>
      </c>
      <c r="H620" s="9">
        <f t="shared" si="39"/>
        <v>7.2519785963529422E-7</v>
      </c>
      <c r="I620" s="10">
        <f>SUM($H$3:H620)</f>
        <v>0.63917093697598892</v>
      </c>
      <c r="J620" s="23">
        <v>3.0000000000000001E-3</v>
      </c>
      <c r="Q620" s="7">
        <f t="shared" si="37"/>
        <v>9.5391769565240342E-7</v>
      </c>
      <c r="R620" s="7">
        <f t="shared" si="36"/>
        <v>8.7292468375755218E-7</v>
      </c>
    </row>
    <row r="621" spans="1:18" x14ac:dyDescent="0.25">
      <c r="A621" s="22">
        <v>45477</v>
      </c>
      <c r="B621" s="12">
        <v>270.52999999999997</v>
      </c>
      <c r="C621" s="13">
        <v>1.1000000000000001E-3</v>
      </c>
      <c r="D621" s="7">
        <v>341</v>
      </c>
      <c r="E621" s="7">
        <v>3.0000000000000001E-3</v>
      </c>
      <c r="F621" s="7">
        <v>268</v>
      </c>
      <c r="G621" s="8">
        <f t="shared" si="38"/>
        <v>2.8498682526573768E-4</v>
      </c>
      <c r="H621" s="9">
        <f t="shared" si="39"/>
        <v>8.5496047579738393E-6</v>
      </c>
      <c r="I621" s="10">
        <f>SUM($H$3:H621)</f>
        <v>0.63917948658074686</v>
      </c>
      <c r="J621" s="23">
        <v>3.0000000000000001E-3</v>
      </c>
      <c r="Q621" s="7">
        <f t="shared" si="37"/>
        <v>9.8342030479629201E-7</v>
      </c>
      <c r="R621" s="7">
        <f t="shared" si="36"/>
        <v>8.9992235438922894E-7</v>
      </c>
    </row>
    <row r="622" spans="1:18" x14ac:dyDescent="0.25">
      <c r="A622" s="22">
        <v>45478</v>
      </c>
      <c r="B622" s="12">
        <v>270.52999999999997</v>
      </c>
      <c r="C622" s="13">
        <v>0</v>
      </c>
      <c r="D622" s="7">
        <v>340</v>
      </c>
      <c r="E622" s="7">
        <v>3.0000000000000001E-3</v>
      </c>
      <c r="F622" s="7">
        <v>111</v>
      </c>
      <c r="G622" s="8">
        <f t="shared" si="38"/>
        <v>3.4014375639399762E-2</v>
      </c>
      <c r="H622" s="9">
        <f t="shared" si="39"/>
        <v>1.0204312691821967E-3</v>
      </c>
      <c r="I622" s="10">
        <f>SUM($H$3:H622)</f>
        <v>0.64019991784992902</v>
      </c>
      <c r="J622" s="23">
        <v>3.0000000000000001E-3</v>
      </c>
      <c r="Q622" s="7">
        <f t="shared" si="37"/>
        <v>1.0138353657693734E-6</v>
      </c>
      <c r="R622" s="7">
        <f t="shared" si="36"/>
        <v>9.2775500452497839E-7</v>
      </c>
    </row>
    <row r="623" spans="1:18" x14ac:dyDescent="0.25">
      <c r="A623" s="22">
        <v>45481</v>
      </c>
      <c r="B623" s="12">
        <v>270.04000000000002</v>
      </c>
      <c r="C623" s="13">
        <v>-1.8E-3</v>
      </c>
      <c r="D623" s="7">
        <v>339</v>
      </c>
      <c r="E623" s="7">
        <v>3.0999999999999999E-3</v>
      </c>
      <c r="F623" s="7">
        <v>790</v>
      </c>
      <c r="G623" s="8">
        <f t="shared" si="38"/>
        <v>3.5454394300917858E-11</v>
      </c>
      <c r="H623" s="9">
        <f t="shared" si="39"/>
        <v>1.0636318290277484E-12</v>
      </c>
      <c r="I623" s="10">
        <f>SUM($H$3:H623)</f>
        <v>0.64019991785099262</v>
      </c>
      <c r="J623" s="23">
        <v>3.0999999999999999E-3</v>
      </c>
      <c r="Q623" s="7">
        <f t="shared" si="37"/>
        <v>1.0451910987313126E-6</v>
      </c>
      <c r="R623" s="7">
        <f t="shared" si="36"/>
        <v>9.5644845827317351E-7</v>
      </c>
    </row>
    <row r="624" spans="1:18" x14ac:dyDescent="0.25">
      <c r="A624" s="22">
        <v>45482</v>
      </c>
      <c r="B624" s="12">
        <v>271.38</v>
      </c>
      <c r="C624" s="13">
        <v>5.0000000000000001E-3</v>
      </c>
      <c r="D624" s="7">
        <v>338</v>
      </c>
      <c r="E624" s="7">
        <v>3.0999999999999999E-3</v>
      </c>
      <c r="F624" s="7">
        <v>738</v>
      </c>
      <c r="G624" s="8">
        <f t="shared" si="38"/>
        <v>1.7279846828057631E-10</v>
      </c>
      <c r="H624" s="9">
        <f t="shared" si="39"/>
        <v>5.1839540484183255E-12</v>
      </c>
      <c r="I624" s="10">
        <f>SUM($H$3:H624)</f>
        <v>0.64019991785617658</v>
      </c>
      <c r="J624" s="23">
        <v>3.0999999999999999E-3</v>
      </c>
      <c r="Q624" s="7">
        <f t="shared" si="37"/>
        <v>1.0775165966302193E-6</v>
      </c>
      <c r="R624" s="7">
        <f t="shared" si="36"/>
        <v>9.860293384259522E-7</v>
      </c>
    </row>
    <row r="625" spans="1:18" x14ac:dyDescent="0.25">
      <c r="A625" s="22">
        <v>45483</v>
      </c>
      <c r="B625" s="12">
        <v>270.92</v>
      </c>
      <c r="C625" s="13">
        <v>-1.6999999999999999E-3</v>
      </c>
      <c r="D625" s="7">
        <v>337</v>
      </c>
      <c r="E625" s="7">
        <v>3.0999999999999999E-3</v>
      </c>
      <c r="F625" s="7">
        <v>598</v>
      </c>
      <c r="G625" s="8">
        <f t="shared" si="38"/>
        <v>1.2288449560837395E-8</v>
      </c>
      <c r="H625" s="9">
        <f t="shared" si="39"/>
        <v>3.6865348682519556E-10</v>
      </c>
      <c r="I625" s="10">
        <f>SUM($H$3:H625)</f>
        <v>0.64019991822483002</v>
      </c>
      <c r="J625" s="23">
        <v>3.0999999999999999E-3</v>
      </c>
      <c r="Q625" s="7">
        <f t="shared" si="37"/>
        <v>1.1108418521961025E-6</v>
      </c>
      <c r="R625" s="7">
        <f t="shared" si="36"/>
        <v>1.0165250911607755E-6</v>
      </c>
    </row>
    <row r="626" spans="1:18" x14ac:dyDescent="0.25">
      <c r="A626" s="22">
        <v>45484</v>
      </c>
      <c r="B626" s="12">
        <v>270.75</v>
      </c>
      <c r="C626" s="13">
        <v>-5.9999999999999995E-4</v>
      </c>
      <c r="D626" s="7">
        <v>336</v>
      </c>
      <c r="E626" s="7">
        <v>3.0999999999999999E-3</v>
      </c>
      <c r="F626" s="7">
        <v>408</v>
      </c>
      <c r="G626" s="8">
        <f t="shared" si="38"/>
        <v>4.007445092422863E-6</v>
      </c>
      <c r="H626" s="9">
        <f t="shared" si="39"/>
        <v>1.2022335277270992E-7</v>
      </c>
      <c r="I626" s="10">
        <f>SUM($H$3:H626)</f>
        <v>0.64020003844818274</v>
      </c>
      <c r="J626" s="23">
        <v>3.0999999999999999E-3</v>
      </c>
      <c r="Q626" s="7">
        <f t="shared" si="37"/>
        <v>1.1451977857691777E-6</v>
      </c>
      <c r="R626" s="7">
        <f t="shared" si="36"/>
        <v>1.0479640115059539E-6</v>
      </c>
    </row>
    <row r="627" spans="1:18" x14ac:dyDescent="0.25">
      <c r="A627" s="22">
        <v>45485</v>
      </c>
      <c r="B627" s="12">
        <v>271.94</v>
      </c>
      <c r="C627" s="13">
        <v>4.4000000000000003E-3</v>
      </c>
      <c r="D627" s="7">
        <v>335</v>
      </c>
      <c r="E627" s="7">
        <v>3.0999999999999999E-3</v>
      </c>
      <c r="F627" s="7">
        <v>384</v>
      </c>
      <c r="G627" s="8">
        <f t="shared" si="38"/>
        <v>8.3242661666925176E-6</v>
      </c>
      <c r="H627" s="9">
        <f t="shared" si="39"/>
        <v>2.4972798500082543E-7</v>
      </c>
      <c r="I627" s="10">
        <f>SUM($H$3:H627)</f>
        <v>0.6402002881761677</v>
      </c>
      <c r="J627" s="23">
        <v>3.0999999999999999E-3</v>
      </c>
      <c r="Q627" s="7">
        <f t="shared" si="37"/>
        <v>1.180616273988843E-6</v>
      </c>
      <c r="R627" s="7">
        <f t="shared" si="36"/>
        <v>1.080375269593767E-6</v>
      </c>
    </row>
    <row r="628" spans="1:18" x14ac:dyDescent="0.25">
      <c r="A628" s="22">
        <v>45488</v>
      </c>
      <c r="B628" s="12">
        <v>273.08999999999997</v>
      </c>
      <c r="C628" s="13">
        <v>4.1999999999999997E-3</v>
      </c>
      <c r="D628" s="7">
        <v>334</v>
      </c>
      <c r="E628" s="7">
        <v>3.0999999999999999E-3</v>
      </c>
      <c r="F628" s="7">
        <v>344</v>
      </c>
      <c r="G628" s="8">
        <f t="shared" si="38"/>
        <v>2.8149882576428008E-5</v>
      </c>
      <c r="H628" s="9">
        <f t="shared" si="39"/>
        <v>8.4449647729300908E-7</v>
      </c>
      <c r="I628" s="10">
        <f>SUM($H$3:H628)</f>
        <v>0.640201132672645</v>
      </c>
      <c r="J628" s="23">
        <v>3.0999999999999999E-3</v>
      </c>
      <c r="Q628" s="7">
        <f t="shared" si="37"/>
        <v>1.2171301793699413E-6</v>
      </c>
      <c r="R628" s="7">
        <f t="shared" si="36"/>
        <v>1.1137889377255331E-6</v>
      </c>
    </row>
    <row r="629" spans="1:18" x14ac:dyDescent="0.25">
      <c r="A629" s="22">
        <v>45489</v>
      </c>
      <c r="B629" s="12">
        <v>273.55</v>
      </c>
      <c r="C629" s="13">
        <v>1.6999999999999999E-3</v>
      </c>
      <c r="D629" s="7">
        <v>333</v>
      </c>
      <c r="E629" s="7">
        <v>3.0999999999999999E-3</v>
      </c>
      <c r="F629" s="7">
        <v>118</v>
      </c>
      <c r="G629" s="8">
        <f t="shared" si="38"/>
        <v>2.7483031992576182E-2</v>
      </c>
      <c r="H629" s="9">
        <f t="shared" si="39"/>
        <v>8.2449095977745032E-4</v>
      </c>
      <c r="I629" s="10">
        <f>SUM($H$3:H629)</f>
        <v>0.64102562363242244</v>
      </c>
      <c r="J629" s="23">
        <v>3.0999999999999999E-3</v>
      </c>
      <c r="Q629" s="7">
        <f t="shared" si="37"/>
        <v>1.254773380793754E-6</v>
      </c>
      <c r="R629" s="7">
        <f t="shared" si="36"/>
        <v>1.1482360182737455E-6</v>
      </c>
    </row>
    <row r="630" spans="1:18" x14ac:dyDescent="0.25">
      <c r="A630" s="22">
        <v>45491</v>
      </c>
      <c r="B630" s="12">
        <v>275.51</v>
      </c>
      <c r="C630" s="13">
        <v>7.1999999999999998E-3</v>
      </c>
      <c r="D630" s="7">
        <v>332</v>
      </c>
      <c r="E630" s="7">
        <v>3.2000000000000002E-3</v>
      </c>
      <c r="F630" s="7">
        <v>762</v>
      </c>
      <c r="G630" s="8">
        <f t="shared" si="38"/>
        <v>8.3188158550236145E-11</v>
      </c>
      <c r="H630" s="9">
        <f t="shared" si="39"/>
        <v>2.4956447565075833E-12</v>
      </c>
      <c r="I630" s="10">
        <f>SUM($H$3:H630)</f>
        <v>0.64102562363491811</v>
      </c>
      <c r="J630" s="23">
        <v>3.2000000000000002E-3</v>
      </c>
      <c r="Q630" s="7">
        <f t="shared" si="37"/>
        <v>1.2935808049420146E-6</v>
      </c>
      <c r="R630" s="7">
        <f t="shared" si="36"/>
        <v>1.1837484724471604E-6</v>
      </c>
    </row>
    <row r="631" spans="1:18" x14ac:dyDescent="0.25">
      <c r="A631" s="22">
        <v>45492</v>
      </c>
      <c r="B631" s="12">
        <v>273.29000000000002</v>
      </c>
      <c r="C631" s="13">
        <v>-8.0999999999999996E-3</v>
      </c>
      <c r="D631" s="7">
        <v>331</v>
      </c>
      <c r="E631" s="7">
        <v>3.2000000000000002E-3</v>
      </c>
      <c r="F631" s="7">
        <v>563</v>
      </c>
      <c r="G631" s="8">
        <f t="shared" si="38"/>
        <v>3.5685056761764592E-8</v>
      </c>
      <c r="H631" s="9">
        <f t="shared" si="39"/>
        <v>1.0705517028531518E-9</v>
      </c>
      <c r="I631" s="10">
        <f>SUM($H$3:H631)</f>
        <v>0.64102562470546975</v>
      </c>
      <c r="J631" s="23">
        <v>3.2000000000000002E-3</v>
      </c>
      <c r="Q631" s="7">
        <f t="shared" si="37"/>
        <v>1.3335884587031077E-6</v>
      </c>
      <c r="R631" s="7">
        <f t="shared" si="36"/>
        <v>1.2203592499455262E-6</v>
      </c>
    </row>
    <row r="632" spans="1:18" x14ac:dyDescent="0.25">
      <c r="A632" s="22">
        <v>45495</v>
      </c>
      <c r="B632" s="12">
        <v>272.45</v>
      </c>
      <c r="C632" s="13">
        <v>-3.0999999999999999E-3</v>
      </c>
      <c r="D632" s="7">
        <v>330</v>
      </c>
      <c r="E632" s="7">
        <v>3.2000000000000002E-3</v>
      </c>
      <c r="F632" s="7">
        <v>364</v>
      </c>
      <c r="G632" s="8">
        <f t="shared" si="38"/>
        <v>1.5307746899113756E-5</v>
      </c>
      <c r="H632" s="9">
        <f t="shared" si="39"/>
        <v>4.5923240697350445E-7</v>
      </c>
      <c r="I632" s="10">
        <f>SUM($H$3:H632)</f>
        <v>0.64102608393787675</v>
      </c>
      <c r="J632" s="23">
        <v>3.2000000000000002E-3</v>
      </c>
      <c r="Q632" s="7">
        <f t="shared" si="37"/>
        <v>1.3748334625805236E-6</v>
      </c>
      <c r="R632" s="7">
        <f t="shared" si="36"/>
        <v>1.2581023195314703E-6</v>
      </c>
    </row>
    <row r="633" spans="1:18" x14ac:dyDescent="0.25">
      <c r="A633" s="22">
        <v>45496</v>
      </c>
      <c r="B633" s="12">
        <v>272.64</v>
      </c>
      <c r="C633" s="13">
        <v>6.9999999999999999E-4</v>
      </c>
      <c r="D633" s="7">
        <v>329</v>
      </c>
      <c r="E633" s="7">
        <v>3.2000000000000002E-3</v>
      </c>
      <c r="F633" s="7">
        <v>197</v>
      </c>
      <c r="G633" s="8">
        <f t="shared" si="38"/>
        <v>2.4776026134177005E-3</v>
      </c>
      <c r="H633" s="9">
        <f t="shared" si="39"/>
        <v>7.4328078402545873E-5</v>
      </c>
      <c r="I633" s="10">
        <f>SUM($H$3:H633)</f>
        <v>0.64110041201627932</v>
      </c>
      <c r="J633" s="23">
        <v>3.2000000000000002E-3</v>
      </c>
      <c r="Q633" s="7">
        <f t="shared" si="37"/>
        <v>1.4173540851345603E-6</v>
      </c>
      <c r="R633" s="7">
        <f t="shared" si="36"/>
        <v>1.2970127005479074E-6</v>
      </c>
    </row>
    <row r="634" spans="1:18" x14ac:dyDescent="0.25">
      <c r="A634" s="22">
        <v>45497</v>
      </c>
      <c r="B634" s="12">
        <v>271.89</v>
      </c>
      <c r="C634" s="13">
        <v>-2.8E-3</v>
      </c>
      <c r="D634" s="7">
        <v>328</v>
      </c>
      <c r="E634" s="7">
        <v>3.2000000000000002E-3</v>
      </c>
      <c r="F634" s="7">
        <v>158</v>
      </c>
      <c r="G634" s="8">
        <f t="shared" si="38"/>
        <v>8.1270702551882457E-3</v>
      </c>
      <c r="H634" s="9">
        <f t="shared" si="39"/>
        <v>2.4381210765569611E-4</v>
      </c>
      <c r="I634" s="10">
        <f>SUM($H$3:H634)</f>
        <v>0.64134422412393499</v>
      </c>
      <c r="J634" s="23">
        <v>3.2000000000000002E-3</v>
      </c>
      <c r="Q634" s="7">
        <f t="shared" si="37"/>
        <v>1.4611897784892374E-6</v>
      </c>
      <c r="R634" s="7">
        <f t="shared" si="36"/>
        <v>1.337126495410214E-6</v>
      </c>
    </row>
    <row r="635" spans="1:18" x14ac:dyDescent="0.25">
      <c r="A635" s="22">
        <v>45498</v>
      </c>
      <c r="B635" s="12">
        <v>271.92</v>
      </c>
      <c r="C635" s="13">
        <v>1E-4</v>
      </c>
      <c r="D635" s="7">
        <v>327</v>
      </c>
      <c r="E635" s="7">
        <v>3.2000000000000002E-3</v>
      </c>
      <c r="F635" s="7">
        <v>61</v>
      </c>
      <c r="G635" s="8">
        <f t="shared" si="38"/>
        <v>0.15598246895092943</v>
      </c>
      <c r="H635" s="9">
        <f t="shared" si="39"/>
        <v>4.6794740685288183E-3</v>
      </c>
      <c r="I635" s="10">
        <f>SUM($H$3:H635)</f>
        <v>0.64602369819246386</v>
      </c>
      <c r="J635" s="23">
        <v>3.2000000000000002E-3</v>
      </c>
      <c r="Q635" s="7">
        <f t="shared" si="37"/>
        <v>1.5063812149373581E-6</v>
      </c>
      <c r="R635" s="7">
        <f t="shared" si="36"/>
        <v>1.3784809231033134E-6</v>
      </c>
    </row>
    <row r="636" spans="1:18" x14ac:dyDescent="0.25">
      <c r="A636" s="22">
        <v>45499</v>
      </c>
      <c r="B636" s="12">
        <v>276.06</v>
      </c>
      <c r="C636" s="13">
        <v>1.52E-2</v>
      </c>
      <c r="D636" s="7">
        <v>326</v>
      </c>
      <c r="E636" s="7">
        <v>3.3E-3</v>
      </c>
      <c r="F636" s="7">
        <v>397</v>
      </c>
      <c r="G636" s="8">
        <f t="shared" si="38"/>
        <v>5.6024566359328074E-6</v>
      </c>
      <c r="H636" s="9">
        <f t="shared" si="39"/>
        <v>1.6807369907801782E-7</v>
      </c>
      <c r="I636" s="10">
        <f>SUM($H$3:H636)</f>
        <v>0.64602386626616293</v>
      </c>
      <c r="J636" s="23">
        <v>3.3E-3</v>
      </c>
      <c r="Q636" s="7">
        <f t="shared" si="37"/>
        <v>1.552970324677689E-6</v>
      </c>
      <c r="R636" s="7">
        <f t="shared" si="36"/>
        <v>1.4211143537147562E-6</v>
      </c>
    </row>
    <row r="637" spans="1:18" x14ac:dyDescent="0.25">
      <c r="A637" s="22">
        <v>45502</v>
      </c>
      <c r="B637" s="12">
        <v>276.68</v>
      </c>
      <c r="C637" s="13">
        <v>2.2000000000000001E-3</v>
      </c>
      <c r="D637" s="7">
        <v>325</v>
      </c>
      <c r="E637" s="7">
        <v>3.3E-3</v>
      </c>
      <c r="F637" s="7">
        <v>361</v>
      </c>
      <c r="G637" s="8">
        <f t="shared" si="38"/>
        <v>1.6772433170603006E-5</v>
      </c>
      <c r="H637" s="9">
        <f t="shared" si="39"/>
        <v>5.0317299511819073E-7</v>
      </c>
      <c r="I637" s="10">
        <f>SUM($H$3:H637)</f>
        <v>0.64602436943915809</v>
      </c>
      <c r="J637" s="23">
        <v>3.3E-3</v>
      </c>
      <c r="Q637" s="7">
        <f t="shared" si="37"/>
        <v>1.6010003347192671E-6</v>
      </c>
      <c r="R637" s="7">
        <f t="shared" si="36"/>
        <v>1.4650663440358312E-6</v>
      </c>
    </row>
    <row r="638" spans="1:18" x14ac:dyDescent="0.25">
      <c r="A638" s="22">
        <v>45503</v>
      </c>
      <c r="B638" s="12">
        <v>277.10000000000002</v>
      </c>
      <c r="C638" s="13">
        <v>1.5E-3</v>
      </c>
      <c r="D638" s="7">
        <v>324</v>
      </c>
      <c r="E638" s="7">
        <v>3.3E-3</v>
      </c>
      <c r="F638" s="7">
        <v>357</v>
      </c>
      <c r="G638" s="8">
        <f t="shared" si="38"/>
        <v>1.8945633558915955E-5</v>
      </c>
      <c r="H638" s="9">
        <f t="shared" si="39"/>
        <v>5.6836900676759221E-7</v>
      </c>
      <c r="I638" s="10">
        <f>SUM($H$3:H638)</f>
        <v>0.64602493780816483</v>
      </c>
      <c r="J638" s="23">
        <v>3.3E-3</v>
      </c>
      <c r="Q638" s="7">
        <f t="shared" si="37"/>
        <v>1.650515808988935E-6</v>
      </c>
      <c r="R638" s="7">
        <f t="shared" si="36"/>
        <v>1.5103776742637435E-6</v>
      </c>
    </row>
    <row r="639" spans="1:18" x14ac:dyDescent="0.25">
      <c r="A639" s="22">
        <v>45504</v>
      </c>
      <c r="B639" s="12">
        <v>277.75</v>
      </c>
      <c r="C639" s="13">
        <v>2.3E-3</v>
      </c>
      <c r="D639" s="7">
        <v>323</v>
      </c>
      <c r="E639" s="7">
        <v>3.3E-3</v>
      </c>
      <c r="F639" s="7">
        <v>209</v>
      </c>
      <c r="G639" s="8">
        <f t="shared" si="38"/>
        <v>1.7190656469022044E-3</v>
      </c>
      <c r="H639" s="9">
        <f t="shared" si="39"/>
        <v>5.157196940707644E-5</v>
      </c>
      <c r="I639" s="10">
        <f>SUM($H$3:H639)</f>
        <v>0.64607650977757192</v>
      </c>
      <c r="J639" s="23">
        <v>3.3E-3</v>
      </c>
      <c r="Q639" s="7">
        <f t="shared" si="37"/>
        <v>1.7015626896793145E-6</v>
      </c>
      <c r="R639" s="7">
        <f t="shared" si="36"/>
        <v>1.5570903858389108E-6</v>
      </c>
    </row>
    <row r="640" spans="1:18" x14ac:dyDescent="0.25">
      <c r="A640" s="22">
        <v>45505</v>
      </c>
      <c r="B640" s="12">
        <v>278.33</v>
      </c>
      <c r="C640" s="13">
        <v>2.0999999999999999E-3</v>
      </c>
      <c r="D640" s="7">
        <v>322</v>
      </c>
      <c r="E640" s="7">
        <v>3.3E-3</v>
      </c>
      <c r="F640" s="7">
        <v>129</v>
      </c>
      <c r="G640" s="8">
        <f t="shared" si="38"/>
        <v>1.9658651345404347E-2</v>
      </c>
      <c r="H640" s="9">
        <f t="shared" si="39"/>
        <v>5.8975954036224825E-4</v>
      </c>
      <c r="I640" s="10">
        <f>SUM($H$3:H640)</f>
        <v>0.64666626931793414</v>
      </c>
      <c r="J640" s="23">
        <v>3.3E-3</v>
      </c>
      <c r="Q640" s="7">
        <f t="shared" si="37"/>
        <v>1.7541883398755818E-6</v>
      </c>
      <c r="R640" s="7">
        <f t="shared" si="36"/>
        <v>1.6052478204524851E-6</v>
      </c>
    </row>
    <row r="641" spans="1:18" x14ac:dyDescent="0.25">
      <c r="A641" s="22">
        <v>45506</v>
      </c>
      <c r="B641" s="12">
        <v>275.69</v>
      </c>
      <c r="C641" s="13">
        <v>-9.4999999999999998E-3</v>
      </c>
      <c r="D641" s="7">
        <v>321</v>
      </c>
      <c r="E641" s="7">
        <v>3.3E-3</v>
      </c>
      <c r="F641" s="7">
        <v>57</v>
      </c>
      <c r="G641" s="8">
        <f t="shared" si="38"/>
        <v>0.17619308232146313</v>
      </c>
      <c r="H641" s="9">
        <f t="shared" si="39"/>
        <v>5.2857924696449506E-3</v>
      </c>
      <c r="I641" s="10">
        <f>SUM($H$3:H641)</f>
        <v>0.65195206178757914</v>
      </c>
      <c r="J641" s="23">
        <v>3.3E-3</v>
      </c>
      <c r="Q641" s="7">
        <f t="shared" si="37"/>
        <v>1.8084415875005995E-6</v>
      </c>
      <c r="R641" s="7">
        <f t="shared" si="36"/>
        <v>1.6548946602602938E-6</v>
      </c>
    </row>
    <row r="642" spans="1:18" x14ac:dyDescent="0.25">
      <c r="A642" s="22">
        <v>45509</v>
      </c>
      <c r="B642" s="12">
        <v>269.48</v>
      </c>
      <c r="C642" s="13">
        <v>-2.2499999999999999E-2</v>
      </c>
      <c r="D642" s="7">
        <v>320</v>
      </c>
      <c r="E642" s="7">
        <v>3.3999999999999998E-3</v>
      </c>
      <c r="F642" s="7">
        <v>950</v>
      </c>
      <c r="G642" s="8">
        <f t="shared" si="38"/>
        <v>2.7111125845638777E-13</v>
      </c>
      <c r="H642" s="9">
        <f t="shared" si="39"/>
        <v>8.1333377536932584E-15</v>
      </c>
      <c r="I642" s="10">
        <f>SUM($H$3:H642)</f>
        <v>0.65195206178758724</v>
      </c>
      <c r="J642" s="23">
        <v>3.3999999999999998E-3</v>
      </c>
      <c r="Q642" s="7">
        <f t="shared" si="37"/>
        <v>1.8643727706191747E-6</v>
      </c>
      <c r="R642" s="7">
        <f t="shared" ref="R642:R705" si="40">Q642/$U$2</f>
        <v>1.706076969340509E-6</v>
      </c>
    </row>
    <row r="643" spans="1:18" x14ac:dyDescent="0.25">
      <c r="A643" s="22">
        <v>45510</v>
      </c>
      <c r="B643" s="12">
        <v>267.61</v>
      </c>
      <c r="C643" s="13">
        <v>-6.8999999999999999E-3</v>
      </c>
      <c r="D643" s="7">
        <v>319</v>
      </c>
      <c r="E643" s="7">
        <v>3.3999999999999998E-3</v>
      </c>
      <c r="F643" s="7">
        <v>741</v>
      </c>
      <c r="G643" s="8">
        <f t="shared" si="38"/>
        <v>1.5770849644103841E-10</v>
      </c>
      <c r="H643" s="9">
        <f t="shared" si="39"/>
        <v>4.731254893232098E-12</v>
      </c>
      <c r="I643" s="10">
        <f>SUM($H$3:H643)</f>
        <v>0.65195206179231846</v>
      </c>
      <c r="J643" s="23">
        <v>3.3999999999999998E-3</v>
      </c>
      <c r="Q643" s="7">
        <f t="shared" ref="Q643:Q706" si="41">(1-$N$3) * $N$3^(D644-1)</f>
        <v>1.9220337841434795E-6</v>
      </c>
      <c r="R643" s="7">
        <f t="shared" si="40"/>
        <v>1.7588422364335147E-6</v>
      </c>
    </row>
    <row r="644" spans="1:18" x14ac:dyDescent="0.25">
      <c r="A644" s="22">
        <v>45511</v>
      </c>
      <c r="B644" s="12">
        <v>271.10000000000002</v>
      </c>
      <c r="C644" s="13">
        <v>1.2999999999999999E-2</v>
      </c>
      <c r="D644" s="7">
        <v>318</v>
      </c>
      <c r="E644" s="7">
        <v>3.3999999999999998E-3</v>
      </c>
      <c r="F644" s="7">
        <v>737</v>
      </c>
      <c r="G644" s="8">
        <f t="shared" ref="G644:G707" si="42">$N$3^F644</f>
        <v>1.7814275080471787E-10</v>
      </c>
      <c r="H644" s="9">
        <f t="shared" si="39"/>
        <v>5.3442825241426044E-12</v>
      </c>
      <c r="I644" s="10">
        <f>SUM($H$3:H644)</f>
        <v>0.65195206179766274</v>
      </c>
      <c r="J644" s="23">
        <v>3.3999999999999998E-3</v>
      </c>
      <c r="Q644" s="7">
        <f t="shared" si="41"/>
        <v>1.9814781279829681E-6</v>
      </c>
      <c r="R644" s="7">
        <f t="shared" si="40"/>
        <v>1.8132394190036232E-6</v>
      </c>
    </row>
    <row r="645" spans="1:18" x14ac:dyDescent="0.25">
      <c r="A645" s="22">
        <v>45512</v>
      </c>
      <c r="B645" s="12">
        <v>269.33</v>
      </c>
      <c r="C645" s="13">
        <v>-6.4999999999999997E-3</v>
      </c>
      <c r="D645" s="7">
        <v>317</v>
      </c>
      <c r="E645" s="7">
        <v>3.3999999999999998E-3</v>
      </c>
      <c r="F645" s="7">
        <v>164</v>
      </c>
      <c r="G645" s="8">
        <f t="shared" si="42"/>
        <v>6.7696220046629934E-3</v>
      </c>
      <c r="H645" s="9">
        <f t="shared" ref="H645:H708" si="43">G645/$N$4</f>
        <v>2.0308866013993038E-4</v>
      </c>
      <c r="I645" s="10">
        <f>SUM($H$3:H645)</f>
        <v>0.6521551504578027</v>
      </c>
      <c r="J645" s="23">
        <v>3.3999999999999998E-3</v>
      </c>
      <c r="Q645" s="7">
        <f t="shared" si="41"/>
        <v>2.0427609566834726E-6</v>
      </c>
      <c r="R645" s="7">
        <f t="shared" si="40"/>
        <v>1.8693189886635293E-6</v>
      </c>
    </row>
    <row r="646" spans="1:18" x14ac:dyDescent="0.25">
      <c r="A646" s="22">
        <v>45513</v>
      </c>
      <c r="B646" s="12">
        <v>271.58999999999997</v>
      </c>
      <c r="C646" s="13">
        <v>8.3999999999999995E-3</v>
      </c>
      <c r="D646" s="7">
        <v>316</v>
      </c>
      <c r="E646" s="7">
        <v>3.5000000000000001E-3</v>
      </c>
      <c r="F646" s="7">
        <v>772</v>
      </c>
      <c r="G646" s="8">
        <f t="shared" si="42"/>
        <v>6.1344955186904732E-11</v>
      </c>
      <c r="H646" s="9">
        <f t="shared" si="43"/>
        <v>1.8403486556075098E-12</v>
      </c>
      <c r="I646" s="10">
        <f>SUM($H$3:H646)</f>
        <v>0.65215515045964301</v>
      </c>
      <c r="J646" s="23">
        <v>3.5000000000000001E-3</v>
      </c>
      <c r="Q646" s="7">
        <f t="shared" si="41"/>
        <v>2.1059391306015182E-6</v>
      </c>
      <c r="R646" s="7">
        <f t="shared" si="40"/>
        <v>1.9271329780036386E-6</v>
      </c>
    </row>
    <row r="647" spans="1:18" x14ac:dyDescent="0.25">
      <c r="A647" s="22">
        <v>45516</v>
      </c>
      <c r="B647" s="12">
        <v>271.44</v>
      </c>
      <c r="C647" s="13">
        <v>-5.9999999999999995E-4</v>
      </c>
      <c r="D647" s="7">
        <v>315</v>
      </c>
      <c r="E647" s="7">
        <v>3.5000000000000001E-3</v>
      </c>
      <c r="F647" s="7">
        <v>355</v>
      </c>
      <c r="G647" s="8">
        <f t="shared" si="42"/>
        <v>2.0135650503683661E-5</v>
      </c>
      <c r="H647" s="9">
        <f t="shared" si="43"/>
        <v>6.0406951511063057E-7</v>
      </c>
      <c r="I647" s="10">
        <f>SUM($H$3:H647)</f>
        <v>0.65215575452915808</v>
      </c>
      <c r="J647" s="23">
        <v>3.5000000000000001E-3</v>
      </c>
      <c r="Q647" s="7">
        <f t="shared" si="41"/>
        <v>2.1710712686613585E-6</v>
      </c>
      <c r="R647" s="7">
        <f t="shared" si="40"/>
        <v>1.98673502886973E-6</v>
      </c>
    </row>
    <row r="648" spans="1:18" x14ac:dyDescent="0.25">
      <c r="A648" s="22">
        <v>45517</v>
      </c>
      <c r="B648" s="12">
        <v>269.52</v>
      </c>
      <c r="C648" s="13">
        <v>-7.1000000000000004E-3</v>
      </c>
      <c r="D648" s="7">
        <v>314</v>
      </c>
      <c r="E648" s="7">
        <v>3.5000000000000001E-3</v>
      </c>
      <c r="F648" s="7">
        <v>353</v>
      </c>
      <c r="G648" s="8">
        <f t="shared" si="42"/>
        <v>2.1400415032079564E-5</v>
      </c>
      <c r="H648" s="9">
        <f t="shared" si="43"/>
        <v>6.4201245096251521E-7</v>
      </c>
      <c r="I648" s="10">
        <f>SUM($H$3:H648)</f>
        <v>0.65215639654160906</v>
      </c>
      <c r="J648" s="23">
        <v>3.5000000000000001E-3</v>
      </c>
      <c r="Q648" s="7">
        <f t="shared" si="41"/>
        <v>2.2382178027436691E-6</v>
      </c>
      <c r="R648" s="7">
        <f t="shared" si="40"/>
        <v>2.0481804421337428E-6</v>
      </c>
    </row>
    <row r="649" spans="1:18" x14ac:dyDescent="0.25">
      <c r="A649" s="22">
        <v>45518</v>
      </c>
      <c r="B649" s="12">
        <v>269.33999999999997</v>
      </c>
      <c r="C649" s="13">
        <v>-6.9999999999999999E-4</v>
      </c>
      <c r="D649" s="7">
        <v>313</v>
      </c>
      <c r="E649" s="7">
        <v>3.5000000000000001E-3</v>
      </c>
      <c r="F649" s="7">
        <v>302</v>
      </c>
      <c r="G649" s="8">
        <f t="shared" si="42"/>
        <v>1.0117279509907597E-4</v>
      </c>
      <c r="H649" s="9">
        <f t="shared" si="43"/>
        <v>3.035183852972886E-6</v>
      </c>
      <c r="I649" s="10">
        <f>SUM($H$3:H649)</f>
        <v>0.65215943172546198</v>
      </c>
      <c r="J649" s="23">
        <v>3.5000000000000001E-3</v>
      </c>
      <c r="Q649" s="7">
        <f t="shared" si="41"/>
        <v>2.30744103375636E-6</v>
      </c>
      <c r="R649" s="7">
        <f t="shared" si="40"/>
        <v>2.1115262290038584E-6</v>
      </c>
    </row>
    <row r="650" spans="1:18" x14ac:dyDescent="0.25">
      <c r="A650" s="22">
        <v>45520</v>
      </c>
      <c r="B650" s="12">
        <v>273.81</v>
      </c>
      <c r="C650" s="13">
        <v>1.66E-2</v>
      </c>
      <c r="D650" s="7">
        <v>312</v>
      </c>
      <c r="E650" s="7">
        <v>3.5000000000000001E-3</v>
      </c>
      <c r="F650" s="7">
        <v>85</v>
      </c>
      <c r="G650" s="8">
        <f t="shared" si="42"/>
        <v>7.5092646869288127E-2</v>
      </c>
      <c r="H650" s="9">
        <f t="shared" si="43"/>
        <v>2.2527794060790943E-3</v>
      </c>
      <c r="I650" s="10">
        <f>SUM($H$3:H650)</f>
        <v>0.65441221113154102</v>
      </c>
      <c r="J650" s="23">
        <v>3.5000000000000001E-3</v>
      </c>
      <c r="Q650" s="7">
        <f t="shared" si="41"/>
        <v>2.3788051894395462E-6</v>
      </c>
      <c r="R650" s="7">
        <f t="shared" si="40"/>
        <v>2.1768311639215034E-6</v>
      </c>
    </row>
    <row r="651" spans="1:18" x14ac:dyDescent="0.25">
      <c r="A651" s="22">
        <v>45523</v>
      </c>
      <c r="B651" s="12">
        <v>274.43</v>
      </c>
      <c r="C651" s="13">
        <v>2.3E-3</v>
      </c>
      <c r="D651" s="7">
        <v>311</v>
      </c>
      <c r="E651" s="7">
        <v>3.5000000000000001E-3</v>
      </c>
      <c r="F651" s="7">
        <v>44</v>
      </c>
      <c r="G651" s="8">
        <f t="shared" si="42"/>
        <v>0.26179196186310572</v>
      </c>
      <c r="H651" s="9">
        <f t="shared" si="43"/>
        <v>7.8537588558947411E-3</v>
      </c>
      <c r="I651" s="10">
        <f>SUM($H$3:H651)</f>
        <v>0.66226596998743581</v>
      </c>
      <c r="J651" s="23">
        <v>3.5000000000000001E-3</v>
      </c>
      <c r="Q651" s="7">
        <f t="shared" si="41"/>
        <v>2.4523764839582953E-6</v>
      </c>
      <c r="R651" s="7">
        <f t="shared" si="40"/>
        <v>2.2441558390943337E-6</v>
      </c>
    </row>
    <row r="652" spans="1:18" x14ac:dyDescent="0.25">
      <c r="A652" s="22">
        <v>45524</v>
      </c>
      <c r="B652" s="12">
        <v>275.83</v>
      </c>
      <c r="C652" s="13">
        <v>5.1000000000000004E-3</v>
      </c>
      <c r="D652" s="7">
        <v>310</v>
      </c>
      <c r="E652" s="7">
        <v>3.5999999999999999E-3</v>
      </c>
      <c r="F652" s="7">
        <v>589</v>
      </c>
      <c r="G652" s="8">
        <f t="shared" si="42"/>
        <v>1.6164098297411234E-8</v>
      </c>
      <c r="H652" s="9">
        <f t="shared" si="43"/>
        <v>4.8492294892243391E-10</v>
      </c>
      <c r="I652" s="10">
        <f>SUM($H$3:H652)</f>
        <v>0.6622659704723588</v>
      </c>
      <c r="J652" s="23">
        <v>3.5999999999999999E-3</v>
      </c>
      <c r="Q652" s="7">
        <f t="shared" si="41"/>
        <v>2.5282231793384486E-6</v>
      </c>
      <c r="R652" s="7">
        <f t="shared" si="40"/>
        <v>2.3135627207158077E-6</v>
      </c>
    </row>
    <row r="653" spans="1:18" x14ac:dyDescent="0.25">
      <c r="A653" s="22">
        <v>45525</v>
      </c>
      <c r="B653" s="12">
        <v>276.12</v>
      </c>
      <c r="C653" s="13">
        <v>1.1000000000000001E-3</v>
      </c>
      <c r="D653" s="7">
        <v>309</v>
      </c>
      <c r="E653" s="7">
        <v>3.5999999999999999E-3</v>
      </c>
      <c r="F653" s="7">
        <v>203</v>
      </c>
      <c r="G653" s="8">
        <f t="shared" si="42"/>
        <v>2.0637736163158721E-3</v>
      </c>
      <c r="H653" s="9">
        <f t="shared" si="43"/>
        <v>6.1913208489488533E-5</v>
      </c>
      <c r="I653" s="10">
        <f>SUM($H$3:H653)</f>
        <v>0.66232788368084827</v>
      </c>
      <c r="J653" s="23">
        <v>3.5999999999999999E-3</v>
      </c>
      <c r="Q653" s="7">
        <f t="shared" si="41"/>
        <v>2.6064156488025245E-6</v>
      </c>
      <c r="R653" s="7">
        <f t="shared" si="40"/>
        <v>2.3851162069235132E-6</v>
      </c>
    </row>
    <row r="654" spans="1:18" x14ac:dyDescent="0.25">
      <c r="A654" s="22">
        <v>45526</v>
      </c>
      <c r="B654" s="12">
        <v>276.48</v>
      </c>
      <c r="C654" s="13">
        <v>1.2999999999999999E-3</v>
      </c>
      <c r="D654" s="7">
        <v>308</v>
      </c>
      <c r="E654" s="7">
        <v>3.5999999999999999E-3</v>
      </c>
      <c r="F654" s="7">
        <v>6</v>
      </c>
      <c r="G654" s="8">
        <f t="shared" si="42"/>
        <v>0.83297200492899992</v>
      </c>
      <c r="H654" s="9">
        <f t="shared" si="43"/>
        <v>2.4989160147874993E-2</v>
      </c>
      <c r="I654" s="10">
        <f>SUM($H$3:H654)</f>
        <v>0.68731704382872327</v>
      </c>
      <c r="J654" s="23">
        <v>3.5999999999999999E-3</v>
      </c>
      <c r="Q654" s="7">
        <f t="shared" si="41"/>
        <v>2.6870264420644586E-6</v>
      </c>
      <c r="R654" s="7">
        <f t="shared" si="40"/>
        <v>2.4588826875500143E-6</v>
      </c>
    </row>
    <row r="655" spans="1:18" x14ac:dyDescent="0.25">
      <c r="A655" s="22">
        <v>45527</v>
      </c>
      <c r="B655" s="12">
        <v>276.60000000000002</v>
      </c>
      <c r="C655" s="13">
        <v>4.0000000000000002E-4</v>
      </c>
      <c r="D655" s="7">
        <v>307</v>
      </c>
      <c r="E655" s="7">
        <v>3.7000000000000002E-3</v>
      </c>
      <c r="F655" s="7">
        <v>746</v>
      </c>
      <c r="G655" s="8">
        <f t="shared" si="42"/>
        <v>1.35429652035907E-10</v>
      </c>
      <c r="H655" s="9">
        <f t="shared" si="43"/>
        <v>4.062889561078022E-12</v>
      </c>
      <c r="I655" s="10">
        <f>SUM($H$3:H655)</f>
        <v>0.68731704383278613</v>
      </c>
      <c r="J655" s="23">
        <v>3.7000000000000002E-3</v>
      </c>
      <c r="Q655" s="7">
        <f t="shared" si="41"/>
        <v>2.7701303526437712E-6</v>
      </c>
      <c r="R655" s="7">
        <f t="shared" si="40"/>
        <v>2.5349306057216636E-6</v>
      </c>
    </row>
    <row r="656" spans="1:18" x14ac:dyDescent="0.25">
      <c r="A656" s="22">
        <v>45530</v>
      </c>
      <c r="B656" s="12">
        <v>278.83999999999997</v>
      </c>
      <c r="C656" s="13">
        <v>8.0999999999999996E-3</v>
      </c>
      <c r="D656" s="7">
        <v>306</v>
      </c>
      <c r="E656" s="7">
        <v>3.7000000000000002E-3</v>
      </c>
      <c r="F656" s="7">
        <v>729</v>
      </c>
      <c r="G656" s="8">
        <f t="shared" si="42"/>
        <v>2.2729730167350699E-10</v>
      </c>
      <c r="H656" s="9">
        <f t="shared" si="43"/>
        <v>6.8189190502065731E-12</v>
      </c>
      <c r="I656" s="10">
        <f>SUM($H$3:H656)</f>
        <v>0.68731704383960501</v>
      </c>
      <c r="J656" s="23">
        <v>3.7000000000000002E-3</v>
      </c>
      <c r="Q656" s="7">
        <f t="shared" si="41"/>
        <v>2.8558044872616202E-6</v>
      </c>
      <c r="R656" s="7">
        <f t="shared" si="40"/>
        <v>2.6133305213625399E-6</v>
      </c>
    </row>
    <row r="657" spans="1:18" x14ac:dyDescent="0.25">
      <c r="A657" s="22">
        <v>45531</v>
      </c>
      <c r="B657" s="12">
        <v>278.7</v>
      </c>
      <c r="C657" s="13">
        <v>-5.0000000000000001E-4</v>
      </c>
      <c r="D657" s="7">
        <v>305</v>
      </c>
      <c r="E657" s="7">
        <v>3.7000000000000002E-3</v>
      </c>
      <c r="F657" s="7">
        <v>650</v>
      </c>
      <c r="G657" s="8">
        <f t="shared" si="42"/>
        <v>2.5213159607957196E-9</v>
      </c>
      <c r="H657" s="9">
        <f t="shared" si="43"/>
        <v>7.5639478823886707E-11</v>
      </c>
      <c r="I657" s="10">
        <f>SUM($H$3:H657)</f>
        <v>0.68731704391524451</v>
      </c>
      <c r="J657" s="23">
        <v>3.7000000000000002E-3</v>
      </c>
      <c r="Q657" s="7">
        <f t="shared" si="41"/>
        <v>2.9441283373831135E-6</v>
      </c>
      <c r="R657" s="7">
        <f t="shared" si="40"/>
        <v>2.6941551766624124E-6</v>
      </c>
    </row>
    <row r="658" spans="1:18" x14ac:dyDescent="0.25">
      <c r="A658" s="22">
        <v>45532</v>
      </c>
      <c r="B658" s="12">
        <v>278.94</v>
      </c>
      <c r="C658" s="13">
        <v>8.9999999999999998E-4</v>
      </c>
      <c r="D658" s="7">
        <v>304</v>
      </c>
      <c r="E658" s="7">
        <v>3.7000000000000002E-3</v>
      </c>
      <c r="F658" s="7">
        <v>242</v>
      </c>
      <c r="G658" s="8">
        <f t="shared" si="42"/>
        <v>6.2915795541726438E-4</v>
      </c>
      <c r="H658" s="9">
        <f t="shared" si="43"/>
        <v>1.8874738662521705E-5</v>
      </c>
      <c r="I658" s="10">
        <f>SUM($H$3:H658)</f>
        <v>0.68733591865390697</v>
      </c>
      <c r="J658" s="23">
        <v>3.7000000000000002E-3</v>
      </c>
      <c r="Q658" s="7">
        <f t="shared" si="41"/>
        <v>3.0351838529722821E-6</v>
      </c>
      <c r="R658" s="7">
        <f t="shared" si="40"/>
        <v>2.7774795635694973E-6</v>
      </c>
    </row>
    <row r="659" spans="1:18" x14ac:dyDescent="0.25">
      <c r="A659" s="22">
        <v>45533</v>
      </c>
      <c r="B659" s="12">
        <v>280.10000000000002</v>
      </c>
      <c r="C659" s="13">
        <v>4.1999999999999997E-3</v>
      </c>
      <c r="D659" s="7">
        <v>303</v>
      </c>
      <c r="E659" s="7">
        <v>3.8E-3</v>
      </c>
      <c r="F659" s="7">
        <v>584</v>
      </c>
      <c r="G659" s="8">
        <f t="shared" si="42"/>
        <v>1.8823172034245427E-8</v>
      </c>
      <c r="H659" s="9">
        <f t="shared" si="43"/>
        <v>5.6469516102747565E-10</v>
      </c>
      <c r="I659" s="10">
        <f>SUM($H$3:H659)</f>
        <v>0.68733591921860215</v>
      </c>
      <c r="J659" s="23">
        <v>3.8E-3</v>
      </c>
      <c r="Q659" s="7">
        <f t="shared" si="41"/>
        <v>3.1290555185281259E-6</v>
      </c>
      <c r="R659" s="7">
        <f t="shared" si="40"/>
        <v>2.8633809933706158E-6</v>
      </c>
    </row>
    <row r="660" spans="1:18" x14ac:dyDescent="0.25">
      <c r="A660" s="22">
        <v>45534</v>
      </c>
      <c r="B660" s="12">
        <v>281.08</v>
      </c>
      <c r="C660" s="13">
        <v>3.5000000000000001E-3</v>
      </c>
      <c r="D660" s="7">
        <v>302</v>
      </c>
      <c r="E660" s="7">
        <v>3.8E-3</v>
      </c>
      <c r="F660" s="7">
        <v>483</v>
      </c>
      <c r="G660" s="8">
        <f t="shared" si="42"/>
        <v>4.0808219882972422E-7</v>
      </c>
      <c r="H660" s="9">
        <f t="shared" si="43"/>
        <v>1.2242465964894173E-8</v>
      </c>
      <c r="I660" s="10">
        <f>SUM($H$3:H660)</f>
        <v>0.68733593146106808</v>
      </c>
      <c r="J660" s="23">
        <v>3.8E-3</v>
      </c>
      <c r="Q660" s="7">
        <f t="shared" si="41"/>
        <v>3.225830431472295E-6</v>
      </c>
      <c r="R660" s="7">
        <f t="shared" si="40"/>
        <v>2.9519391684233156E-6</v>
      </c>
    </row>
    <row r="661" spans="1:18" x14ac:dyDescent="0.25">
      <c r="A661" s="22">
        <v>45537</v>
      </c>
      <c r="B661" s="12">
        <v>281.45</v>
      </c>
      <c r="C661" s="13">
        <v>1.2999999999999999E-3</v>
      </c>
      <c r="D661" s="7">
        <v>301</v>
      </c>
      <c r="E661" s="7">
        <v>3.8E-3</v>
      </c>
      <c r="F661" s="7">
        <v>471</v>
      </c>
      <c r="G661" s="8">
        <f t="shared" si="42"/>
        <v>5.881482909810509E-7</v>
      </c>
      <c r="H661" s="9">
        <f t="shared" si="43"/>
        <v>1.7644448729435055E-8</v>
      </c>
      <c r="I661" s="10">
        <f>SUM($H$3:H661)</f>
        <v>0.68733594910551676</v>
      </c>
      <c r="J661" s="23">
        <v>3.8E-3</v>
      </c>
      <c r="Q661" s="7">
        <f t="shared" si="41"/>
        <v>3.3255983829611285E-6</v>
      </c>
      <c r="R661" s="7">
        <f t="shared" si="40"/>
        <v>3.0432362561065107E-6</v>
      </c>
    </row>
    <row r="662" spans="1:18" x14ac:dyDescent="0.25">
      <c r="A662" s="22">
        <v>45538</v>
      </c>
      <c r="B662" s="12">
        <v>281.72000000000003</v>
      </c>
      <c r="C662" s="13">
        <v>1E-3</v>
      </c>
      <c r="D662" s="7">
        <v>300</v>
      </c>
      <c r="E662" s="7">
        <v>3.8E-3</v>
      </c>
      <c r="F662" s="7">
        <v>41</v>
      </c>
      <c r="G662" s="8">
        <f t="shared" si="42"/>
        <v>0.28684091877715867</v>
      </c>
      <c r="H662" s="9">
        <f t="shared" si="43"/>
        <v>8.6052275633164803E-3</v>
      </c>
      <c r="I662" s="10">
        <f>SUM($H$3:H662)</f>
        <v>0.69594117666883326</v>
      </c>
      <c r="J662" s="23">
        <v>3.8E-3</v>
      </c>
      <c r="Q662" s="7">
        <f t="shared" si="41"/>
        <v>3.4284519411970397E-6</v>
      </c>
      <c r="R662" s="7">
        <f t="shared" si="40"/>
        <v>3.1373569650582584E-6</v>
      </c>
    </row>
    <row r="663" spans="1:18" x14ac:dyDescent="0.25">
      <c r="A663" s="22">
        <v>45539</v>
      </c>
      <c r="B663" s="12">
        <v>281.27999999999997</v>
      </c>
      <c r="C663" s="13">
        <v>-1.6000000000000001E-3</v>
      </c>
      <c r="D663" s="7">
        <v>299</v>
      </c>
      <c r="E663" s="7">
        <v>3.8999999999999998E-3</v>
      </c>
      <c r="F663" s="7">
        <v>716</v>
      </c>
      <c r="G663" s="8">
        <f t="shared" si="42"/>
        <v>3.3772385241965294E-10</v>
      </c>
      <c r="H663" s="9">
        <f t="shared" si="43"/>
        <v>1.0131715572591614E-11</v>
      </c>
      <c r="I663" s="10">
        <f>SUM($H$3:H663)</f>
        <v>0.69594117667896493</v>
      </c>
      <c r="J663" s="23">
        <v>3.8999999999999998E-3</v>
      </c>
      <c r="Q663" s="7">
        <f t="shared" si="41"/>
        <v>3.5344865373165362E-6</v>
      </c>
      <c r="R663" s="7">
        <f t="shared" si="40"/>
        <v>3.2343886237714008E-6</v>
      </c>
    </row>
    <row r="664" spans="1:18" x14ac:dyDescent="0.25">
      <c r="A664" s="22">
        <v>45540</v>
      </c>
      <c r="B664" s="12">
        <v>280.43</v>
      </c>
      <c r="C664" s="13">
        <v>-3.0000000000000001E-3</v>
      </c>
      <c r="D664" s="7">
        <v>298</v>
      </c>
      <c r="E664" s="7">
        <v>3.8999999999999998E-3</v>
      </c>
      <c r="F664" s="7">
        <v>648</v>
      </c>
      <c r="G664" s="8">
        <f t="shared" si="42"/>
        <v>2.6796853659216912E-9</v>
      </c>
      <c r="H664" s="9">
        <f t="shared" si="43"/>
        <v>8.0390560977666809E-11</v>
      </c>
      <c r="I664" s="10">
        <f>SUM($H$3:H664)</f>
        <v>0.69594117675935552</v>
      </c>
      <c r="J664" s="23">
        <v>3.8999999999999998E-3</v>
      </c>
      <c r="Q664" s="7">
        <f t="shared" si="41"/>
        <v>3.6438005539345733E-6</v>
      </c>
      <c r="R664" s="7">
        <f t="shared" si="40"/>
        <v>3.3344212616200007E-6</v>
      </c>
    </row>
    <row r="665" spans="1:18" x14ac:dyDescent="0.25">
      <c r="A665" s="22">
        <v>45541</v>
      </c>
      <c r="B665" s="12">
        <v>277.82</v>
      </c>
      <c r="C665" s="13">
        <v>-9.2999999999999992E-3</v>
      </c>
      <c r="D665" s="7">
        <v>297</v>
      </c>
      <c r="E665" s="7">
        <v>3.8999999999999998E-3</v>
      </c>
      <c r="F665" s="7">
        <v>620</v>
      </c>
      <c r="G665" s="8">
        <f t="shared" si="42"/>
        <v>6.2874601436716743E-9</v>
      </c>
      <c r="H665" s="9">
        <f t="shared" si="43"/>
        <v>1.8862380431018794E-10</v>
      </c>
      <c r="I665" s="10">
        <f>SUM($H$3:H665)</f>
        <v>0.6959411769479793</v>
      </c>
      <c r="J665" s="23">
        <v>3.8999999999999998E-3</v>
      </c>
      <c r="Q665" s="7">
        <f t="shared" si="41"/>
        <v>3.7564954164273953E-6</v>
      </c>
      <c r="R665" s="7">
        <f t="shared" si="40"/>
        <v>3.4375476923917535E-6</v>
      </c>
    </row>
    <row r="666" spans="1:18" x14ac:dyDescent="0.25">
      <c r="A666" s="22">
        <v>45544</v>
      </c>
      <c r="B666" s="12">
        <v>277.68</v>
      </c>
      <c r="C666" s="13">
        <v>-5.0000000000000001E-4</v>
      </c>
      <c r="D666" s="7">
        <v>296</v>
      </c>
      <c r="E666" s="7">
        <v>3.8999999999999998E-3</v>
      </c>
      <c r="F666" s="7">
        <v>1</v>
      </c>
      <c r="G666" s="8">
        <f t="shared" si="42"/>
        <v>0.97</v>
      </c>
      <c r="H666" s="9">
        <f t="shared" si="43"/>
        <v>2.9100000000005816E-2</v>
      </c>
      <c r="I666" s="10">
        <f>SUM($H$3:H666)</f>
        <v>0.72504117694798509</v>
      </c>
      <c r="J666" s="23">
        <v>3.8999999999999998E-3</v>
      </c>
      <c r="Q666" s="7">
        <f t="shared" si="41"/>
        <v>3.8726756870385525E-6</v>
      </c>
      <c r="R666" s="7">
        <f t="shared" si="40"/>
        <v>3.5438636004038701E-6</v>
      </c>
    </row>
    <row r="667" spans="1:18" x14ac:dyDescent="0.25">
      <c r="A667" s="22">
        <v>45545</v>
      </c>
      <c r="B667" s="12">
        <v>279.2</v>
      </c>
      <c r="C667" s="13">
        <v>5.4999999999999997E-3</v>
      </c>
      <c r="D667" s="7">
        <v>295</v>
      </c>
      <c r="E667" s="7">
        <v>4.0000000000000001E-3</v>
      </c>
      <c r="F667" s="7">
        <v>714</v>
      </c>
      <c r="G667" s="8">
        <f t="shared" si="42"/>
        <v>3.5893703094872246E-10</v>
      </c>
      <c r="H667" s="9">
        <f t="shared" si="43"/>
        <v>1.0768110928463826E-11</v>
      </c>
      <c r="I667" s="10">
        <f>SUM($H$3:H667)</f>
        <v>0.72504117695875325</v>
      </c>
      <c r="J667" s="23">
        <v>4.0000000000000001E-3</v>
      </c>
      <c r="Q667" s="7">
        <f t="shared" si="41"/>
        <v>3.9924491618954138E-6</v>
      </c>
      <c r="R667" s="7">
        <f t="shared" si="40"/>
        <v>3.6534676292823394E-6</v>
      </c>
    </row>
    <row r="668" spans="1:18" x14ac:dyDescent="0.25">
      <c r="A668" s="22">
        <v>45546</v>
      </c>
      <c r="B668" s="12">
        <v>277.54000000000002</v>
      </c>
      <c r="C668" s="13">
        <v>-5.8999999999999999E-3</v>
      </c>
      <c r="D668" s="7">
        <v>294</v>
      </c>
      <c r="E668" s="7">
        <v>4.0000000000000001E-3</v>
      </c>
      <c r="F668" s="7">
        <v>435</v>
      </c>
      <c r="G668" s="8">
        <f t="shared" si="42"/>
        <v>1.7607771993475826E-6</v>
      </c>
      <c r="H668" s="9">
        <f t="shared" si="43"/>
        <v>5.2823315980438036E-8</v>
      </c>
      <c r="I668" s="10">
        <f>SUM($H$3:H668)</f>
        <v>0.7250412297820692</v>
      </c>
      <c r="J668" s="23">
        <v>4.0000000000000001E-3</v>
      </c>
      <c r="Q668" s="7">
        <f t="shared" si="41"/>
        <v>4.1159269710262008E-6</v>
      </c>
      <c r="R668" s="7">
        <f t="shared" si="40"/>
        <v>3.7664614734869488E-6</v>
      </c>
    </row>
    <row r="669" spans="1:18" x14ac:dyDescent="0.25">
      <c r="A669" s="22">
        <v>45547</v>
      </c>
      <c r="B669" s="12">
        <v>282.70999999999998</v>
      </c>
      <c r="C669" s="13">
        <v>1.8599999999999998E-2</v>
      </c>
      <c r="D669" s="7">
        <v>293</v>
      </c>
      <c r="E669" s="7">
        <v>4.0000000000000001E-3</v>
      </c>
      <c r="F669" s="7">
        <v>147</v>
      </c>
      <c r="G669" s="8">
        <f t="shared" si="42"/>
        <v>1.136174236496989E-2</v>
      </c>
      <c r="H669" s="9">
        <f t="shared" si="43"/>
        <v>3.4085227094916485E-4</v>
      </c>
      <c r="I669" s="10">
        <f>SUM($H$3:H669)</f>
        <v>0.72538208205301835</v>
      </c>
      <c r="J669" s="23">
        <v>4.0000000000000001E-3</v>
      </c>
      <c r="Q669" s="7">
        <f t="shared" si="41"/>
        <v>4.2432236814703101E-6</v>
      </c>
      <c r="R669" s="7">
        <f t="shared" si="40"/>
        <v>3.8829499726669573E-6</v>
      </c>
    </row>
    <row r="670" spans="1:18" x14ac:dyDescent="0.25">
      <c r="A670" s="22">
        <v>45548</v>
      </c>
      <c r="B670" s="12">
        <v>283.19</v>
      </c>
      <c r="C670" s="13">
        <v>1.6999999999999999E-3</v>
      </c>
      <c r="D670" s="7">
        <v>292</v>
      </c>
      <c r="E670" s="7">
        <v>4.1000000000000003E-3</v>
      </c>
      <c r="F670" s="7">
        <v>952</v>
      </c>
      <c r="G670" s="8">
        <f t="shared" si="42"/>
        <v>2.5508858308161523E-13</v>
      </c>
      <c r="H670" s="9">
        <f t="shared" si="43"/>
        <v>7.6526574924499863E-15</v>
      </c>
      <c r="I670" s="10">
        <f>SUM($H$3:H670)</f>
        <v>0.72538208205302601</v>
      </c>
      <c r="J670" s="23">
        <v>4.1000000000000003E-3</v>
      </c>
      <c r="Q670" s="7">
        <f t="shared" si="41"/>
        <v>4.3744574035776392E-6</v>
      </c>
      <c r="R670" s="7">
        <f t="shared" si="40"/>
        <v>4.0030412089350075E-6</v>
      </c>
    </row>
    <row r="671" spans="1:18" x14ac:dyDescent="0.25">
      <c r="A671" s="22">
        <v>45551</v>
      </c>
      <c r="B671" s="12">
        <v>283.27</v>
      </c>
      <c r="C671" s="13">
        <v>2.9999999999999997E-4</v>
      </c>
      <c r="D671" s="7">
        <v>291</v>
      </c>
      <c r="E671" s="7">
        <v>4.1000000000000003E-3</v>
      </c>
      <c r="F671" s="7">
        <v>734</v>
      </c>
      <c r="G671" s="8">
        <f t="shared" si="42"/>
        <v>1.9518792689683801E-10</v>
      </c>
      <c r="H671" s="9">
        <f t="shared" si="43"/>
        <v>5.8556378069063105E-12</v>
      </c>
      <c r="I671" s="10">
        <f>SUM($H$3:H671)</f>
        <v>0.72538208205888166</v>
      </c>
      <c r="J671" s="23">
        <v>4.1000000000000003E-3</v>
      </c>
      <c r="Q671" s="7">
        <f t="shared" si="41"/>
        <v>4.5097499005955044E-6</v>
      </c>
      <c r="R671" s="7">
        <f t="shared" si="40"/>
        <v>4.1268466071494922E-6</v>
      </c>
    </row>
    <row r="672" spans="1:18" x14ac:dyDescent="0.25">
      <c r="A672" s="22">
        <v>45552</v>
      </c>
      <c r="B672" s="12">
        <v>283.89</v>
      </c>
      <c r="C672" s="13">
        <v>2.2000000000000001E-3</v>
      </c>
      <c r="D672" s="7">
        <v>290</v>
      </c>
      <c r="E672" s="7">
        <v>4.1000000000000003E-3</v>
      </c>
      <c r="F672" s="7">
        <v>459</v>
      </c>
      <c r="G672" s="8">
        <f t="shared" si="42"/>
        <v>8.4766846771541834E-7</v>
      </c>
      <c r="H672" s="9">
        <f t="shared" si="43"/>
        <v>2.5430054031467632E-8</v>
      </c>
      <c r="I672" s="10">
        <f>SUM($H$3:H672)</f>
        <v>0.72538210748893572</v>
      </c>
      <c r="J672" s="23">
        <v>4.1000000000000003E-3</v>
      </c>
      <c r="Q672" s="7">
        <f t="shared" si="41"/>
        <v>4.6492267016448492E-6</v>
      </c>
      <c r="R672" s="7">
        <f t="shared" si="40"/>
        <v>4.254481038298445E-6</v>
      </c>
    </row>
    <row r="673" spans="1:18" x14ac:dyDescent="0.25">
      <c r="A673" s="22">
        <v>45553</v>
      </c>
      <c r="B673" s="12">
        <v>283.36</v>
      </c>
      <c r="C673" s="13">
        <v>-1.9E-3</v>
      </c>
      <c r="D673" s="7">
        <v>289</v>
      </c>
      <c r="E673" s="7">
        <v>4.1000000000000003E-3</v>
      </c>
      <c r="F673" s="7">
        <v>372</v>
      </c>
      <c r="G673" s="8">
        <f t="shared" si="42"/>
        <v>1.1997344980133389E-5</v>
      </c>
      <c r="H673" s="9">
        <f t="shared" si="43"/>
        <v>3.5992034940407358E-7</v>
      </c>
      <c r="I673" s="10">
        <f>SUM($H$3:H673)</f>
        <v>0.72538246740928514</v>
      </c>
      <c r="J673" s="23">
        <v>4.1000000000000003E-3</v>
      </c>
      <c r="Q673" s="7">
        <f t="shared" si="41"/>
        <v>4.7930172181905664E-6</v>
      </c>
      <c r="R673" s="7">
        <f t="shared" si="40"/>
        <v>4.3860629260808711E-6</v>
      </c>
    </row>
    <row r="674" spans="1:18" x14ac:dyDescent="0.25">
      <c r="A674" s="22">
        <v>45554</v>
      </c>
      <c r="B674" s="12">
        <v>283.92</v>
      </c>
      <c r="C674" s="13">
        <v>2E-3</v>
      </c>
      <c r="D674" s="7">
        <v>288</v>
      </c>
      <c r="E674" s="7">
        <v>4.1999999999999997E-3</v>
      </c>
      <c r="F674" s="7">
        <v>832</v>
      </c>
      <c r="G674" s="8">
        <f t="shared" si="42"/>
        <v>9.8646779048840487E-12</v>
      </c>
      <c r="H674" s="9">
        <f t="shared" si="43"/>
        <v>2.9594033714658061E-13</v>
      </c>
      <c r="I674" s="10">
        <f>SUM($H$3:H674)</f>
        <v>0.72538246740958112</v>
      </c>
      <c r="J674" s="23">
        <v>4.1999999999999997E-3</v>
      </c>
      <c r="Q674" s="7">
        <f t="shared" si="41"/>
        <v>4.9412548641139854E-6</v>
      </c>
      <c r="R674" s="7">
        <f t="shared" si="40"/>
        <v>4.5217143567844027E-6</v>
      </c>
    </row>
    <row r="675" spans="1:18" x14ac:dyDescent="0.25">
      <c r="A675" s="22">
        <v>45555</v>
      </c>
      <c r="B675" s="12">
        <v>287.10000000000002</v>
      </c>
      <c r="C675" s="13">
        <v>1.12E-2</v>
      </c>
      <c r="D675" s="7">
        <v>287</v>
      </c>
      <c r="E675" s="7">
        <v>4.1999999999999997E-3</v>
      </c>
      <c r="F675" s="7">
        <v>610</v>
      </c>
      <c r="G675" s="8">
        <f t="shared" si="42"/>
        <v>8.5262468562647697E-9</v>
      </c>
      <c r="H675" s="9">
        <f t="shared" si="43"/>
        <v>2.5578740568799421E-10</v>
      </c>
      <c r="I675" s="10">
        <f>SUM($H$3:H675)</f>
        <v>0.72538246766536851</v>
      </c>
      <c r="J675" s="23">
        <v>4.1999999999999997E-3</v>
      </c>
      <c r="Q675" s="7">
        <f t="shared" si="41"/>
        <v>5.0940771794989545E-6</v>
      </c>
      <c r="R675" s="7">
        <f t="shared" si="40"/>
        <v>4.6615611925612409E-6</v>
      </c>
    </row>
    <row r="676" spans="1:18" x14ac:dyDescent="0.25">
      <c r="A676" s="22">
        <v>45558</v>
      </c>
      <c r="B676" s="12">
        <v>289.33999999999997</v>
      </c>
      <c r="C676" s="13">
        <v>7.7999999999999996E-3</v>
      </c>
      <c r="D676" s="7">
        <v>286</v>
      </c>
      <c r="E676" s="7">
        <v>4.1999999999999997E-3</v>
      </c>
      <c r="F676" s="7">
        <v>565</v>
      </c>
      <c r="G676" s="8">
        <f t="shared" si="42"/>
        <v>3.3576069907144296E-8</v>
      </c>
      <c r="H676" s="9">
        <f t="shared" si="43"/>
        <v>1.0072820972145302E-9</v>
      </c>
      <c r="I676" s="10">
        <f>SUM($H$3:H676)</f>
        <v>0.72538246867265066</v>
      </c>
      <c r="J676" s="23">
        <v>4.1999999999999997E-3</v>
      </c>
      <c r="Q676" s="7">
        <f t="shared" si="41"/>
        <v>5.2516259582463453E-6</v>
      </c>
      <c r="R676" s="7">
        <f t="shared" si="40"/>
        <v>4.8057331882074647E-6</v>
      </c>
    </row>
    <row r="677" spans="1:18" x14ac:dyDescent="0.25">
      <c r="A677" s="22">
        <v>45559</v>
      </c>
      <c r="B677" s="12">
        <v>289.3</v>
      </c>
      <c r="C677" s="13">
        <v>-1E-4</v>
      </c>
      <c r="D677" s="7">
        <v>285</v>
      </c>
      <c r="E677" s="7">
        <v>4.1999999999999997E-3</v>
      </c>
      <c r="F677" s="7">
        <v>334</v>
      </c>
      <c r="G677" s="8">
        <f t="shared" si="42"/>
        <v>3.8173259525639222E-5</v>
      </c>
      <c r="H677" s="9">
        <f t="shared" si="43"/>
        <v>1.1451977857694055E-6</v>
      </c>
      <c r="I677" s="10">
        <f>SUM($H$3:H677)</f>
        <v>0.72538361387043648</v>
      </c>
      <c r="J677" s="23">
        <v>4.1999999999999997E-3</v>
      </c>
      <c r="Q677" s="7">
        <f t="shared" si="41"/>
        <v>5.4140473796354079E-6</v>
      </c>
      <c r="R677" s="7">
        <f t="shared" si="40"/>
        <v>4.9543641115540878E-6</v>
      </c>
    </row>
    <row r="678" spans="1:18" x14ac:dyDescent="0.25">
      <c r="A678" s="22">
        <v>45560</v>
      </c>
      <c r="B678" s="12">
        <v>290.08999999999997</v>
      </c>
      <c r="C678" s="13">
        <v>2.7000000000000001E-3</v>
      </c>
      <c r="D678" s="7">
        <v>284</v>
      </c>
      <c r="E678" s="7">
        <v>4.1999999999999997E-3</v>
      </c>
      <c r="F678" s="7">
        <v>303</v>
      </c>
      <c r="G678" s="8">
        <f t="shared" si="42"/>
        <v>9.8137611246103699E-5</v>
      </c>
      <c r="H678" s="9">
        <f t="shared" si="43"/>
        <v>2.9441283373836992E-6</v>
      </c>
      <c r="I678" s="10">
        <f>SUM($H$3:H678)</f>
        <v>0.72538655799877383</v>
      </c>
      <c r="J678" s="23">
        <v>4.1999999999999997E-3</v>
      </c>
      <c r="Q678" s="7">
        <f t="shared" si="41"/>
        <v>5.5814921439540291E-6</v>
      </c>
      <c r="R678" s="7">
        <f t="shared" si="40"/>
        <v>5.1075918675815341E-6</v>
      </c>
    </row>
    <row r="679" spans="1:18" x14ac:dyDescent="0.25">
      <c r="A679" s="22">
        <v>45561</v>
      </c>
      <c r="B679" s="12">
        <v>291.55</v>
      </c>
      <c r="C679" s="13">
        <v>5.0000000000000001E-3</v>
      </c>
      <c r="D679" s="7">
        <v>283</v>
      </c>
      <c r="E679" s="7">
        <v>4.1999999999999997E-3</v>
      </c>
      <c r="F679" s="7">
        <v>218</v>
      </c>
      <c r="G679" s="8">
        <f t="shared" si="42"/>
        <v>1.3068870966411578E-3</v>
      </c>
      <c r="H679" s="9">
        <f t="shared" si="43"/>
        <v>3.9206612899242572E-5</v>
      </c>
      <c r="I679" s="10">
        <f>SUM($H$3:H679)</f>
        <v>0.72542576461167307</v>
      </c>
      <c r="J679" s="23">
        <v>4.1999999999999997E-3</v>
      </c>
      <c r="Q679" s="7">
        <f t="shared" si="41"/>
        <v>5.7541156123237402E-6</v>
      </c>
      <c r="R679" s="7">
        <f t="shared" si="40"/>
        <v>5.2655586263727145E-6</v>
      </c>
    </row>
    <row r="680" spans="1:18" x14ac:dyDescent="0.25">
      <c r="A680" s="22">
        <v>45562</v>
      </c>
      <c r="B680" s="12">
        <v>291.97000000000003</v>
      </c>
      <c r="C680" s="13">
        <v>1.4E-3</v>
      </c>
      <c r="D680" s="7">
        <v>282</v>
      </c>
      <c r="E680" s="7">
        <v>4.3E-3</v>
      </c>
      <c r="F680" s="7">
        <v>871</v>
      </c>
      <c r="G680" s="8">
        <f t="shared" si="42"/>
        <v>3.007326255370047E-12</v>
      </c>
      <c r="H680" s="9">
        <f t="shared" si="43"/>
        <v>9.0219787661119447E-14</v>
      </c>
      <c r="I680" s="10">
        <f>SUM($H$3:H680)</f>
        <v>0.72542576461176334</v>
      </c>
      <c r="J680" s="23">
        <v>4.3E-3</v>
      </c>
      <c r="Q680" s="7">
        <f t="shared" si="41"/>
        <v>5.9320779508492176E-6</v>
      </c>
      <c r="R680" s="7">
        <f t="shared" si="40"/>
        <v>5.4284109550234184E-6</v>
      </c>
    </row>
    <row r="681" spans="1:18" x14ac:dyDescent="0.25">
      <c r="A681" s="22">
        <v>45565</v>
      </c>
      <c r="B681" s="12">
        <v>288.38</v>
      </c>
      <c r="C681" s="13">
        <v>-1.23E-2</v>
      </c>
      <c r="D681" s="7">
        <v>281</v>
      </c>
      <c r="E681" s="7">
        <v>4.3E-3</v>
      </c>
      <c r="F681" s="7">
        <v>765</v>
      </c>
      <c r="G681" s="8">
        <f t="shared" si="42"/>
        <v>7.5923586228519653E-11</v>
      </c>
      <c r="H681" s="9">
        <f t="shared" si="43"/>
        <v>2.277707586856045E-12</v>
      </c>
      <c r="I681" s="10">
        <f>SUM($H$3:H681)</f>
        <v>0.72542576461404107</v>
      </c>
      <c r="J681" s="23">
        <v>4.3E-3</v>
      </c>
      <c r="Q681" s="7">
        <f t="shared" si="41"/>
        <v>6.1155442792259972E-6</v>
      </c>
      <c r="R681" s="7">
        <f t="shared" si="40"/>
        <v>5.5962999536323891E-6</v>
      </c>
    </row>
    <row r="682" spans="1:18" x14ac:dyDescent="0.25">
      <c r="A682" s="22">
        <v>45566</v>
      </c>
      <c r="B682" s="12">
        <v>288.27</v>
      </c>
      <c r="C682" s="13">
        <v>-4.0000000000000002E-4</v>
      </c>
      <c r="D682" s="7">
        <v>280</v>
      </c>
      <c r="E682" s="7">
        <v>4.3E-3</v>
      </c>
      <c r="F682" s="7">
        <v>751</v>
      </c>
      <c r="G682" s="8">
        <f t="shared" si="42"/>
        <v>1.1629805029194463E-10</v>
      </c>
      <c r="H682" s="9">
        <f t="shared" si="43"/>
        <v>3.4889415087590364E-12</v>
      </c>
      <c r="I682" s="10">
        <f>SUM($H$3:H682)</f>
        <v>0.72542576461753006</v>
      </c>
      <c r="J682" s="23">
        <v>4.3E-3</v>
      </c>
      <c r="Q682" s="7">
        <f t="shared" si="41"/>
        <v>6.304684823944327E-6</v>
      </c>
      <c r="R682" s="7">
        <f t="shared" si="40"/>
        <v>5.7693813954973089E-6</v>
      </c>
    </row>
    <row r="683" spans="1:18" x14ac:dyDescent="0.25">
      <c r="A683" s="22">
        <v>45568</v>
      </c>
      <c r="B683" s="12">
        <v>282.69</v>
      </c>
      <c r="C683" s="13">
        <v>-1.9400000000000001E-2</v>
      </c>
      <c r="D683" s="7">
        <v>279</v>
      </c>
      <c r="E683" s="7">
        <v>4.3E-3</v>
      </c>
      <c r="F683" s="7">
        <v>499</v>
      </c>
      <c r="G683" s="8">
        <f t="shared" si="42"/>
        <v>2.5066598154424417E-7</v>
      </c>
      <c r="H683" s="9">
        <f t="shared" si="43"/>
        <v>7.5199794463288283E-9</v>
      </c>
      <c r="I683" s="10">
        <f>SUM($H$3:H683)</f>
        <v>0.72542577213750947</v>
      </c>
      <c r="J683" s="23">
        <v>4.3E-3</v>
      </c>
      <c r="Q683" s="7">
        <f t="shared" si="41"/>
        <v>6.4996750762312658E-6</v>
      </c>
      <c r="R683" s="7">
        <f t="shared" si="40"/>
        <v>5.947815871646711E-6</v>
      </c>
    </row>
    <row r="684" spans="1:18" x14ac:dyDescent="0.25">
      <c r="A684" s="22">
        <v>45569</v>
      </c>
      <c r="B684" s="12">
        <v>280.14999999999998</v>
      </c>
      <c r="C684" s="13">
        <v>-8.9999999999999993E-3</v>
      </c>
      <c r="D684" s="7">
        <v>278</v>
      </c>
      <c r="E684" s="7">
        <v>4.3E-3</v>
      </c>
      <c r="F684" s="7">
        <v>432</v>
      </c>
      <c r="G684" s="8">
        <f t="shared" si="42"/>
        <v>1.9292530833579854E-6</v>
      </c>
      <c r="H684" s="9">
        <f t="shared" si="43"/>
        <v>5.7877592500751128E-8</v>
      </c>
      <c r="I684" s="10">
        <f>SUM($H$3:H684)</f>
        <v>0.72542583001510197</v>
      </c>
      <c r="J684" s="23">
        <v>4.3E-3</v>
      </c>
      <c r="Q684" s="7">
        <f t="shared" si="41"/>
        <v>6.7006959548775935E-6</v>
      </c>
      <c r="R684" s="7">
        <f t="shared" si="40"/>
        <v>6.1317689398419698E-6</v>
      </c>
    </row>
    <row r="685" spans="1:18" x14ac:dyDescent="0.25">
      <c r="A685" s="22">
        <v>45572</v>
      </c>
      <c r="B685" s="12">
        <v>278.01</v>
      </c>
      <c r="C685" s="13">
        <v>-7.6E-3</v>
      </c>
      <c r="D685" s="7">
        <v>277</v>
      </c>
      <c r="E685" s="7">
        <v>4.4000000000000003E-3</v>
      </c>
      <c r="F685" s="7">
        <v>784</v>
      </c>
      <c r="G685" s="8">
        <f t="shared" si="42"/>
        <v>4.2563728542041316E-11</v>
      </c>
      <c r="H685" s="9">
        <f t="shared" si="43"/>
        <v>1.2769118562614946E-12</v>
      </c>
      <c r="I685" s="10">
        <f>SUM($H$3:H685)</f>
        <v>0.72542583001637884</v>
      </c>
      <c r="J685" s="23">
        <v>4.4000000000000003E-3</v>
      </c>
      <c r="Q685" s="7">
        <f t="shared" si="41"/>
        <v>6.9079339741006124E-6</v>
      </c>
      <c r="R685" s="7">
        <f t="shared" si="40"/>
        <v>6.3214112781875981E-6</v>
      </c>
    </row>
    <row r="686" spans="1:18" x14ac:dyDescent="0.25">
      <c r="A686" s="22">
        <v>45573</v>
      </c>
      <c r="B686" s="12">
        <v>279.39999999999998</v>
      </c>
      <c r="C686" s="13">
        <v>5.0000000000000001E-3</v>
      </c>
      <c r="D686" s="7">
        <v>276</v>
      </c>
      <c r="E686" s="7">
        <v>4.4000000000000003E-3</v>
      </c>
      <c r="F686" s="7">
        <v>578</v>
      </c>
      <c r="G686" s="8">
        <f t="shared" si="42"/>
        <v>2.2597604628801252E-8</v>
      </c>
      <c r="H686" s="9">
        <f t="shared" si="43"/>
        <v>6.7792813886417311E-10</v>
      </c>
      <c r="I686" s="10">
        <f>SUM($H$3:H686)</f>
        <v>0.72542583069430699</v>
      </c>
      <c r="J686" s="23">
        <v>4.4000000000000003E-3</v>
      </c>
      <c r="Q686" s="7">
        <f t="shared" si="41"/>
        <v>7.1215814165985694E-6</v>
      </c>
      <c r="R686" s="7">
        <f t="shared" si="40"/>
        <v>6.5169188434923693E-6</v>
      </c>
    </row>
    <row r="687" spans="1:18" x14ac:dyDescent="0.25">
      <c r="A687" s="22">
        <v>45574</v>
      </c>
      <c r="B687" s="12">
        <v>278.72000000000003</v>
      </c>
      <c r="C687" s="13">
        <v>-2.3999999999999998E-3</v>
      </c>
      <c r="D687" s="7">
        <v>275</v>
      </c>
      <c r="E687" s="7">
        <v>4.4000000000000003E-3</v>
      </c>
      <c r="F687" s="7">
        <v>554</v>
      </c>
      <c r="G687" s="8">
        <f t="shared" si="42"/>
        <v>4.6939751218424259E-8</v>
      </c>
      <c r="H687" s="9">
        <f t="shared" si="43"/>
        <v>1.4081925365530092E-9</v>
      </c>
      <c r="I687" s="10">
        <f>SUM($H$3:H687)</f>
        <v>0.72542583210249956</v>
      </c>
      <c r="J687" s="23">
        <v>4.4000000000000003E-3</v>
      </c>
      <c r="Q687" s="7">
        <f t="shared" si="41"/>
        <v>7.3418365119572867E-6</v>
      </c>
      <c r="R687" s="7">
        <f t="shared" si="40"/>
        <v>6.7184730345282143E-6</v>
      </c>
    </row>
    <row r="688" spans="1:18" x14ac:dyDescent="0.25">
      <c r="A688" s="22">
        <v>45575</v>
      </c>
      <c r="B688" s="12">
        <v>279.3</v>
      </c>
      <c r="C688" s="13">
        <v>2.0999999999999999E-3</v>
      </c>
      <c r="D688" s="7">
        <v>274</v>
      </c>
      <c r="E688" s="7">
        <v>4.4000000000000003E-3</v>
      </c>
      <c r="F688" s="7">
        <v>335</v>
      </c>
      <c r="G688" s="8">
        <f t="shared" si="42"/>
        <v>3.7028061739870051E-5</v>
      </c>
      <c r="H688" s="9">
        <f t="shared" si="43"/>
        <v>1.1108418521963236E-6</v>
      </c>
      <c r="I688" s="10">
        <f>SUM($H$3:H688)</f>
        <v>0.72542694294435173</v>
      </c>
      <c r="J688" s="23">
        <v>4.4000000000000003E-3</v>
      </c>
      <c r="Q688" s="7">
        <f t="shared" si="41"/>
        <v>7.5689036205745235E-6</v>
      </c>
      <c r="R688" s="7">
        <f t="shared" si="40"/>
        <v>6.9262608603383668E-6</v>
      </c>
    </row>
    <row r="689" spans="1:18" x14ac:dyDescent="0.25">
      <c r="A689" s="22">
        <v>45576</v>
      </c>
      <c r="B689" s="12">
        <v>278.72000000000003</v>
      </c>
      <c r="C689" s="13">
        <v>-2.0999999999999999E-3</v>
      </c>
      <c r="D689" s="7">
        <v>273</v>
      </c>
      <c r="E689" s="7">
        <v>4.4000000000000003E-3</v>
      </c>
      <c r="F689" s="7">
        <v>207</v>
      </c>
      <c r="G689" s="8">
        <f t="shared" si="42"/>
        <v>1.8270439439921401E-3</v>
      </c>
      <c r="H689" s="9">
        <f t="shared" si="43"/>
        <v>5.4811318319775155E-5</v>
      </c>
      <c r="I689" s="10">
        <f>SUM($H$3:H689)</f>
        <v>0.72548175426267147</v>
      </c>
      <c r="J689" s="23">
        <v>4.4000000000000003E-3</v>
      </c>
      <c r="Q689" s="7">
        <f t="shared" si="41"/>
        <v>7.8029934232727032E-6</v>
      </c>
      <c r="R689" s="7">
        <f t="shared" si="40"/>
        <v>7.1404751137508916E-6</v>
      </c>
    </row>
    <row r="690" spans="1:18" x14ac:dyDescent="0.25">
      <c r="A690" s="22">
        <v>45579</v>
      </c>
      <c r="B690" s="12">
        <v>280.76</v>
      </c>
      <c r="C690" s="13">
        <v>7.3000000000000001E-3</v>
      </c>
      <c r="D690" s="7">
        <v>272</v>
      </c>
      <c r="E690" s="7">
        <v>4.4999999999999997E-3</v>
      </c>
      <c r="F690" s="7">
        <v>645</v>
      </c>
      <c r="G690" s="8">
        <f t="shared" si="42"/>
        <v>2.9360848473896909E-9</v>
      </c>
      <c r="H690" s="9">
        <f t="shared" si="43"/>
        <v>8.8082545421708331E-11</v>
      </c>
      <c r="I690" s="10">
        <f>SUM($H$3:H690)</f>
        <v>0.72548175435075402</v>
      </c>
      <c r="J690" s="23">
        <v>4.4999999999999997E-3</v>
      </c>
      <c r="Q690" s="7">
        <f t="shared" si="41"/>
        <v>8.0443231167759836E-6</v>
      </c>
      <c r="R690" s="7">
        <f t="shared" si="40"/>
        <v>7.3613145502586523E-6</v>
      </c>
    </row>
    <row r="691" spans="1:18" x14ac:dyDescent="0.25">
      <c r="A691" s="22">
        <v>45580</v>
      </c>
      <c r="B691" s="12">
        <v>279.83</v>
      </c>
      <c r="C691" s="13">
        <v>-3.3E-3</v>
      </c>
      <c r="D691" s="7">
        <v>271</v>
      </c>
      <c r="E691" s="7">
        <v>4.4999999999999997E-3</v>
      </c>
      <c r="F691" s="7">
        <v>528</v>
      </c>
      <c r="G691" s="8">
        <f t="shared" si="42"/>
        <v>1.0362766025005219E-7</v>
      </c>
      <c r="H691" s="9">
        <f t="shared" si="43"/>
        <v>3.1088298075021872E-9</v>
      </c>
      <c r="I691" s="10">
        <f>SUM($H$3:H691)</f>
        <v>0.72548175745958388</v>
      </c>
      <c r="J691" s="23">
        <v>4.4999999999999997E-3</v>
      </c>
      <c r="Q691" s="7">
        <f t="shared" si="41"/>
        <v>8.2931166152329731E-6</v>
      </c>
      <c r="R691" s="7">
        <f t="shared" si="40"/>
        <v>7.5889840724316009E-6</v>
      </c>
    </row>
    <row r="692" spans="1:18" x14ac:dyDescent="0.25">
      <c r="A692" s="22">
        <v>45581</v>
      </c>
      <c r="B692" s="12">
        <v>278.5</v>
      </c>
      <c r="C692" s="13">
        <v>-4.7999999999999996E-3</v>
      </c>
      <c r="D692" s="7">
        <v>270</v>
      </c>
      <c r="E692" s="7">
        <v>4.4999999999999997E-3</v>
      </c>
      <c r="F692" s="7">
        <v>509</v>
      </c>
      <c r="G692" s="8">
        <f t="shared" si="42"/>
        <v>1.8484714258252444E-7</v>
      </c>
      <c r="H692" s="9">
        <f t="shared" si="43"/>
        <v>5.5454142774768413E-9</v>
      </c>
      <c r="I692" s="10">
        <f>SUM($H$3:H692)</f>
        <v>0.72548176300499811</v>
      </c>
      <c r="J692" s="23">
        <v>4.4999999999999997E-3</v>
      </c>
      <c r="Q692" s="7">
        <f t="shared" si="41"/>
        <v>8.5496047579721385E-6</v>
      </c>
      <c r="R692" s="7">
        <f t="shared" si="40"/>
        <v>7.8236949200325789E-6</v>
      </c>
    </row>
    <row r="693" spans="1:18" x14ac:dyDescent="0.25">
      <c r="A693" s="22">
        <v>45582</v>
      </c>
      <c r="B693" s="12">
        <v>276.69</v>
      </c>
      <c r="C693" s="13">
        <v>-6.4999999999999997E-3</v>
      </c>
      <c r="D693" s="7">
        <v>269</v>
      </c>
      <c r="E693" s="7">
        <v>4.4999999999999997E-3</v>
      </c>
      <c r="F693" s="7">
        <v>342</v>
      </c>
      <c r="G693" s="8">
        <f t="shared" si="42"/>
        <v>2.9918038661311518E-5</v>
      </c>
      <c r="H693" s="9">
        <f t="shared" si="43"/>
        <v>8.9754115983952495E-7</v>
      </c>
      <c r="I693" s="10">
        <f>SUM($H$3:H693)</f>
        <v>0.72548266054615795</v>
      </c>
      <c r="J693" s="23">
        <v>4.4999999999999997E-3</v>
      </c>
      <c r="Q693" s="7">
        <f t="shared" si="41"/>
        <v>8.8140255236826164E-6</v>
      </c>
      <c r="R693" s="7">
        <f t="shared" si="40"/>
        <v>8.065664866012968E-6</v>
      </c>
    </row>
    <row r="694" spans="1:18" x14ac:dyDescent="0.25">
      <c r="A694" s="22">
        <v>45583</v>
      </c>
      <c r="B694" s="12">
        <v>277.52999999999997</v>
      </c>
      <c r="C694" s="13">
        <v>3.0000000000000001E-3</v>
      </c>
      <c r="D694" s="7">
        <v>268</v>
      </c>
      <c r="E694" s="7">
        <v>4.4999999999999997E-3</v>
      </c>
      <c r="F694" s="7">
        <v>166</v>
      </c>
      <c r="G694" s="8">
        <f t="shared" si="42"/>
        <v>6.3695373441874101E-3</v>
      </c>
      <c r="H694" s="9">
        <f t="shared" si="43"/>
        <v>1.9108612032566049E-4</v>
      </c>
      <c r="I694" s="10">
        <f>SUM($H$3:H694)</f>
        <v>0.72567374666648365</v>
      </c>
      <c r="J694" s="23">
        <v>4.4999999999999997E-3</v>
      </c>
      <c r="Q694" s="7">
        <f t="shared" si="41"/>
        <v>9.0866242512191922E-6</v>
      </c>
      <c r="R694" s="7">
        <f t="shared" si="40"/>
        <v>8.3151184185700692E-6</v>
      </c>
    </row>
    <row r="695" spans="1:18" x14ac:dyDescent="0.25">
      <c r="A695" s="22">
        <v>45586</v>
      </c>
      <c r="B695" s="12">
        <v>276.47000000000003</v>
      </c>
      <c r="C695" s="13">
        <v>-3.8E-3</v>
      </c>
      <c r="D695" s="7">
        <v>267</v>
      </c>
      <c r="E695" s="7">
        <v>4.4999999999999997E-3</v>
      </c>
      <c r="F695" s="7">
        <v>51</v>
      </c>
      <c r="G695" s="8">
        <f t="shared" si="42"/>
        <v>0.21152341408698525</v>
      </c>
      <c r="H695" s="9">
        <f t="shared" si="43"/>
        <v>6.3457024226108256E-3</v>
      </c>
      <c r="I695" s="10">
        <f>SUM($H$3:H695)</f>
        <v>0.73201944908909444</v>
      </c>
      <c r="J695" s="23">
        <v>4.4999999999999997E-3</v>
      </c>
      <c r="Q695" s="7">
        <f t="shared" si="41"/>
        <v>9.3676538672362804E-6</v>
      </c>
      <c r="R695" s="7">
        <f t="shared" si="40"/>
        <v>8.5722870294536805E-6</v>
      </c>
    </row>
    <row r="696" spans="1:18" x14ac:dyDescent="0.25">
      <c r="A696" s="22">
        <v>45587</v>
      </c>
      <c r="B696" s="12">
        <v>273.56</v>
      </c>
      <c r="C696" s="13">
        <v>-1.0500000000000001E-2</v>
      </c>
      <c r="D696" s="7">
        <v>266</v>
      </c>
      <c r="E696" s="7">
        <v>4.5999999999999999E-3</v>
      </c>
      <c r="F696" s="7">
        <v>958</v>
      </c>
      <c r="G696" s="8">
        <f t="shared" si="42"/>
        <v>2.1248164848399078E-13</v>
      </c>
      <c r="H696" s="9">
        <f t="shared" si="43"/>
        <v>6.3744494545209975E-15</v>
      </c>
      <c r="I696" s="10">
        <f>SUM($H$3:H696)</f>
        <v>0.73201944908910077</v>
      </c>
      <c r="J696" s="23">
        <v>4.5999999999999999E-3</v>
      </c>
      <c r="Q696" s="7">
        <f t="shared" si="41"/>
        <v>9.6573751208621453E-6</v>
      </c>
      <c r="R696" s="7">
        <f t="shared" si="40"/>
        <v>8.8374093087151344E-6</v>
      </c>
    </row>
    <row r="697" spans="1:18" x14ac:dyDescent="0.25">
      <c r="A697" s="22">
        <v>45588</v>
      </c>
      <c r="B697" s="12">
        <v>273.08999999999997</v>
      </c>
      <c r="C697" s="13">
        <v>-1.6999999999999999E-3</v>
      </c>
      <c r="D697" s="7">
        <v>265</v>
      </c>
      <c r="E697" s="7">
        <v>4.5999999999999999E-3</v>
      </c>
      <c r="F697" s="7">
        <v>619</v>
      </c>
      <c r="G697" s="8">
        <f t="shared" si="42"/>
        <v>6.4819176738883242E-9</v>
      </c>
      <c r="H697" s="9">
        <f t="shared" si="43"/>
        <v>1.944575302166886E-10</v>
      </c>
      <c r="I697" s="10">
        <f>SUM($H$3:H697)</f>
        <v>0.73201944928355833</v>
      </c>
      <c r="J697" s="23">
        <v>4.5999999999999999E-3</v>
      </c>
      <c r="Q697" s="7">
        <f t="shared" si="41"/>
        <v>9.9560568256310766E-6</v>
      </c>
      <c r="R697" s="7">
        <f t="shared" si="40"/>
        <v>9.1107312460980762E-6</v>
      </c>
    </row>
    <row r="698" spans="1:18" x14ac:dyDescent="0.25">
      <c r="A698" s="22">
        <v>45589</v>
      </c>
      <c r="B698" s="12">
        <v>272.12</v>
      </c>
      <c r="C698" s="13">
        <v>-3.5999999999999999E-3</v>
      </c>
      <c r="D698" s="7">
        <v>264</v>
      </c>
      <c r="E698" s="7">
        <v>4.5999999999999999E-3</v>
      </c>
      <c r="F698" s="7">
        <v>530</v>
      </c>
      <c r="G698" s="8">
        <f t="shared" si="42"/>
        <v>9.7503265529274114E-8</v>
      </c>
      <c r="H698" s="9">
        <f t="shared" si="43"/>
        <v>2.9250979658788079E-9</v>
      </c>
      <c r="I698" s="10">
        <f>SUM($H$3:H698)</f>
        <v>0.73201945220865627</v>
      </c>
      <c r="J698" s="23">
        <v>4.5999999999999999E-3</v>
      </c>
      <c r="Q698" s="7">
        <f t="shared" si="41"/>
        <v>1.0263976108898018E-5</v>
      </c>
      <c r="R698" s="7">
        <f t="shared" si="40"/>
        <v>9.392506439276367E-6</v>
      </c>
    </row>
    <row r="699" spans="1:18" x14ac:dyDescent="0.25">
      <c r="A699" s="22">
        <v>45590</v>
      </c>
      <c r="B699" s="12">
        <v>270.48</v>
      </c>
      <c r="C699" s="13">
        <v>-6.0000000000000001E-3</v>
      </c>
      <c r="D699" s="7">
        <v>263</v>
      </c>
      <c r="E699" s="7">
        <v>4.5999999999999999E-3</v>
      </c>
      <c r="F699" s="7">
        <v>46</v>
      </c>
      <c r="G699" s="8">
        <f t="shared" si="42"/>
        <v>0.24632005691699616</v>
      </c>
      <c r="H699" s="9">
        <f t="shared" si="43"/>
        <v>7.389601707511362E-3</v>
      </c>
      <c r="I699" s="10">
        <f>SUM($H$3:H699)</f>
        <v>0.73940905391616762</v>
      </c>
      <c r="J699" s="23">
        <v>4.5999999999999999E-3</v>
      </c>
      <c r="Q699" s="7">
        <f t="shared" si="41"/>
        <v>1.0581418668967029E-5</v>
      </c>
      <c r="R699" s="7">
        <f t="shared" si="40"/>
        <v>9.6829963291508955E-6</v>
      </c>
    </row>
    <row r="700" spans="1:18" x14ac:dyDescent="0.25">
      <c r="A700" s="22">
        <v>45593</v>
      </c>
      <c r="B700" s="12">
        <v>271.97000000000003</v>
      </c>
      <c r="C700" s="13">
        <v>5.4999999999999997E-3</v>
      </c>
      <c r="D700" s="7">
        <v>262</v>
      </c>
      <c r="E700" s="7">
        <v>4.5999999999999999E-3</v>
      </c>
      <c r="F700" s="7">
        <v>5</v>
      </c>
      <c r="G700" s="8">
        <f t="shared" si="42"/>
        <v>0.8587340256999999</v>
      </c>
      <c r="H700" s="9">
        <f t="shared" si="43"/>
        <v>2.5762020771005145E-2</v>
      </c>
      <c r="I700" s="10">
        <f>SUM($H$3:H700)</f>
        <v>0.76517107468717271</v>
      </c>
      <c r="J700" s="23">
        <v>4.5999999999999999E-3</v>
      </c>
      <c r="Q700" s="7">
        <f t="shared" si="41"/>
        <v>1.0908679040172195E-5</v>
      </c>
      <c r="R700" s="7">
        <f t="shared" si="40"/>
        <v>9.9824704424236019E-6</v>
      </c>
    </row>
    <row r="701" spans="1:18" x14ac:dyDescent="0.25">
      <c r="A701" s="22">
        <v>45594</v>
      </c>
      <c r="B701" s="12">
        <v>273.58999999999997</v>
      </c>
      <c r="C701" s="13">
        <v>6.0000000000000001E-3</v>
      </c>
      <c r="D701" s="7">
        <v>261</v>
      </c>
      <c r="E701" s="7">
        <v>4.7000000000000002E-3</v>
      </c>
      <c r="F701" s="7">
        <v>537</v>
      </c>
      <c r="G701" s="8">
        <f t="shared" si="42"/>
        <v>7.8780965857792768E-8</v>
      </c>
      <c r="H701" s="9">
        <f t="shared" si="43"/>
        <v>2.3634289757342556E-9</v>
      </c>
      <c r="I701" s="10">
        <f>SUM($H$3:H701)</f>
        <v>0.76517107705060172</v>
      </c>
      <c r="J701" s="23">
        <v>4.7000000000000002E-3</v>
      </c>
      <c r="Q701" s="7">
        <f t="shared" si="41"/>
        <v>1.1246060866156903E-5</v>
      </c>
      <c r="R701" s="7">
        <f t="shared" si="40"/>
        <v>1.0291206641673818E-5</v>
      </c>
    </row>
    <row r="702" spans="1:18" x14ac:dyDescent="0.25">
      <c r="A702" s="22">
        <v>45595</v>
      </c>
      <c r="B702" s="12">
        <v>272.16000000000003</v>
      </c>
      <c r="C702" s="13">
        <v>-5.1999999999999998E-3</v>
      </c>
      <c r="D702" s="7">
        <v>260</v>
      </c>
      <c r="E702" s="7">
        <v>4.7999999999999996E-3</v>
      </c>
      <c r="F702" s="7">
        <v>902</v>
      </c>
      <c r="G702" s="8">
        <f t="shared" si="42"/>
        <v>1.16978031324425E-12</v>
      </c>
      <c r="H702" s="9">
        <f t="shared" si="43"/>
        <v>3.5093409397334512E-14</v>
      </c>
      <c r="I702" s="10">
        <f>SUM($H$3:H702)</f>
        <v>0.76517107705063681</v>
      </c>
      <c r="J702" s="23">
        <v>4.7999999999999996E-3</v>
      </c>
      <c r="Q702" s="7">
        <f t="shared" si="41"/>
        <v>1.1593877181605054E-5</v>
      </c>
      <c r="R702" s="7">
        <f t="shared" si="40"/>
        <v>1.0609491383168885E-5</v>
      </c>
    </row>
    <row r="703" spans="1:18" x14ac:dyDescent="0.25">
      <c r="A703" s="22">
        <v>45596</v>
      </c>
      <c r="B703" s="12">
        <v>270.64</v>
      </c>
      <c r="C703" s="13">
        <v>-5.5999999999999999E-3</v>
      </c>
      <c r="D703" s="7">
        <v>259</v>
      </c>
      <c r="E703" s="7">
        <v>4.7999999999999996E-3</v>
      </c>
      <c r="F703" s="7">
        <v>603</v>
      </c>
      <c r="G703" s="8">
        <f t="shared" si="42"/>
        <v>1.0552509760989293E-8</v>
      </c>
      <c r="H703" s="9">
        <f t="shared" si="43"/>
        <v>3.1657529282974208E-10</v>
      </c>
      <c r="I703" s="10">
        <f>SUM($H$3:H703)</f>
        <v>0.76517107736721213</v>
      </c>
      <c r="J703" s="23">
        <v>4.7999999999999996E-3</v>
      </c>
      <c r="Q703" s="7">
        <f t="shared" si="41"/>
        <v>1.1952450702685624E-5</v>
      </c>
      <c r="R703" s="7">
        <f t="shared" si="40"/>
        <v>1.0937619982648335E-5</v>
      </c>
    </row>
    <row r="704" spans="1:18" x14ac:dyDescent="0.25">
      <c r="A704" s="22">
        <v>45597</v>
      </c>
      <c r="B704" s="12">
        <v>272.37</v>
      </c>
      <c r="C704" s="13">
        <v>6.4000000000000003E-3</v>
      </c>
      <c r="D704" s="7">
        <v>258</v>
      </c>
      <c r="E704" s="7">
        <v>4.7999999999999996E-3</v>
      </c>
      <c r="F704" s="7">
        <v>493</v>
      </c>
      <c r="G704" s="8">
        <f t="shared" si="42"/>
        <v>3.0092965917337188E-7</v>
      </c>
      <c r="H704" s="9">
        <f t="shared" si="43"/>
        <v>9.027889775202961E-9</v>
      </c>
      <c r="I704" s="10">
        <f>SUM($H$3:H704)</f>
        <v>0.7651710863951019</v>
      </c>
      <c r="J704" s="23">
        <v>4.7999999999999996E-3</v>
      </c>
      <c r="Q704" s="7">
        <f t="shared" si="41"/>
        <v>1.2322114126480025E-5</v>
      </c>
      <c r="R704" s="7">
        <f t="shared" si="40"/>
        <v>1.1275896889328181E-5</v>
      </c>
    </row>
    <row r="705" spans="1:18" x14ac:dyDescent="0.25">
      <c r="A705" s="22">
        <v>45600</v>
      </c>
      <c r="B705" s="12">
        <v>268.47000000000003</v>
      </c>
      <c r="C705" s="13">
        <v>-1.43E-2</v>
      </c>
      <c r="D705" s="7">
        <v>257</v>
      </c>
      <c r="E705" s="7">
        <v>4.7999999999999996E-3</v>
      </c>
      <c r="F705" s="7">
        <v>434</v>
      </c>
      <c r="G705" s="8">
        <f t="shared" si="42"/>
        <v>1.8152342261315282E-6</v>
      </c>
      <c r="H705" s="9">
        <f t="shared" si="43"/>
        <v>5.4457026783956731E-8</v>
      </c>
      <c r="I705" s="10">
        <f>SUM($H$3:H705)</f>
        <v>0.76517114085212867</v>
      </c>
      <c r="J705" s="23">
        <v>4.7999999999999996E-3</v>
      </c>
      <c r="Q705" s="7">
        <f t="shared" si="41"/>
        <v>1.2703210439670125E-5</v>
      </c>
      <c r="R705" s="7">
        <f t="shared" si="40"/>
        <v>1.1624635968379564E-5</v>
      </c>
    </row>
    <row r="706" spans="1:18" x14ac:dyDescent="0.25">
      <c r="A706" s="22">
        <v>45601</v>
      </c>
      <c r="B706" s="12">
        <v>270.79000000000002</v>
      </c>
      <c r="C706" s="13">
        <v>8.6E-3</v>
      </c>
      <c r="D706" s="7">
        <v>256</v>
      </c>
      <c r="E706" s="7">
        <v>4.7999999999999996E-3</v>
      </c>
      <c r="F706" s="7">
        <v>406</v>
      </c>
      <c r="G706" s="8">
        <f t="shared" si="42"/>
        <v>4.2591615394014921E-6</v>
      </c>
      <c r="H706" s="9">
        <f t="shared" si="43"/>
        <v>1.277748461820703E-7</v>
      </c>
      <c r="I706" s="10">
        <f>SUM($H$3:H706)</f>
        <v>0.76517126862697482</v>
      </c>
      <c r="J706" s="23">
        <v>4.7999999999999996E-3</v>
      </c>
      <c r="Q706" s="7">
        <f t="shared" si="41"/>
        <v>1.3096093236773326E-5</v>
      </c>
      <c r="R706" s="7">
        <f t="shared" ref="R706:R769" si="44">Q706/$U$2</f>
        <v>1.1984160792143883E-5</v>
      </c>
    </row>
    <row r="707" spans="1:18" x14ac:dyDescent="0.25">
      <c r="A707" s="22">
        <v>45602</v>
      </c>
      <c r="B707" s="12">
        <v>273.91000000000003</v>
      </c>
      <c r="C707" s="13">
        <v>1.15E-2</v>
      </c>
      <c r="D707" s="7">
        <v>255</v>
      </c>
      <c r="E707" s="7">
        <v>4.7999999999999996E-3</v>
      </c>
      <c r="F707" s="7">
        <v>13</v>
      </c>
      <c r="G707" s="8">
        <f t="shared" si="42"/>
        <v>0.67302709016557472</v>
      </c>
      <c r="H707" s="9">
        <f t="shared" si="43"/>
        <v>2.0190812704971278E-2</v>
      </c>
      <c r="I707" s="10">
        <f>SUM($H$3:H707)</f>
        <v>0.78536208133194607</v>
      </c>
      <c r="J707" s="23">
        <v>4.7999999999999996E-3</v>
      </c>
      <c r="Q707" s="7">
        <f t="shared" ref="Q707:Q770" si="45">(1-$N$3) * $N$3^(D708-1)</f>
        <v>1.3501127048219925E-5</v>
      </c>
      <c r="R707" s="7">
        <f t="shared" si="44"/>
        <v>1.2354804940354519E-5</v>
      </c>
    </row>
    <row r="708" spans="1:18" x14ac:dyDescent="0.25">
      <c r="A708" s="22">
        <v>45603</v>
      </c>
      <c r="B708" s="12">
        <v>270.7</v>
      </c>
      <c r="C708" s="13">
        <v>-1.17E-2</v>
      </c>
      <c r="D708" s="7">
        <v>254</v>
      </c>
      <c r="E708" s="7">
        <v>4.8999999999999998E-3</v>
      </c>
      <c r="F708" s="7">
        <v>587</v>
      </c>
      <c r="G708" s="8">
        <f t="shared" ref="G708:G771" si="46">$N$3^F708</f>
        <v>1.7179400890010876E-8</v>
      </c>
      <c r="H708" s="9">
        <f t="shared" si="43"/>
        <v>5.1538202670042925E-10</v>
      </c>
      <c r="I708" s="10">
        <f>SUM($H$3:H708)</f>
        <v>0.78536208184732814</v>
      </c>
      <c r="J708" s="23">
        <v>4.8999999999999998E-3</v>
      </c>
      <c r="Q708" s="7">
        <f t="shared" si="45"/>
        <v>1.3918687678577241E-5</v>
      </c>
      <c r="R708" s="7">
        <f t="shared" si="44"/>
        <v>1.2736912309643832E-5</v>
      </c>
    </row>
    <row r="709" spans="1:18" x14ac:dyDescent="0.25">
      <c r="A709" s="22">
        <v>45604</v>
      </c>
      <c r="B709" s="12">
        <v>270.02999999999997</v>
      </c>
      <c r="C709" s="13">
        <v>-2.5000000000000001E-3</v>
      </c>
      <c r="D709" s="7">
        <v>253</v>
      </c>
      <c r="E709" s="7">
        <v>4.8999999999999998E-3</v>
      </c>
      <c r="F709" s="7">
        <v>543</v>
      </c>
      <c r="G709" s="8">
        <f t="shared" si="46"/>
        <v>6.5622339080808732E-8</v>
      </c>
      <c r="H709" s="9">
        <f t="shared" ref="H709:H772" si="47">G709/$N$4</f>
        <v>1.9686701724246555E-9</v>
      </c>
      <c r="I709" s="10">
        <f>SUM($H$3:H709)</f>
        <v>0.78536208381599837</v>
      </c>
      <c r="J709" s="23">
        <v>4.8999999999999998E-3</v>
      </c>
      <c r="Q709" s="7">
        <f t="shared" si="45"/>
        <v>1.4349162555234269E-5</v>
      </c>
      <c r="R709" s="7">
        <f t="shared" si="44"/>
        <v>1.3130837432622507E-5</v>
      </c>
    </row>
    <row r="710" spans="1:18" x14ac:dyDescent="0.25">
      <c r="A710" s="22">
        <v>45607</v>
      </c>
      <c r="B710" s="12">
        <v>269.95999999999998</v>
      </c>
      <c r="C710" s="13">
        <v>-2.9999999999999997E-4</v>
      </c>
      <c r="D710" s="7">
        <v>252</v>
      </c>
      <c r="E710" s="7">
        <v>4.8999999999999998E-3</v>
      </c>
      <c r="F710" s="7">
        <v>489</v>
      </c>
      <c r="G710" s="8">
        <f t="shared" si="46"/>
        <v>3.3992104733503015E-7</v>
      </c>
      <c r="H710" s="9">
        <f t="shared" si="47"/>
        <v>1.0197631420052942E-8</v>
      </c>
      <c r="I710" s="10">
        <f>SUM($H$3:H710)</f>
        <v>0.78536209401362977</v>
      </c>
      <c r="J710" s="23">
        <v>4.8999999999999998E-3</v>
      </c>
      <c r="Q710" s="7">
        <f t="shared" si="45"/>
        <v>1.4792951087870383E-5</v>
      </c>
      <c r="R710" s="7">
        <f t="shared" si="44"/>
        <v>1.353694580682733E-5</v>
      </c>
    </row>
    <row r="711" spans="1:18" x14ac:dyDescent="0.25">
      <c r="A711" s="22">
        <v>45608</v>
      </c>
      <c r="B711" s="12">
        <v>267.18</v>
      </c>
      <c r="C711" s="13">
        <v>-1.03E-2</v>
      </c>
      <c r="D711" s="7">
        <v>251</v>
      </c>
      <c r="E711" s="7">
        <v>5.0000000000000001E-3</v>
      </c>
      <c r="F711" s="7">
        <v>758</v>
      </c>
      <c r="G711" s="8">
        <f t="shared" si="46"/>
        <v>9.3966829517384346E-11</v>
      </c>
      <c r="H711" s="9">
        <f t="shared" si="47"/>
        <v>2.819004885522094E-12</v>
      </c>
      <c r="I711" s="10">
        <f>SUM($H$3:H711)</f>
        <v>0.78536209401644874</v>
      </c>
      <c r="J711" s="23">
        <v>5.0000000000000001E-3</v>
      </c>
      <c r="Q711" s="7">
        <f t="shared" si="45"/>
        <v>1.5250465039041629E-5</v>
      </c>
      <c r="R711" s="7">
        <f t="shared" si="44"/>
        <v>1.3955614233842606E-5</v>
      </c>
    </row>
    <row r="712" spans="1:18" x14ac:dyDescent="0.25">
      <c r="A712" s="22">
        <v>45609</v>
      </c>
      <c r="B712" s="12">
        <v>263.64</v>
      </c>
      <c r="C712" s="13">
        <v>-1.32E-2</v>
      </c>
      <c r="D712" s="7">
        <v>250</v>
      </c>
      <c r="E712" s="7">
        <v>5.0000000000000001E-3</v>
      </c>
      <c r="F712" s="7">
        <v>697</v>
      </c>
      <c r="G712" s="8">
        <f t="shared" si="46"/>
        <v>6.0241917023986449E-10</v>
      </c>
      <c r="H712" s="9">
        <f t="shared" si="47"/>
        <v>1.8072575107199546E-11</v>
      </c>
      <c r="I712" s="10">
        <f>SUM($H$3:H712)</f>
        <v>0.78536209403452129</v>
      </c>
      <c r="J712" s="23">
        <v>5.0000000000000001E-3</v>
      </c>
      <c r="Q712" s="7">
        <f t="shared" si="45"/>
        <v>1.5722128906228485E-5</v>
      </c>
      <c r="R712" s="7">
        <f t="shared" si="44"/>
        <v>1.4387231168909904E-5</v>
      </c>
    </row>
    <row r="713" spans="1:18" x14ac:dyDescent="0.25">
      <c r="A713" s="22">
        <v>45610</v>
      </c>
      <c r="B713" s="12">
        <v>263.57</v>
      </c>
      <c r="C713" s="13">
        <v>-2.9999999999999997E-4</v>
      </c>
      <c r="D713" s="7">
        <v>249</v>
      </c>
      <c r="E713" s="7">
        <v>5.0000000000000001E-3</v>
      </c>
      <c r="F713" s="7">
        <v>573</v>
      </c>
      <c r="G713" s="8">
        <f t="shared" si="46"/>
        <v>2.6315021825740204E-8</v>
      </c>
      <c r="H713" s="9">
        <f t="shared" si="47"/>
        <v>7.8945065477236395E-10</v>
      </c>
      <c r="I713" s="10">
        <f>SUM($H$3:H713)</f>
        <v>0.7853620948239719</v>
      </c>
      <c r="J713" s="23">
        <v>5.0000000000000001E-3</v>
      </c>
      <c r="Q713" s="7">
        <f t="shared" si="45"/>
        <v>1.620838031569947E-5</v>
      </c>
      <c r="R713" s="7">
        <f t="shared" si="44"/>
        <v>1.4832197081350417E-5</v>
      </c>
    </row>
    <row r="714" spans="1:18" x14ac:dyDescent="0.25">
      <c r="A714" s="22">
        <v>45614</v>
      </c>
      <c r="B714" s="12">
        <v>262.47000000000003</v>
      </c>
      <c r="C714" s="13">
        <v>-4.1999999999999997E-3</v>
      </c>
      <c r="D714" s="7">
        <v>248</v>
      </c>
      <c r="E714" s="7">
        <v>5.0000000000000001E-3</v>
      </c>
      <c r="F714" s="7">
        <v>505</v>
      </c>
      <c r="G714" s="8">
        <f t="shared" si="46"/>
        <v>2.0879774521440475E-7</v>
      </c>
      <c r="H714" s="9">
        <f t="shared" si="47"/>
        <v>6.2639323564333946E-9</v>
      </c>
      <c r="I714" s="10">
        <f>SUM($H$3:H714)</f>
        <v>0.78536210108790427</v>
      </c>
      <c r="J714" s="23">
        <v>5.0000000000000001E-3</v>
      </c>
      <c r="Q714" s="7">
        <f t="shared" si="45"/>
        <v>1.6709670428556155E-5</v>
      </c>
      <c r="R714" s="7">
        <f t="shared" si="44"/>
        <v>1.5290924826134451E-5</v>
      </c>
    </row>
    <row r="715" spans="1:18" x14ac:dyDescent="0.25">
      <c r="A715" s="22">
        <v>45615</v>
      </c>
      <c r="B715" s="12">
        <v>263.07</v>
      </c>
      <c r="C715" s="13">
        <v>2.3E-3</v>
      </c>
      <c r="D715" s="7">
        <v>247</v>
      </c>
      <c r="E715" s="7">
        <v>5.0000000000000001E-3</v>
      </c>
      <c r="F715" s="7">
        <v>404</v>
      </c>
      <c r="G715" s="8">
        <f t="shared" si="46"/>
        <v>4.5266888504639091E-6</v>
      </c>
      <c r="H715" s="9">
        <f t="shared" si="47"/>
        <v>1.3580066551394443E-7</v>
      </c>
      <c r="I715" s="10">
        <f>SUM($H$3:H715)</f>
        <v>0.78536223688856976</v>
      </c>
      <c r="J715" s="23">
        <v>5.0000000000000001E-3</v>
      </c>
      <c r="Q715" s="7">
        <f t="shared" si="45"/>
        <v>1.7226464359336242E-5</v>
      </c>
      <c r="R715" s="7">
        <f t="shared" si="44"/>
        <v>1.5763840026942731E-5</v>
      </c>
    </row>
    <row r="716" spans="1:18" x14ac:dyDescent="0.25">
      <c r="A716" s="22">
        <v>45617</v>
      </c>
      <c r="B716" s="12">
        <v>261.29000000000002</v>
      </c>
      <c r="C716" s="13">
        <v>-6.7999999999999996E-3</v>
      </c>
      <c r="D716" s="7">
        <v>246</v>
      </c>
      <c r="E716" s="7">
        <v>5.0000000000000001E-3</v>
      </c>
      <c r="F716" s="7">
        <v>338</v>
      </c>
      <c r="G716" s="8">
        <f t="shared" si="46"/>
        <v>3.3794512192312416E-5</v>
      </c>
      <c r="H716" s="9">
        <f t="shared" si="47"/>
        <v>1.0138353657695752E-6</v>
      </c>
      <c r="I716" s="10">
        <f>SUM($H$3:H716)</f>
        <v>0.78536325072393554</v>
      </c>
      <c r="J716" s="23">
        <v>5.0000000000000001E-3</v>
      </c>
      <c r="Q716" s="7">
        <f t="shared" si="45"/>
        <v>1.7759241607563136E-5</v>
      </c>
      <c r="R716" s="7">
        <f t="shared" si="44"/>
        <v>1.6251381471074981E-5</v>
      </c>
    </row>
    <row r="717" spans="1:18" x14ac:dyDescent="0.25">
      <c r="A717" s="22">
        <v>45618</v>
      </c>
      <c r="B717" s="12">
        <v>266.86</v>
      </c>
      <c r="C717" s="13">
        <v>2.1299999999999999E-2</v>
      </c>
      <c r="D717" s="7">
        <v>245</v>
      </c>
      <c r="E717" s="7">
        <v>5.0000000000000001E-3</v>
      </c>
      <c r="F717" s="7">
        <v>283</v>
      </c>
      <c r="G717" s="8">
        <f t="shared" si="46"/>
        <v>1.8046824598784677E-4</v>
      </c>
      <c r="H717" s="9">
        <f t="shared" si="47"/>
        <v>5.4140473796364853E-6</v>
      </c>
      <c r="I717" s="10">
        <f>SUM($H$3:H717)</f>
        <v>0.78536866477131517</v>
      </c>
      <c r="J717" s="23">
        <v>5.0000000000000001E-3</v>
      </c>
      <c r="Q717" s="7">
        <f t="shared" si="45"/>
        <v>1.8308496502642407E-5</v>
      </c>
      <c r="R717" s="7">
        <f t="shared" si="44"/>
        <v>1.6754001516572145E-5</v>
      </c>
    </row>
    <row r="718" spans="1:18" x14ac:dyDescent="0.25">
      <c r="A718" s="22">
        <v>45621</v>
      </c>
      <c r="B718" s="12">
        <v>270.73</v>
      </c>
      <c r="C718" s="13">
        <v>1.4500000000000001E-2</v>
      </c>
      <c r="D718" s="7">
        <v>244</v>
      </c>
      <c r="E718" s="7">
        <v>5.0000000000000001E-3</v>
      </c>
      <c r="F718" s="7">
        <v>276</v>
      </c>
      <c r="G718" s="8">
        <f t="shared" si="46"/>
        <v>2.2335653182925291E-4</v>
      </c>
      <c r="H718" s="9">
        <f t="shared" si="47"/>
        <v>6.7006959548789267E-6</v>
      </c>
      <c r="I718" s="10">
        <f>SUM($H$3:H718)</f>
        <v>0.78537536546727005</v>
      </c>
      <c r="J718" s="23">
        <v>5.0000000000000001E-3</v>
      </c>
      <c r="Q718" s="7">
        <f t="shared" si="45"/>
        <v>1.8874738662517948E-5</v>
      </c>
      <c r="R718" s="7">
        <f t="shared" si="44"/>
        <v>1.7272166511930048E-5</v>
      </c>
    </row>
    <row r="719" spans="1:18" x14ac:dyDescent="0.25">
      <c r="A719" s="22">
        <v>45622</v>
      </c>
      <c r="B719" s="12">
        <v>270.54000000000002</v>
      </c>
      <c r="C719" s="13">
        <v>-6.9999999999999999E-4</v>
      </c>
      <c r="D719" s="7">
        <v>243</v>
      </c>
      <c r="E719" s="7">
        <v>5.1000000000000004E-3</v>
      </c>
      <c r="F719" s="7">
        <v>703</v>
      </c>
      <c r="G719" s="8">
        <f t="shared" si="46"/>
        <v>5.0179830404236438E-10</v>
      </c>
      <c r="H719" s="9">
        <f t="shared" si="47"/>
        <v>1.5053949121273939E-11</v>
      </c>
      <c r="I719" s="10">
        <f>SUM($H$3:H719)</f>
        <v>0.78537536548232401</v>
      </c>
      <c r="J719" s="23">
        <v>5.1000000000000004E-3</v>
      </c>
      <c r="Q719" s="7">
        <f t="shared" si="45"/>
        <v>1.9458493466513351E-5</v>
      </c>
      <c r="R719" s="7">
        <f t="shared" si="44"/>
        <v>1.7806357228793867E-5</v>
      </c>
    </row>
    <row r="720" spans="1:18" x14ac:dyDescent="0.25">
      <c r="A720" s="22">
        <v>45623</v>
      </c>
      <c r="B720" s="12">
        <v>271.54000000000002</v>
      </c>
      <c r="C720" s="13">
        <v>3.7000000000000002E-3</v>
      </c>
      <c r="D720" s="7">
        <v>242</v>
      </c>
      <c r="E720" s="7">
        <v>5.1000000000000004E-3</v>
      </c>
      <c r="F720" s="7">
        <v>524</v>
      </c>
      <c r="G720" s="8">
        <f t="shared" si="46"/>
        <v>1.1705467284892125E-7</v>
      </c>
      <c r="H720" s="9">
        <f t="shared" si="47"/>
        <v>3.5116401854683393E-9</v>
      </c>
      <c r="I720" s="10">
        <f>SUM($H$3:H720)</f>
        <v>0.78537536899396421</v>
      </c>
      <c r="J720" s="23">
        <v>5.1000000000000004E-3</v>
      </c>
      <c r="Q720" s="7">
        <f t="shared" si="45"/>
        <v>2.006030254279727E-5</v>
      </c>
      <c r="R720" s="7">
        <f t="shared" si="44"/>
        <v>1.8357069308034915E-5</v>
      </c>
    </row>
    <row r="721" spans="1:18" x14ac:dyDescent="0.25">
      <c r="A721" s="22">
        <v>45624</v>
      </c>
      <c r="B721" s="12">
        <v>267.68</v>
      </c>
      <c r="C721" s="13">
        <v>-1.4200000000000001E-2</v>
      </c>
      <c r="D721" s="7">
        <v>241</v>
      </c>
      <c r="E721" s="7">
        <v>5.1000000000000004E-3</v>
      </c>
      <c r="F721" s="7">
        <v>310</v>
      </c>
      <c r="G721" s="8">
        <f t="shared" si="46"/>
        <v>7.9293506314651475E-5</v>
      </c>
      <c r="H721" s="9">
        <f t="shared" si="47"/>
        <v>2.3788051894400197E-6</v>
      </c>
      <c r="I721" s="10">
        <f>SUM($H$3:H721)</f>
        <v>0.78537774779915359</v>
      </c>
      <c r="J721" s="23">
        <v>5.1000000000000004E-3</v>
      </c>
      <c r="Q721" s="7">
        <f t="shared" si="45"/>
        <v>2.0680724270925019E-5</v>
      </c>
      <c r="R721" s="7">
        <f t="shared" si="44"/>
        <v>1.8924813719623625E-5</v>
      </c>
    </row>
    <row r="722" spans="1:18" x14ac:dyDescent="0.25">
      <c r="A722" s="22">
        <v>45625</v>
      </c>
      <c r="B722" s="12">
        <v>269.88</v>
      </c>
      <c r="C722" s="13">
        <v>8.2000000000000007E-3</v>
      </c>
      <c r="D722" s="7">
        <v>240</v>
      </c>
      <c r="E722" s="7">
        <v>5.1000000000000004E-3</v>
      </c>
      <c r="F722" s="7">
        <v>20</v>
      </c>
      <c r="G722" s="8">
        <f t="shared" si="46"/>
        <v>0.54379434292674711</v>
      </c>
      <c r="H722" s="9">
        <f t="shared" si="47"/>
        <v>1.6313830287805673E-2</v>
      </c>
      <c r="I722" s="10">
        <f>SUM($H$3:H722)</f>
        <v>0.80169157808695923</v>
      </c>
      <c r="J722" s="23">
        <v>5.1000000000000004E-3</v>
      </c>
      <c r="Q722" s="7">
        <f t="shared" si="45"/>
        <v>2.1320334299922697E-5</v>
      </c>
      <c r="R722" s="7">
        <f t="shared" si="44"/>
        <v>1.9510117236725381E-5</v>
      </c>
    </row>
    <row r="723" spans="1:18" x14ac:dyDescent="0.25">
      <c r="A723" s="22">
        <v>45628</v>
      </c>
      <c r="B723" s="12">
        <v>271.38</v>
      </c>
      <c r="C723" s="13">
        <v>5.5999999999999999E-3</v>
      </c>
      <c r="D723" s="7">
        <v>239</v>
      </c>
      <c r="E723" s="7">
        <v>5.1999999999999998E-3</v>
      </c>
      <c r="F723" s="7">
        <v>542</v>
      </c>
      <c r="G723" s="8">
        <f t="shared" si="46"/>
        <v>6.765189595959663E-8</v>
      </c>
      <c r="H723" s="9">
        <f t="shared" si="47"/>
        <v>2.0295568787883044E-9</v>
      </c>
      <c r="I723" s="10">
        <f>SUM($H$3:H723)</f>
        <v>0.80169158011651609</v>
      </c>
      <c r="J723" s="23">
        <v>5.1999999999999998E-3</v>
      </c>
      <c r="Q723" s="7">
        <f t="shared" si="45"/>
        <v>2.1979726082394537E-5</v>
      </c>
      <c r="R723" s="7">
        <f t="shared" si="44"/>
        <v>2.0113522924459162E-5</v>
      </c>
    </row>
    <row r="724" spans="1:18" x14ac:dyDescent="0.25">
      <c r="A724" s="22">
        <v>45629</v>
      </c>
      <c r="B724" s="12">
        <v>272.98</v>
      </c>
      <c r="C724" s="13">
        <v>5.8999999999999999E-3</v>
      </c>
      <c r="D724" s="7">
        <v>238</v>
      </c>
      <c r="E724" s="7">
        <v>5.1999999999999998E-3</v>
      </c>
      <c r="F724" s="7">
        <v>468</v>
      </c>
      <c r="G724" s="8">
        <f t="shared" si="46"/>
        <v>6.4442389659938549E-7</v>
      </c>
      <c r="H724" s="9">
        <f t="shared" si="47"/>
        <v>1.9332716897985431E-8</v>
      </c>
      <c r="I724" s="10">
        <f>SUM($H$3:H724)</f>
        <v>0.80169159944923296</v>
      </c>
      <c r="J724" s="23">
        <v>5.1999999999999998E-3</v>
      </c>
      <c r="Q724" s="7">
        <f t="shared" si="45"/>
        <v>2.2659511425149003E-5</v>
      </c>
      <c r="R724" s="7">
        <f t="shared" si="44"/>
        <v>2.0735590643772326E-5</v>
      </c>
    </row>
    <row r="725" spans="1:18" x14ac:dyDescent="0.25">
      <c r="A725" s="22">
        <v>45630</v>
      </c>
      <c r="B725" s="12">
        <v>273.43</v>
      </c>
      <c r="C725" s="13">
        <v>1.6000000000000001E-3</v>
      </c>
      <c r="D725" s="7">
        <v>237</v>
      </c>
      <c r="E725" s="7">
        <v>5.1999999999999998E-3</v>
      </c>
      <c r="F725" s="7">
        <v>433</v>
      </c>
      <c r="G725" s="8">
        <f t="shared" si="46"/>
        <v>1.8713754908572456E-6</v>
      </c>
      <c r="H725" s="9">
        <f t="shared" si="47"/>
        <v>5.6141264725728589E-8</v>
      </c>
      <c r="I725" s="10">
        <f>SUM($H$3:H725)</f>
        <v>0.80169165559049771</v>
      </c>
      <c r="J725" s="23">
        <v>5.1999999999999998E-3</v>
      </c>
      <c r="Q725" s="7">
        <f t="shared" si="45"/>
        <v>2.3360321056854645E-5</v>
      </c>
      <c r="R725" s="7">
        <f t="shared" si="44"/>
        <v>2.1376897570899309E-5</v>
      </c>
    </row>
    <row r="726" spans="1:18" x14ac:dyDescent="0.25">
      <c r="A726" s="22">
        <v>45631</v>
      </c>
      <c r="B726" s="12">
        <v>275.92</v>
      </c>
      <c r="C726" s="13">
        <v>9.1000000000000004E-3</v>
      </c>
      <c r="D726" s="7">
        <v>236</v>
      </c>
      <c r="E726" s="7">
        <v>5.1999999999999998E-3</v>
      </c>
      <c r="F726" s="7">
        <v>419</v>
      </c>
      <c r="G726" s="8">
        <f t="shared" si="46"/>
        <v>2.8665310974085164E-6</v>
      </c>
      <c r="H726" s="9">
        <f t="shared" si="47"/>
        <v>8.5995932922272676E-8</v>
      </c>
      <c r="I726" s="10">
        <f>SUM($H$3:H726)</f>
        <v>0.80169174158643064</v>
      </c>
      <c r="J726" s="23">
        <v>5.1999999999999998E-3</v>
      </c>
      <c r="Q726" s="7">
        <f t="shared" si="45"/>
        <v>2.4082805213252209E-5</v>
      </c>
      <c r="R726" s="7">
        <f t="shared" si="44"/>
        <v>2.2038038732885885E-5</v>
      </c>
    </row>
    <row r="727" spans="1:18" x14ac:dyDescent="0.25">
      <c r="A727" s="22">
        <v>45632</v>
      </c>
      <c r="B727" s="12">
        <v>275.88</v>
      </c>
      <c r="C727" s="13">
        <v>-1E-4</v>
      </c>
      <c r="D727" s="7">
        <v>235</v>
      </c>
      <c r="E727" s="7">
        <v>5.1999999999999998E-3</v>
      </c>
      <c r="F727" s="7">
        <v>79</v>
      </c>
      <c r="G727" s="8">
        <f t="shared" si="46"/>
        <v>9.0150264864770346E-2</v>
      </c>
      <c r="H727" s="9">
        <f t="shared" si="47"/>
        <v>2.7045079459436508E-3</v>
      </c>
      <c r="I727" s="10">
        <f>SUM($H$3:H727)</f>
        <v>0.80439624953237432</v>
      </c>
      <c r="J727" s="23">
        <v>5.1999999999999998E-3</v>
      </c>
      <c r="Q727" s="7">
        <f t="shared" si="45"/>
        <v>2.4827634240466198E-5</v>
      </c>
      <c r="R727" s="7">
        <f t="shared" si="44"/>
        <v>2.2719627559676172E-5</v>
      </c>
    </row>
    <row r="728" spans="1:18" x14ac:dyDescent="0.25">
      <c r="A728" s="22">
        <v>45635</v>
      </c>
      <c r="B728" s="12">
        <v>275.14</v>
      </c>
      <c r="C728" s="13">
        <v>-2.7000000000000001E-3</v>
      </c>
      <c r="D728" s="7">
        <v>234</v>
      </c>
      <c r="E728" s="7">
        <v>5.1999999999999998E-3</v>
      </c>
      <c r="F728" s="7">
        <v>25</v>
      </c>
      <c r="G728" s="8">
        <f t="shared" si="46"/>
        <v>0.46697470525437179</v>
      </c>
      <c r="H728" s="9">
        <f t="shared" si="47"/>
        <v>1.4009241157633953E-2</v>
      </c>
      <c r="I728" s="10">
        <f>SUM($H$3:H728)</f>
        <v>0.81840549069000823</v>
      </c>
      <c r="J728" s="23">
        <v>5.1999999999999998E-3</v>
      </c>
      <c r="Q728" s="7">
        <f t="shared" si="45"/>
        <v>2.5595499216975465E-5</v>
      </c>
      <c r="R728" s="7">
        <f t="shared" si="44"/>
        <v>2.3422296453274405E-5</v>
      </c>
    </row>
    <row r="729" spans="1:18" x14ac:dyDescent="0.25">
      <c r="A729" s="22">
        <v>45636</v>
      </c>
      <c r="B729" s="12">
        <v>274.68</v>
      </c>
      <c r="C729" s="13">
        <v>-1.6999999999999999E-3</v>
      </c>
      <c r="D729" s="7">
        <v>233</v>
      </c>
      <c r="E729" s="7">
        <v>5.3E-3</v>
      </c>
      <c r="F729" s="7">
        <v>789</v>
      </c>
      <c r="G729" s="8">
        <f t="shared" si="46"/>
        <v>3.6550921959709132E-11</v>
      </c>
      <c r="H729" s="9">
        <f t="shared" si="47"/>
        <v>1.0965276587914931E-12</v>
      </c>
      <c r="I729" s="10">
        <f>SUM($H$3:H729)</f>
        <v>0.8184054906911048</v>
      </c>
      <c r="J729" s="23">
        <v>5.3E-3</v>
      </c>
      <c r="Q729" s="7">
        <f t="shared" si="45"/>
        <v>2.6387112594820068E-5</v>
      </c>
      <c r="R729" s="7">
        <f t="shared" si="44"/>
        <v>2.4146697374509697E-5</v>
      </c>
    </row>
    <row r="730" spans="1:18" x14ac:dyDescent="0.25">
      <c r="A730" s="22">
        <v>45637</v>
      </c>
      <c r="B730" s="12">
        <v>274.97000000000003</v>
      </c>
      <c r="C730" s="13">
        <v>1.1000000000000001E-3</v>
      </c>
      <c r="D730" s="7">
        <v>232</v>
      </c>
      <c r="E730" s="7">
        <v>5.3E-3</v>
      </c>
      <c r="F730" s="7">
        <v>581</v>
      </c>
      <c r="G730" s="8">
        <f t="shared" si="46"/>
        <v>2.0624223609381924E-8</v>
      </c>
      <c r="H730" s="9">
        <f t="shared" si="47"/>
        <v>6.1872670828158141E-10</v>
      </c>
      <c r="I730" s="10">
        <f>SUM($H$3:H730)</f>
        <v>0.81840549130983153</v>
      </c>
      <c r="J730" s="23">
        <v>5.3E-3</v>
      </c>
      <c r="Q730" s="7">
        <f t="shared" si="45"/>
        <v>2.7203208860639243E-5</v>
      </c>
      <c r="R730" s="7">
        <f t="shared" si="44"/>
        <v>2.489350244794814E-5</v>
      </c>
    </row>
    <row r="731" spans="1:18" x14ac:dyDescent="0.25">
      <c r="A731" s="22">
        <v>45638</v>
      </c>
      <c r="B731" s="12">
        <v>274.10000000000002</v>
      </c>
      <c r="C731" s="13">
        <v>-3.2000000000000002E-3</v>
      </c>
      <c r="D731" s="7">
        <v>231</v>
      </c>
      <c r="E731" s="7">
        <v>5.3E-3</v>
      </c>
      <c r="F731" s="7">
        <v>525</v>
      </c>
      <c r="G731" s="8">
        <f t="shared" si="46"/>
        <v>1.1354303266345361E-7</v>
      </c>
      <c r="H731" s="9">
        <f t="shared" si="47"/>
        <v>3.4062909799042891E-9</v>
      </c>
      <c r="I731" s="10">
        <f>SUM($H$3:H731)</f>
        <v>0.81840549471612256</v>
      </c>
      <c r="J731" s="23">
        <v>5.3E-3</v>
      </c>
      <c r="Q731" s="7">
        <f t="shared" si="45"/>
        <v>2.8044545217153856E-5</v>
      </c>
      <c r="R731" s="7">
        <f t="shared" si="44"/>
        <v>2.5663404585513544E-5</v>
      </c>
    </row>
    <row r="732" spans="1:18" x14ac:dyDescent="0.25">
      <c r="A732" s="22">
        <v>45639</v>
      </c>
      <c r="B732" s="12">
        <v>276.08</v>
      </c>
      <c r="C732" s="13">
        <v>7.1999999999999998E-3</v>
      </c>
      <c r="D732" s="7">
        <v>230</v>
      </c>
      <c r="E732" s="7">
        <v>5.3E-3</v>
      </c>
      <c r="F732" s="7">
        <v>443</v>
      </c>
      <c r="G732" s="8">
        <f t="shared" si="46"/>
        <v>1.379997437437972E-6</v>
      </c>
      <c r="H732" s="9">
        <f t="shared" si="47"/>
        <v>4.1399923123147432E-8</v>
      </c>
      <c r="I732" s="10">
        <f>SUM($H$3:H732)</f>
        <v>0.81840553611604572</v>
      </c>
      <c r="J732" s="23">
        <v>5.3E-3</v>
      </c>
      <c r="Q732" s="7">
        <f t="shared" si="45"/>
        <v>2.8911902285725625E-5</v>
      </c>
      <c r="R732" s="7">
        <f t="shared" si="44"/>
        <v>2.6457118129395406E-5</v>
      </c>
    </row>
    <row r="733" spans="1:18" x14ac:dyDescent="0.25">
      <c r="A733" s="22">
        <v>45642</v>
      </c>
      <c r="B733" s="12">
        <v>275.48</v>
      </c>
      <c r="C733" s="13">
        <v>-2.2000000000000001E-3</v>
      </c>
      <c r="D733" s="7">
        <v>229</v>
      </c>
      <c r="E733" s="7">
        <v>5.3E-3</v>
      </c>
      <c r="F733" s="7">
        <v>436</v>
      </c>
      <c r="G733" s="8">
        <f t="shared" si="46"/>
        <v>1.707953883367155E-6</v>
      </c>
      <c r="H733" s="9">
        <f t="shared" si="47"/>
        <v>5.1238616501024888E-8</v>
      </c>
      <c r="I733" s="10">
        <f>SUM($H$3:H733)</f>
        <v>0.81840558735466218</v>
      </c>
      <c r="J733" s="23">
        <v>5.3E-3</v>
      </c>
      <c r="Q733" s="7">
        <f t="shared" si="45"/>
        <v>2.9806084830644979E-5</v>
      </c>
      <c r="R733" s="7">
        <f t="shared" si="44"/>
        <v>2.7275379514840627E-5</v>
      </c>
    </row>
    <row r="734" spans="1:18" x14ac:dyDescent="0.25">
      <c r="A734" s="22">
        <v>45643</v>
      </c>
      <c r="B734" s="12">
        <v>272.22000000000003</v>
      </c>
      <c r="C734" s="13">
        <v>-1.18E-2</v>
      </c>
      <c r="D734" s="7">
        <v>228</v>
      </c>
      <c r="E734" s="7">
        <v>5.4000000000000003E-3</v>
      </c>
      <c r="F734" s="7">
        <v>624</v>
      </c>
      <c r="G734" s="8">
        <f t="shared" si="46"/>
        <v>5.5662432583541005E-9</v>
      </c>
      <c r="H734" s="9">
        <f t="shared" si="47"/>
        <v>1.669872977506564E-10</v>
      </c>
      <c r="I734" s="10">
        <f>SUM($H$3:H734)</f>
        <v>0.81840558752164949</v>
      </c>
      <c r="J734" s="23">
        <v>5.4000000000000003E-3</v>
      </c>
      <c r="Q734" s="7">
        <f t="shared" si="45"/>
        <v>3.0727922505819563E-5</v>
      </c>
      <c r="R734" s="7">
        <f t="shared" si="44"/>
        <v>2.8118947953443943E-5</v>
      </c>
    </row>
    <row r="735" spans="1:18" x14ac:dyDescent="0.25">
      <c r="A735" s="22">
        <v>45644</v>
      </c>
      <c r="B735" s="12">
        <v>270.7</v>
      </c>
      <c r="C735" s="13">
        <v>-5.5999999999999999E-3</v>
      </c>
      <c r="D735" s="7">
        <v>227</v>
      </c>
      <c r="E735" s="7">
        <v>5.4000000000000003E-3</v>
      </c>
      <c r="F735" s="7">
        <v>388</v>
      </c>
      <c r="G735" s="8">
        <f t="shared" si="46"/>
        <v>7.3694129858991459E-6</v>
      </c>
      <c r="H735" s="9">
        <f t="shared" si="47"/>
        <v>2.2108238957701857E-7</v>
      </c>
      <c r="I735" s="10">
        <f>SUM($H$3:H735)</f>
        <v>0.81840580860403911</v>
      </c>
      <c r="J735" s="23">
        <v>5.4000000000000003E-3</v>
      </c>
      <c r="Q735" s="7">
        <f t="shared" si="45"/>
        <v>3.1678270624556256E-5</v>
      </c>
      <c r="R735" s="7">
        <f t="shared" si="44"/>
        <v>2.8988606137571082E-5</v>
      </c>
    </row>
    <row r="736" spans="1:18" x14ac:dyDescent="0.25">
      <c r="A736" s="22">
        <v>45645</v>
      </c>
      <c r="B736" s="12">
        <v>268.39</v>
      </c>
      <c r="C736" s="13">
        <v>-8.5000000000000006E-3</v>
      </c>
      <c r="D736" s="7">
        <v>226</v>
      </c>
      <c r="E736" s="7">
        <v>5.4000000000000003E-3</v>
      </c>
      <c r="F736" s="7">
        <v>347</v>
      </c>
      <c r="G736" s="8">
        <f t="shared" si="46"/>
        <v>2.5691637780676279E-5</v>
      </c>
      <c r="H736" s="9">
        <f t="shared" si="47"/>
        <v>7.707491334204424E-7</v>
      </c>
      <c r="I736" s="10">
        <f>SUM($H$3:H736)</f>
        <v>0.81840657935317251</v>
      </c>
      <c r="J736" s="23">
        <v>5.4000000000000003E-3</v>
      </c>
      <c r="Q736" s="7">
        <f t="shared" si="45"/>
        <v>3.2658010953150779E-5</v>
      </c>
      <c r="R736" s="7">
        <f t="shared" si="44"/>
        <v>2.9885160966568124E-5</v>
      </c>
    </row>
    <row r="737" spans="1:18" x14ac:dyDescent="0.25">
      <c r="A737" s="22">
        <v>45646</v>
      </c>
      <c r="B737" s="12">
        <v>264.14999999999998</v>
      </c>
      <c r="C737" s="13">
        <v>-1.5800000000000002E-2</v>
      </c>
      <c r="D737" s="7">
        <v>225</v>
      </c>
      <c r="E737" s="7">
        <v>5.4000000000000003E-3</v>
      </c>
      <c r="F737" s="7">
        <v>71</v>
      </c>
      <c r="G737" s="8">
        <f t="shared" si="46"/>
        <v>0.11502523597705439</v>
      </c>
      <c r="H737" s="9">
        <f t="shared" si="47"/>
        <v>3.4507570793123211E-3</v>
      </c>
      <c r="I737" s="10">
        <f>SUM($H$3:H737)</f>
        <v>0.82185733643248482</v>
      </c>
      <c r="J737" s="23">
        <v>5.4000000000000003E-3</v>
      </c>
      <c r="Q737" s="7">
        <f t="shared" si="45"/>
        <v>3.3668052529021413E-5</v>
      </c>
      <c r="R737" s="7">
        <f t="shared" si="44"/>
        <v>3.0809444295431049E-5</v>
      </c>
    </row>
    <row r="738" spans="1:18" x14ac:dyDescent="0.25">
      <c r="A738" s="22">
        <v>45649</v>
      </c>
      <c r="B738" s="12">
        <v>265.66000000000003</v>
      </c>
      <c r="C738" s="13">
        <v>5.7000000000000002E-3</v>
      </c>
      <c r="D738" s="7">
        <v>224</v>
      </c>
      <c r="E738" s="7">
        <v>5.4000000000000003E-3</v>
      </c>
      <c r="F738" s="7">
        <v>64</v>
      </c>
      <c r="G738" s="8">
        <f t="shared" si="46"/>
        <v>0.14236098788485163</v>
      </c>
      <c r="H738" s="9">
        <f t="shared" si="47"/>
        <v>4.2708296365464027E-3</v>
      </c>
      <c r="I738" s="10">
        <f>SUM($H$3:H738)</f>
        <v>0.82612816606903117</v>
      </c>
      <c r="J738" s="23">
        <v>5.4000000000000003E-3</v>
      </c>
      <c r="Q738" s="7">
        <f t="shared" si="45"/>
        <v>3.4709332504145795E-5</v>
      </c>
      <c r="R738" s="7">
        <f t="shared" si="44"/>
        <v>3.1762313706629953E-5</v>
      </c>
    </row>
    <row r="739" spans="1:18" x14ac:dyDescent="0.25">
      <c r="A739" s="22">
        <v>45650</v>
      </c>
      <c r="B739" s="12">
        <v>265.49</v>
      </c>
      <c r="C739" s="13">
        <v>-5.9999999999999995E-4</v>
      </c>
      <c r="D739" s="7">
        <v>223</v>
      </c>
      <c r="E739" s="7">
        <v>5.4999999999999997E-3</v>
      </c>
      <c r="F739" s="7">
        <v>921</v>
      </c>
      <c r="G739" s="8">
        <f t="shared" si="46"/>
        <v>6.5579372866938269E-13</v>
      </c>
      <c r="H739" s="9">
        <f t="shared" si="47"/>
        <v>1.9673811860085413E-14</v>
      </c>
      <c r="I739" s="10">
        <f>SUM($H$3:H739)</f>
        <v>0.82612816606905082</v>
      </c>
      <c r="J739" s="23">
        <v>5.4999999999999997E-3</v>
      </c>
      <c r="Q739" s="7">
        <f t="shared" si="45"/>
        <v>3.5782817014583291E-5</v>
      </c>
      <c r="R739" s="7">
        <f t="shared" si="44"/>
        <v>3.2744653305804078E-5</v>
      </c>
    </row>
    <row r="740" spans="1:18" x14ac:dyDescent="0.25">
      <c r="A740" s="22">
        <v>45652</v>
      </c>
      <c r="B740" s="12">
        <v>265.67</v>
      </c>
      <c r="C740" s="13">
        <v>6.9999999999999999E-4</v>
      </c>
      <c r="D740" s="7">
        <v>222</v>
      </c>
      <c r="E740" s="7">
        <v>5.4999999999999997E-3</v>
      </c>
      <c r="F740" s="7">
        <v>496</v>
      </c>
      <c r="G740" s="8">
        <f t="shared" si="46"/>
        <v>2.7465037482673885E-7</v>
      </c>
      <c r="H740" s="9">
        <f t="shared" si="47"/>
        <v>8.2395112448038121E-9</v>
      </c>
      <c r="I740" s="10">
        <f>SUM($H$3:H740)</f>
        <v>0.82612817430856211</v>
      </c>
      <c r="J740" s="23">
        <v>5.4999999999999997E-3</v>
      </c>
      <c r="Q740" s="7">
        <f t="shared" si="45"/>
        <v>3.6889502076889984E-5</v>
      </c>
      <c r="R740" s="7">
        <f t="shared" si="44"/>
        <v>3.3757374542066052E-5</v>
      </c>
    </row>
    <row r="741" spans="1:18" x14ac:dyDescent="0.25">
      <c r="A741" s="22">
        <v>45653</v>
      </c>
      <c r="B741" s="12">
        <v>266.39</v>
      </c>
      <c r="C741" s="13">
        <v>2.7000000000000001E-3</v>
      </c>
      <c r="D741" s="7">
        <v>221</v>
      </c>
      <c r="E741" s="7">
        <v>5.4999999999999997E-3</v>
      </c>
      <c r="F741" s="7">
        <v>295</v>
      </c>
      <c r="G741" s="8">
        <f t="shared" si="46"/>
        <v>1.2521651388091307E-4</v>
      </c>
      <c r="H741" s="9">
        <f t="shared" si="47"/>
        <v>3.7564954164281428E-6</v>
      </c>
      <c r="I741" s="10">
        <f>SUM($H$3:H741)</f>
        <v>0.82613193080397851</v>
      </c>
      <c r="J741" s="23">
        <v>5.4999999999999997E-3</v>
      </c>
      <c r="Q741" s="7">
        <f t="shared" si="45"/>
        <v>3.803041451225773E-5</v>
      </c>
      <c r="R741" s="7">
        <f t="shared" si="44"/>
        <v>3.4801417053676351E-5</v>
      </c>
    </row>
    <row r="742" spans="1:18" x14ac:dyDescent="0.25">
      <c r="A742" s="22">
        <v>45656</v>
      </c>
      <c r="B742" s="12">
        <v>264.37</v>
      </c>
      <c r="C742" s="13">
        <v>-7.6E-3</v>
      </c>
      <c r="D742" s="7">
        <v>220</v>
      </c>
      <c r="E742" s="7">
        <v>5.4999999999999997E-3</v>
      </c>
      <c r="F742" s="7">
        <v>262</v>
      </c>
      <c r="G742" s="8">
        <f t="shared" si="46"/>
        <v>3.4213253696326697E-4</v>
      </c>
      <c r="H742" s="9">
        <f t="shared" si="47"/>
        <v>1.0263976108900061E-5</v>
      </c>
      <c r="I742" s="10">
        <f>SUM($H$3:H742)</f>
        <v>0.82614219478008744</v>
      </c>
      <c r="J742" s="23">
        <v>5.4999999999999997E-3</v>
      </c>
      <c r="Q742" s="7">
        <f t="shared" si="45"/>
        <v>3.9206612899234772E-5</v>
      </c>
      <c r="R742" s="7">
        <f t="shared" si="44"/>
        <v>3.5877749539872527E-5</v>
      </c>
    </row>
    <row r="743" spans="1:18" x14ac:dyDescent="0.25">
      <c r="A743" s="22">
        <v>45657</v>
      </c>
      <c r="B743" s="12">
        <v>264.47000000000003</v>
      </c>
      <c r="C743" s="13">
        <v>4.0000000000000002E-4</v>
      </c>
      <c r="D743" s="7">
        <v>219</v>
      </c>
      <c r="E743" s="7">
        <v>5.4999999999999997E-3</v>
      </c>
      <c r="F743" s="7">
        <v>121</v>
      </c>
      <c r="G743" s="8">
        <f t="shared" si="46"/>
        <v>2.508302125776048E-2</v>
      </c>
      <c r="H743" s="9">
        <f t="shared" si="47"/>
        <v>7.5249063773296483E-4</v>
      </c>
      <c r="I743" s="10">
        <f>SUM($H$3:H743)</f>
        <v>0.82689468541782041</v>
      </c>
      <c r="J743" s="23">
        <v>5.4999999999999997E-3</v>
      </c>
      <c r="Q743" s="7">
        <f t="shared" si="45"/>
        <v>4.0419188555912129E-5</v>
      </c>
      <c r="R743" s="7">
        <f t="shared" si="44"/>
        <v>3.6987370659662397E-5</v>
      </c>
    </row>
    <row r="744" spans="1:18" x14ac:dyDescent="0.25">
      <c r="A744" s="22">
        <v>45658</v>
      </c>
      <c r="B744" s="12">
        <v>265.58999999999997</v>
      </c>
      <c r="C744" s="13">
        <v>4.1999999999999997E-3</v>
      </c>
      <c r="D744" s="7">
        <v>218</v>
      </c>
      <c r="E744" s="7">
        <v>5.4999999999999997E-3</v>
      </c>
      <c r="F744" s="7">
        <v>97</v>
      </c>
      <c r="G744" s="8">
        <f t="shared" si="46"/>
        <v>5.2102459397183561E-2</v>
      </c>
      <c r="H744" s="9">
        <f t="shared" si="47"/>
        <v>1.5630737819158193E-3</v>
      </c>
      <c r="I744" s="10">
        <f>SUM($H$3:H744)</f>
        <v>0.82845775919973619</v>
      </c>
      <c r="J744" s="23">
        <v>5.4999999999999997E-3</v>
      </c>
      <c r="Q744" s="7">
        <f t="shared" si="45"/>
        <v>4.1669266552486738E-5</v>
      </c>
      <c r="R744" s="7">
        <f t="shared" si="44"/>
        <v>3.8131309958414849E-5</v>
      </c>
    </row>
    <row r="745" spans="1:18" x14ac:dyDescent="0.25">
      <c r="A745" s="22">
        <v>45659</v>
      </c>
      <c r="B745" s="12">
        <v>269.89</v>
      </c>
      <c r="C745" s="13">
        <v>1.6199999999999999E-2</v>
      </c>
      <c r="D745" s="7">
        <v>217</v>
      </c>
      <c r="E745" s="7">
        <v>5.5999999999999999E-3</v>
      </c>
      <c r="F745" s="7">
        <v>823</v>
      </c>
      <c r="G745" s="8">
        <f t="shared" si="46"/>
        <v>1.2975894358147204E-11</v>
      </c>
      <c r="H745" s="9">
        <f t="shared" si="47"/>
        <v>3.8927683074449391E-13</v>
      </c>
      <c r="I745" s="10">
        <f>SUM($H$3:H745)</f>
        <v>0.82845775920012543</v>
      </c>
      <c r="J745" s="23">
        <v>5.5999999999999999E-3</v>
      </c>
      <c r="Q745" s="7">
        <f t="shared" si="45"/>
        <v>4.2958006755140959E-5</v>
      </c>
      <c r="R745" s="7">
        <f t="shared" si="44"/>
        <v>3.9310628823108081E-5</v>
      </c>
    </row>
    <row r="746" spans="1:18" x14ac:dyDescent="0.25">
      <c r="A746" s="22">
        <v>45660</v>
      </c>
      <c r="B746" s="12">
        <v>268.41000000000003</v>
      </c>
      <c r="C746" s="13">
        <v>-5.4999999999999997E-3</v>
      </c>
      <c r="D746" s="7">
        <v>216</v>
      </c>
      <c r="E746" s="7">
        <v>5.5999999999999999E-3</v>
      </c>
      <c r="F746" s="7">
        <v>681</v>
      </c>
      <c r="G746" s="8">
        <f t="shared" si="46"/>
        <v>9.8073355664047348E-10</v>
      </c>
      <c r="H746" s="9">
        <f t="shared" si="47"/>
        <v>2.9422006699220084E-11</v>
      </c>
      <c r="I746" s="10">
        <f>SUM($H$3:H746)</f>
        <v>0.82845775922954745</v>
      </c>
      <c r="J746" s="23">
        <v>5.5999999999999999E-3</v>
      </c>
      <c r="Q746" s="7">
        <f t="shared" si="45"/>
        <v>4.4286604902207177E-5</v>
      </c>
      <c r="R746" s="7">
        <f t="shared" si="44"/>
        <v>4.0526421467121739E-5</v>
      </c>
    </row>
    <row r="747" spans="1:18" x14ac:dyDescent="0.25">
      <c r="A747" s="22">
        <v>45663</v>
      </c>
      <c r="B747" s="12">
        <v>264.48</v>
      </c>
      <c r="C747" s="13">
        <v>-1.46E-2</v>
      </c>
      <c r="D747" s="7">
        <v>215</v>
      </c>
      <c r="E747" s="7">
        <v>5.5999999999999999E-3</v>
      </c>
      <c r="F747" s="7">
        <v>633</v>
      </c>
      <c r="G747" s="8">
        <f t="shared" si="46"/>
        <v>4.2316310050273731E-9</v>
      </c>
      <c r="H747" s="9">
        <f t="shared" si="47"/>
        <v>1.2694893015084657E-10</v>
      </c>
      <c r="I747" s="10">
        <f>SUM($H$3:H747)</f>
        <v>0.82845775935649635</v>
      </c>
      <c r="J747" s="23">
        <v>5.5999999999999999E-3</v>
      </c>
      <c r="Q747" s="7">
        <f t="shared" si="45"/>
        <v>4.5656293713615649E-5</v>
      </c>
      <c r="R747" s="7">
        <f t="shared" si="44"/>
        <v>4.1779815945486328E-5</v>
      </c>
    </row>
    <row r="748" spans="1:18" x14ac:dyDescent="0.25">
      <c r="A748" s="22">
        <v>45664</v>
      </c>
      <c r="B748" s="12">
        <v>265.16000000000003</v>
      </c>
      <c r="C748" s="13">
        <v>2.5999999999999999E-3</v>
      </c>
      <c r="D748" s="7">
        <v>214</v>
      </c>
      <c r="E748" s="7">
        <v>5.5999999999999999E-3</v>
      </c>
      <c r="F748" s="7">
        <v>539</v>
      </c>
      <c r="G748" s="8">
        <f t="shared" si="46"/>
        <v>7.4125010775597226E-8</v>
      </c>
      <c r="H748" s="9">
        <f t="shared" si="47"/>
        <v>2.2237503232683611E-9</v>
      </c>
      <c r="I748" s="10">
        <f>SUM($H$3:H748)</f>
        <v>0.82845776158024664</v>
      </c>
      <c r="J748" s="23">
        <v>5.5999999999999999E-3</v>
      </c>
      <c r="Q748" s="7">
        <f t="shared" si="45"/>
        <v>4.7068344034655315E-5</v>
      </c>
      <c r="R748" s="7">
        <f t="shared" si="44"/>
        <v>4.3071975201532301E-5</v>
      </c>
    </row>
    <row r="749" spans="1:18" x14ac:dyDescent="0.25">
      <c r="A749" s="22">
        <v>45665</v>
      </c>
      <c r="B749" s="12">
        <v>264.92</v>
      </c>
      <c r="C749" s="13">
        <v>-8.9999999999999998E-4</v>
      </c>
      <c r="D749" s="7">
        <v>213</v>
      </c>
      <c r="E749" s="7">
        <v>5.5999999999999999E-3</v>
      </c>
      <c r="F749" s="7">
        <v>239</v>
      </c>
      <c r="G749" s="8">
        <f t="shared" si="46"/>
        <v>6.8935747569749998E-4</v>
      </c>
      <c r="H749" s="9">
        <f t="shared" si="47"/>
        <v>2.0680724270929132E-5</v>
      </c>
      <c r="I749" s="10">
        <f>SUM($H$3:H749)</f>
        <v>0.82847844230451761</v>
      </c>
      <c r="J749" s="23">
        <v>5.5999999999999999E-3</v>
      </c>
      <c r="Q749" s="7">
        <f t="shared" si="45"/>
        <v>4.8524066015108566E-5</v>
      </c>
      <c r="R749" s="7">
        <f t="shared" si="44"/>
        <v>4.4404098145909582E-5</v>
      </c>
    </row>
    <row r="750" spans="1:18" x14ac:dyDescent="0.25">
      <c r="A750" s="22">
        <v>45666</v>
      </c>
      <c r="B750" s="12">
        <v>263.14999999999998</v>
      </c>
      <c r="C750" s="13">
        <v>-6.7000000000000002E-3</v>
      </c>
      <c r="D750" s="7">
        <v>212</v>
      </c>
      <c r="E750" s="7">
        <v>5.7000000000000002E-3</v>
      </c>
      <c r="F750" s="7">
        <v>933</v>
      </c>
      <c r="G750" s="8">
        <f t="shared" si="46"/>
        <v>4.5501746902596608E-13</v>
      </c>
      <c r="H750" s="9">
        <f t="shared" si="47"/>
        <v>1.3650524070781712E-14</v>
      </c>
      <c r="I750" s="10">
        <f>SUM($H$3:H750)</f>
        <v>0.82847844230453127</v>
      </c>
      <c r="J750" s="23">
        <v>5.7000000000000002E-3</v>
      </c>
      <c r="Q750" s="7">
        <f t="shared" si="45"/>
        <v>5.0024810324854194E-5</v>
      </c>
      <c r="R750" s="7">
        <f t="shared" si="44"/>
        <v>4.5777420768978957E-5</v>
      </c>
    </row>
    <row r="751" spans="1:18" x14ac:dyDescent="0.25">
      <c r="A751" s="22">
        <v>45667</v>
      </c>
      <c r="B751" s="12">
        <v>262.22000000000003</v>
      </c>
      <c r="C751" s="13">
        <v>-3.5000000000000001E-3</v>
      </c>
      <c r="D751" s="7">
        <v>211</v>
      </c>
      <c r="E751" s="7">
        <v>5.7000000000000002E-3</v>
      </c>
      <c r="F751" s="7">
        <v>726</v>
      </c>
      <c r="G751" s="8">
        <f t="shared" si="46"/>
        <v>2.4904571700215414E-10</v>
      </c>
      <c r="H751" s="9">
        <f t="shared" si="47"/>
        <v>7.4713715100661171E-12</v>
      </c>
      <c r="I751" s="10">
        <f>SUM($H$3:H751)</f>
        <v>0.82847844231200263</v>
      </c>
      <c r="J751" s="23">
        <v>5.7000000000000002E-3</v>
      </c>
      <c r="Q751" s="7">
        <f t="shared" si="45"/>
        <v>5.1571969407066181E-5</v>
      </c>
      <c r="R751" s="7">
        <f t="shared" si="44"/>
        <v>4.7193217287607171E-5</v>
      </c>
    </row>
    <row r="752" spans="1:18" x14ac:dyDescent="0.25">
      <c r="A752" s="22">
        <v>45670</v>
      </c>
      <c r="B752" s="12">
        <v>258.39999999999998</v>
      </c>
      <c r="C752" s="13">
        <v>-1.46E-2</v>
      </c>
      <c r="D752" s="7">
        <v>210</v>
      </c>
      <c r="E752" s="7">
        <v>5.7000000000000002E-3</v>
      </c>
      <c r="F752" s="7">
        <v>638</v>
      </c>
      <c r="G752" s="8">
        <f t="shared" si="46"/>
        <v>3.6338455282240932E-9</v>
      </c>
      <c r="H752" s="9">
        <f t="shared" si="47"/>
        <v>1.0901536584674459E-10</v>
      </c>
      <c r="I752" s="10">
        <f>SUM($H$3:H752)</f>
        <v>0.82847844242101798</v>
      </c>
      <c r="J752" s="23">
        <v>5.7000000000000002E-3</v>
      </c>
      <c r="Q752" s="7">
        <f t="shared" si="45"/>
        <v>5.3166978770171322E-5</v>
      </c>
      <c r="R752" s="7">
        <f t="shared" si="44"/>
        <v>4.8652801327430078E-5</v>
      </c>
    </row>
    <row r="753" spans="1:18" x14ac:dyDescent="0.25">
      <c r="A753" s="22">
        <v>45671</v>
      </c>
      <c r="B753" s="12">
        <v>259.26</v>
      </c>
      <c r="C753" s="13">
        <v>3.3E-3</v>
      </c>
      <c r="D753" s="7">
        <v>209</v>
      </c>
      <c r="E753" s="7">
        <v>5.7000000000000002E-3</v>
      </c>
      <c r="F753" s="7">
        <v>570</v>
      </c>
      <c r="G753" s="8">
        <f t="shared" si="46"/>
        <v>2.8832913678546652E-8</v>
      </c>
      <c r="H753" s="9">
        <f t="shared" si="47"/>
        <v>8.6498741035657241E-10</v>
      </c>
      <c r="I753" s="10">
        <f>SUM($H$3:H753)</f>
        <v>0.82847844328600539</v>
      </c>
      <c r="J753" s="23">
        <v>5.7000000000000002E-3</v>
      </c>
      <c r="Q753" s="7">
        <f t="shared" si="45"/>
        <v>5.4811318319764252E-5</v>
      </c>
      <c r="R753" s="7">
        <f t="shared" si="44"/>
        <v>5.0157527141680493E-5</v>
      </c>
    </row>
    <row r="754" spans="1:18" x14ac:dyDescent="0.25">
      <c r="A754" s="22">
        <v>45672</v>
      </c>
      <c r="B754" s="12">
        <v>259.58</v>
      </c>
      <c r="C754" s="13">
        <v>1.1999999999999999E-3</v>
      </c>
      <c r="D754" s="7">
        <v>208</v>
      </c>
      <c r="E754" s="7">
        <v>5.7000000000000002E-3</v>
      </c>
      <c r="F754" s="7">
        <v>224</v>
      </c>
      <c r="G754" s="8">
        <f t="shared" si="46"/>
        <v>1.0886003651050249E-3</v>
      </c>
      <c r="H754" s="9">
        <f t="shared" si="47"/>
        <v>3.2658010953157277E-5</v>
      </c>
      <c r="I754" s="10">
        <f>SUM($H$3:H754)</f>
        <v>0.8285111012969586</v>
      </c>
      <c r="J754" s="23">
        <v>5.7000000000000002E-3</v>
      </c>
      <c r="Q754" s="7">
        <f t="shared" si="45"/>
        <v>5.6506513731715721E-5</v>
      </c>
      <c r="R754" s="7">
        <f t="shared" si="44"/>
        <v>5.1708790867711849E-5</v>
      </c>
    </row>
    <row r="755" spans="1:18" x14ac:dyDescent="0.25">
      <c r="A755" s="22">
        <v>45673</v>
      </c>
      <c r="B755" s="12">
        <v>260.72000000000003</v>
      </c>
      <c r="C755" s="13">
        <v>4.4000000000000003E-3</v>
      </c>
      <c r="D755" s="7">
        <v>207</v>
      </c>
      <c r="E755" s="7">
        <v>5.7000000000000002E-3</v>
      </c>
      <c r="F755" s="7">
        <v>75</v>
      </c>
      <c r="G755" s="8">
        <f t="shared" si="46"/>
        <v>0.10183101437903957</v>
      </c>
      <c r="H755" s="9">
        <f t="shared" si="47"/>
        <v>3.0549304313717981E-3</v>
      </c>
      <c r="I755" s="10">
        <f>SUM($H$3:H755)</f>
        <v>0.83156603172833043</v>
      </c>
      <c r="J755" s="23">
        <v>5.7000000000000002E-3</v>
      </c>
      <c r="Q755" s="7">
        <f t="shared" si="45"/>
        <v>5.8254137867748164E-5</v>
      </c>
      <c r="R755" s="7">
        <f t="shared" si="44"/>
        <v>5.3308031822383343E-5</v>
      </c>
    </row>
    <row r="756" spans="1:18" x14ac:dyDescent="0.25">
      <c r="A756" s="22">
        <v>45674</v>
      </c>
      <c r="B756" s="12">
        <v>259.77</v>
      </c>
      <c r="C756" s="13">
        <v>-3.5999999999999999E-3</v>
      </c>
      <c r="D756" s="7">
        <v>206</v>
      </c>
      <c r="E756" s="7">
        <v>5.7999999999999996E-3</v>
      </c>
      <c r="F756" s="7">
        <v>836</v>
      </c>
      <c r="G756" s="8">
        <f t="shared" si="46"/>
        <v>8.7331284221597129E-12</v>
      </c>
      <c r="H756" s="9">
        <f t="shared" si="47"/>
        <v>2.6199385266484376E-13</v>
      </c>
      <c r="I756" s="10">
        <f>SUM($H$3:H756)</f>
        <v>0.83156603172859245</v>
      </c>
      <c r="J756" s="23">
        <v>5.7999999999999996E-3</v>
      </c>
      <c r="Q756" s="7">
        <f t="shared" si="45"/>
        <v>6.0055812234791924E-5</v>
      </c>
      <c r="R756" s="7">
        <f t="shared" si="44"/>
        <v>5.4956733837508603E-5</v>
      </c>
    </row>
    <row r="757" spans="1:18" x14ac:dyDescent="0.25">
      <c r="A757" s="22">
        <v>45677</v>
      </c>
      <c r="B757" s="12">
        <v>261.29000000000002</v>
      </c>
      <c r="C757" s="13">
        <v>5.8999999999999999E-3</v>
      </c>
      <c r="D757" s="7">
        <v>205</v>
      </c>
      <c r="E757" s="7">
        <v>5.7999999999999996E-3</v>
      </c>
      <c r="F757" s="7">
        <v>668</v>
      </c>
      <c r="G757" s="8">
        <f t="shared" si="46"/>
        <v>1.4571977428118061E-9</v>
      </c>
      <c r="H757" s="9">
        <f t="shared" si="47"/>
        <v>4.3715932284362919E-11</v>
      </c>
      <c r="I757" s="10">
        <f>SUM($H$3:H757)</f>
        <v>0.83156603177230837</v>
      </c>
      <c r="J757" s="23">
        <v>5.7999999999999996E-3</v>
      </c>
      <c r="Q757" s="7">
        <f t="shared" si="45"/>
        <v>6.1913208489476214E-5</v>
      </c>
      <c r="R757" s="7">
        <f t="shared" si="44"/>
        <v>5.6656426636606815E-5</v>
      </c>
    </row>
    <row r="758" spans="1:18" x14ac:dyDescent="0.25">
      <c r="A758" s="22">
        <v>45678</v>
      </c>
      <c r="B758" s="12">
        <v>257.91000000000003</v>
      </c>
      <c r="C758" s="13">
        <v>-1.29E-2</v>
      </c>
      <c r="D758" s="7">
        <v>204</v>
      </c>
      <c r="E758" s="7">
        <v>5.7999999999999996E-3</v>
      </c>
      <c r="F758" s="7">
        <v>646</v>
      </c>
      <c r="G758" s="8">
        <f t="shared" si="46"/>
        <v>2.8480023019680004E-9</v>
      </c>
      <c r="H758" s="9">
        <f t="shared" si="47"/>
        <v>8.5440069059057089E-11</v>
      </c>
      <c r="I758" s="10">
        <f>SUM($H$3:H758)</f>
        <v>0.83156603185774847</v>
      </c>
      <c r="J758" s="23">
        <v>5.7999999999999996E-3</v>
      </c>
      <c r="Q758" s="7">
        <f t="shared" si="45"/>
        <v>6.3828049989150731E-5</v>
      </c>
      <c r="R758" s="7">
        <f t="shared" si="44"/>
        <v>5.8408687254233822E-5</v>
      </c>
    </row>
    <row r="759" spans="1:18" x14ac:dyDescent="0.25">
      <c r="A759" s="22">
        <v>45679</v>
      </c>
      <c r="B759" s="12">
        <v>258.85000000000002</v>
      </c>
      <c r="C759" s="13">
        <v>3.5999999999999999E-3</v>
      </c>
      <c r="D759" s="7">
        <v>203</v>
      </c>
      <c r="E759" s="7">
        <v>5.7999999999999996E-3</v>
      </c>
      <c r="F759" s="7">
        <v>472</v>
      </c>
      <c r="G759" s="8">
        <f t="shared" si="46"/>
        <v>5.7050384225161944E-7</v>
      </c>
      <c r="H759" s="9">
        <f t="shared" si="47"/>
        <v>1.7115115267552004E-8</v>
      </c>
      <c r="I759" s="10">
        <f>SUM($H$3:H759)</f>
        <v>0.83156604897286368</v>
      </c>
      <c r="J759" s="23">
        <v>5.7999999999999996E-3</v>
      </c>
      <c r="Q759" s="7">
        <f t="shared" si="45"/>
        <v>6.5802113390877042E-5</v>
      </c>
      <c r="R759" s="7">
        <f t="shared" si="44"/>
        <v>6.0215141499210127E-5</v>
      </c>
    </row>
    <row r="760" spans="1:18" x14ac:dyDescent="0.25">
      <c r="A760" s="22">
        <v>45680</v>
      </c>
      <c r="B760" s="12">
        <v>259.51</v>
      </c>
      <c r="C760" s="13">
        <v>2.5000000000000001E-3</v>
      </c>
      <c r="D760" s="7">
        <v>202</v>
      </c>
      <c r="E760" s="7">
        <v>5.7999999999999996E-3</v>
      </c>
      <c r="F760" s="7">
        <v>113</v>
      </c>
      <c r="G760" s="8">
        <f t="shared" si="46"/>
        <v>3.2004126039111236E-2</v>
      </c>
      <c r="H760" s="9">
        <f t="shared" si="47"/>
        <v>9.6012378117352898E-4</v>
      </c>
      <c r="I760" s="10">
        <f>SUM($H$3:H760)</f>
        <v>0.83252617275403717</v>
      </c>
      <c r="J760" s="23">
        <v>5.7999999999999996E-3</v>
      </c>
      <c r="Q760" s="7">
        <f t="shared" si="45"/>
        <v>6.7837230299873255E-5</v>
      </c>
      <c r="R760" s="7">
        <f t="shared" si="44"/>
        <v>6.2077465463103237E-5</v>
      </c>
    </row>
    <row r="761" spans="1:18" x14ac:dyDescent="0.25">
      <c r="A761" s="22">
        <v>45681</v>
      </c>
      <c r="B761" s="12">
        <v>258.19</v>
      </c>
      <c r="C761" s="13">
        <v>-5.1000000000000004E-3</v>
      </c>
      <c r="D761" s="7">
        <v>201</v>
      </c>
      <c r="E761" s="7">
        <v>5.7999999999999996E-3</v>
      </c>
      <c r="F761" s="7">
        <v>19</v>
      </c>
      <c r="G761" s="8">
        <f t="shared" si="46"/>
        <v>0.56061272466674961</v>
      </c>
      <c r="H761" s="9">
        <f t="shared" si="47"/>
        <v>1.6818381740005849E-2</v>
      </c>
      <c r="I761" s="10">
        <f>SUM($H$3:H761)</f>
        <v>0.849344554494043</v>
      </c>
      <c r="J761" s="23">
        <v>5.7999999999999996E-3</v>
      </c>
      <c r="Q761" s="7">
        <f t="shared" si="45"/>
        <v>6.9935288968941481E-5</v>
      </c>
      <c r="R761" s="7">
        <f t="shared" si="44"/>
        <v>6.3997387075364143E-5</v>
      </c>
    </row>
    <row r="762" spans="1:18" x14ac:dyDescent="0.25">
      <c r="A762" s="22">
        <v>45684</v>
      </c>
      <c r="B762" s="12">
        <v>255.69</v>
      </c>
      <c r="C762" s="13">
        <v>-9.7000000000000003E-3</v>
      </c>
      <c r="D762" s="7">
        <v>200</v>
      </c>
      <c r="E762" s="7">
        <v>5.8999999999999999E-3</v>
      </c>
      <c r="F762" s="7">
        <v>376</v>
      </c>
      <c r="G762" s="8">
        <f t="shared" si="46"/>
        <v>1.0621163250001681E-5</v>
      </c>
      <c r="H762" s="9">
        <f t="shared" si="47"/>
        <v>3.186348975001141E-7</v>
      </c>
      <c r="I762" s="10">
        <f>SUM($H$3:H762)</f>
        <v>0.84934487312894047</v>
      </c>
      <c r="J762" s="23">
        <v>5.8999999999999999E-3</v>
      </c>
      <c r="Q762" s="7">
        <f t="shared" si="45"/>
        <v>7.2098236050455156E-5</v>
      </c>
      <c r="R762" s="7">
        <f t="shared" si="44"/>
        <v>6.5976687706560989E-5</v>
      </c>
    </row>
    <row r="763" spans="1:18" x14ac:dyDescent="0.25">
      <c r="A763" s="22">
        <v>45685</v>
      </c>
      <c r="B763" s="12">
        <v>257.33</v>
      </c>
      <c r="C763" s="13">
        <v>6.4000000000000003E-3</v>
      </c>
      <c r="D763" s="7">
        <v>199</v>
      </c>
      <c r="E763" s="7">
        <v>5.8999999999999999E-3</v>
      </c>
      <c r="F763" s="7">
        <v>238</v>
      </c>
      <c r="G763" s="8">
        <f t="shared" si="46"/>
        <v>7.106778099974226E-4</v>
      </c>
      <c r="H763" s="9">
        <f t="shared" si="47"/>
        <v>2.1320334299926939E-5</v>
      </c>
      <c r="I763" s="10">
        <f>SUM($H$3:H763)</f>
        <v>0.84936619346324038</v>
      </c>
      <c r="J763" s="23">
        <v>5.8999999999999999E-3</v>
      </c>
      <c r="Q763" s="7">
        <f t="shared" si="45"/>
        <v>7.4328078402531087E-5</v>
      </c>
      <c r="R763" s="7">
        <f t="shared" si="44"/>
        <v>6.8017203821196895E-5</v>
      </c>
    </row>
    <row r="764" spans="1:18" x14ac:dyDescent="0.25">
      <c r="A764" s="22">
        <v>45686</v>
      </c>
      <c r="B764" s="12">
        <v>259.38</v>
      </c>
      <c r="C764" s="13">
        <v>8.0000000000000002E-3</v>
      </c>
      <c r="D764" s="7">
        <v>198</v>
      </c>
      <c r="E764" s="7">
        <v>5.8999999999999999E-3</v>
      </c>
      <c r="F764" s="7">
        <v>205</v>
      </c>
      <c r="G764" s="8">
        <f t="shared" si="46"/>
        <v>1.9418045955916037E-3</v>
      </c>
      <c r="H764" s="9">
        <f t="shared" si="47"/>
        <v>5.8254137867759752E-5</v>
      </c>
      <c r="I764" s="10">
        <f>SUM($H$3:H764)</f>
        <v>0.84942444760110813</v>
      </c>
      <c r="J764" s="23">
        <v>5.8999999999999999E-3</v>
      </c>
      <c r="Q764" s="7">
        <f t="shared" si="45"/>
        <v>7.6626884951062972E-5</v>
      </c>
      <c r="R764" s="7">
        <f t="shared" si="44"/>
        <v>7.0120828681646279E-5</v>
      </c>
    </row>
    <row r="765" spans="1:18" x14ac:dyDescent="0.25">
      <c r="A765" s="22">
        <v>45687</v>
      </c>
      <c r="B765" s="12">
        <v>260.22000000000003</v>
      </c>
      <c r="C765" s="13">
        <v>3.2000000000000002E-3</v>
      </c>
      <c r="D765" s="7">
        <v>197</v>
      </c>
      <c r="E765" s="7">
        <v>5.8999999999999999E-3</v>
      </c>
      <c r="F765" s="7">
        <v>26</v>
      </c>
      <c r="G765" s="8">
        <f t="shared" si="46"/>
        <v>0.45296546409674071</v>
      </c>
      <c r="H765" s="9">
        <f t="shared" si="47"/>
        <v>1.3588963922904937E-2</v>
      </c>
      <c r="I765" s="10">
        <f>SUM($H$3:H765)</f>
        <v>0.86301341152401312</v>
      </c>
      <c r="J765" s="23">
        <v>5.8999999999999999E-3</v>
      </c>
      <c r="Q765" s="7">
        <f t="shared" si="45"/>
        <v>7.8996788609343274E-5</v>
      </c>
      <c r="R765" s="7">
        <f t="shared" si="44"/>
        <v>7.2289514104789988E-5</v>
      </c>
    </row>
    <row r="766" spans="1:18" x14ac:dyDescent="0.25">
      <c r="A766" s="22">
        <v>45688</v>
      </c>
      <c r="B766" s="12">
        <v>263</v>
      </c>
      <c r="C766" s="13">
        <v>1.0699999999999999E-2</v>
      </c>
      <c r="D766" s="7">
        <v>196</v>
      </c>
      <c r="E766" s="7">
        <v>6.0000000000000001E-3</v>
      </c>
      <c r="F766" s="7">
        <v>700</v>
      </c>
      <c r="G766" s="8">
        <f t="shared" si="46"/>
        <v>5.4981171136032783E-10</v>
      </c>
      <c r="H766" s="9">
        <f t="shared" si="47"/>
        <v>1.6494351340813131E-11</v>
      </c>
      <c r="I766" s="10">
        <f>SUM($H$3:H766)</f>
        <v>0.86301341154050748</v>
      </c>
      <c r="J766" s="23">
        <v>6.0000000000000001E-3</v>
      </c>
      <c r="Q766" s="7">
        <f t="shared" si="45"/>
        <v>8.1439988257054916E-5</v>
      </c>
      <c r="R766" s="7">
        <f t="shared" si="44"/>
        <v>7.4525272272979359E-5</v>
      </c>
    </row>
    <row r="767" spans="1:18" x14ac:dyDescent="0.25">
      <c r="A767" s="22">
        <v>45689</v>
      </c>
      <c r="B767" s="12">
        <v>262.13</v>
      </c>
      <c r="C767" s="13">
        <v>-3.3E-3</v>
      </c>
      <c r="D767" s="7">
        <v>195</v>
      </c>
      <c r="E767" s="7">
        <v>6.0000000000000001E-3</v>
      </c>
      <c r="F767" s="7">
        <v>261</v>
      </c>
      <c r="G767" s="8">
        <f t="shared" si="46"/>
        <v>3.5271395563223399E-4</v>
      </c>
      <c r="H767" s="9">
        <f t="shared" si="47"/>
        <v>1.0581418668969135E-5</v>
      </c>
      <c r="I767" s="10">
        <f>SUM($H$3:H767)</f>
        <v>0.86302399295917642</v>
      </c>
      <c r="J767" s="23">
        <v>6.0000000000000001E-3</v>
      </c>
      <c r="Q767" s="7">
        <f t="shared" si="45"/>
        <v>8.3958750780468988E-5</v>
      </c>
      <c r="R767" s="7">
        <f t="shared" si="44"/>
        <v>7.6830177601009658E-5</v>
      </c>
    </row>
    <row r="768" spans="1:18" x14ac:dyDescent="0.25">
      <c r="A768" s="22">
        <v>45691</v>
      </c>
      <c r="B768" s="12">
        <v>261.47000000000003</v>
      </c>
      <c r="C768" s="13">
        <v>-2.5000000000000001E-3</v>
      </c>
      <c r="D768" s="7">
        <v>194</v>
      </c>
      <c r="E768" s="7">
        <v>6.1000000000000004E-3</v>
      </c>
      <c r="F768" s="7">
        <v>858</v>
      </c>
      <c r="G768" s="8">
        <f t="shared" si="46"/>
        <v>4.4683584053506671E-12</v>
      </c>
      <c r="H768" s="9">
        <f t="shared" si="47"/>
        <v>1.3405075216054681E-13</v>
      </c>
      <c r="I768" s="10">
        <f>SUM($H$3:H768)</f>
        <v>0.86302399295931043</v>
      </c>
      <c r="J768" s="23">
        <v>6.1000000000000004E-3</v>
      </c>
      <c r="Q768" s="7">
        <f t="shared" si="45"/>
        <v>8.6555413175741234E-5</v>
      </c>
      <c r="R768" s="7">
        <f t="shared" si="44"/>
        <v>7.9206368660834702E-5</v>
      </c>
    </row>
    <row r="769" spans="1:18" x14ac:dyDescent="0.25">
      <c r="A769" s="22">
        <v>45692</v>
      </c>
      <c r="B769" s="12">
        <v>265.05</v>
      </c>
      <c r="C769" s="13">
        <v>1.37E-2</v>
      </c>
      <c r="D769" s="7">
        <v>193</v>
      </c>
      <c r="E769" s="7">
        <v>6.1000000000000004E-3</v>
      </c>
      <c r="F769" s="7">
        <v>470</v>
      </c>
      <c r="G769" s="8">
        <f t="shared" si="46"/>
        <v>6.063384443103618E-7</v>
      </c>
      <c r="H769" s="9">
        <f t="shared" si="47"/>
        <v>1.819015332931449E-8</v>
      </c>
      <c r="I769" s="10">
        <f>SUM($H$3:H769)</f>
        <v>0.86302401114946381</v>
      </c>
      <c r="J769" s="23">
        <v>6.1000000000000004E-3</v>
      </c>
      <c r="Q769" s="7">
        <f t="shared" si="45"/>
        <v>8.9232384717258974E-5</v>
      </c>
      <c r="R769" s="7">
        <f t="shared" si="44"/>
        <v>8.1656050165808945E-5</v>
      </c>
    </row>
    <row r="770" spans="1:18" x14ac:dyDescent="0.25">
      <c r="A770" s="22">
        <v>45693</v>
      </c>
      <c r="B770" s="12">
        <v>265.25</v>
      </c>
      <c r="C770" s="13">
        <v>8.0000000000000004E-4</v>
      </c>
      <c r="D770" s="7">
        <v>192</v>
      </c>
      <c r="E770" s="7">
        <v>6.1000000000000004E-3</v>
      </c>
      <c r="F770" s="7">
        <v>378</v>
      </c>
      <c r="G770" s="8">
        <f t="shared" si="46"/>
        <v>9.9934525019265834E-6</v>
      </c>
      <c r="H770" s="9">
        <f t="shared" si="47"/>
        <v>2.998035750578574E-7</v>
      </c>
      <c r="I770" s="10">
        <f>SUM($H$3:H770)</f>
        <v>0.86302431095303889</v>
      </c>
      <c r="J770" s="23">
        <v>6.1000000000000004E-3</v>
      </c>
      <c r="Q770" s="7">
        <f t="shared" si="45"/>
        <v>9.1992149193050488E-5</v>
      </c>
      <c r="R770" s="7">
        <f t="shared" ref="R770:R833" si="48">Q770/$U$2</f>
        <v>8.4181495016297876E-5</v>
      </c>
    </row>
    <row r="771" spans="1:18" x14ac:dyDescent="0.25">
      <c r="A771" s="22">
        <v>45694</v>
      </c>
      <c r="B771" s="12">
        <v>264.37</v>
      </c>
      <c r="C771" s="13">
        <v>-3.3E-3</v>
      </c>
      <c r="D771" s="7">
        <v>191</v>
      </c>
      <c r="E771" s="7">
        <v>6.1999999999999998E-3</v>
      </c>
      <c r="F771" s="7">
        <v>916</v>
      </c>
      <c r="G771" s="8">
        <f t="shared" si="46"/>
        <v>7.6367502514507941E-13</v>
      </c>
      <c r="H771" s="9">
        <f t="shared" si="47"/>
        <v>2.2910250754356962E-14</v>
      </c>
      <c r="I771" s="10">
        <f>SUM($H$3:H771)</f>
        <v>0.86302431095306176</v>
      </c>
      <c r="J771" s="23">
        <v>6.1999999999999998E-3</v>
      </c>
      <c r="Q771" s="7">
        <f t="shared" ref="Q771:Q834" si="49">(1-$N$3) * $N$3^(D772-1)</f>
        <v>9.4837267209330414E-5</v>
      </c>
      <c r="R771" s="7">
        <f t="shared" si="48"/>
        <v>8.6785046408554534E-5</v>
      </c>
    </row>
    <row r="772" spans="1:18" x14ac:dyDescent="0.25">
      <c r="A772" s="22">
        <v>45695</v>
      </c>
      <c r="B772" s="12">
        <v>263.75</v>
      </c>
      <c r="C772" s="13">
        <v>-2.3E-3</v>
      </c>
      <c r="D772" s="7">
        <v>190</v>
      </c>
      <c r="E772" s="7">
        <v>6.1999999999999998E-3</v>
      </c>
      <c r="F772" s="7">
        <v>735</v>
      </c>
      <c r="G772" s="8">
        <f t="shared" ref="G772:G835" si="50">$N$3^F772</f>
        <v>1.8933228908993286E-10</v>
      </c>
      <c r="H772" s="9">
        <f t="shared" si="47"/>
        <v>5.6799686726991209E-12</v>
      </c>
      <c r="I772" s="10">
        <f>SUM($H$3:H772)</f>
        <v>0.86302431095874177</v>
      </c>
      <c r="J772" s="23">
        <v>6.1999999999999998E-3</v>
      </c>
      <c r="Q772" s="7">
        <f t="shared" si="49"/>
        <v>9.7770378566320009E-5</v>
      </c>
      <c r="R772" s="7">
        <f t="shared" si="48"/>
        <v>8.9469120008819092E-5</v>
      </c>
    </row>
    <row r="773" spans="1:18" x14ac:dyDescent="0.25">
      <c r="A773" s="22">
        <v>45698</v>
      </c>
      <c r="B773" s="12">
        <v>261.89999999999998</v>
      </c>
      <c r="C773" s="13">
        <v>-7.0000000000000001E-3</v>
      </c>
      <c r="D773" s="7">
        <v>189</v>
      </c>
      <c r="E773" s="7">
        <v>6.1999999999999998E-3</v>
      </c>
      <c r="F773" s="7">
        <v>546</v>
      </c>
      <c r="G773" s="8">
        <f t="shared" si="50"/>
        <v>5.989173707589896E-8</v>
      </c>
      <c r="H773" s="9">
        <f t="shared" ref="H773:H836" si="51">G773/$N$4</f>
        <v>1.796752112277328E-9</v>
      </c>
      <c r="I773" s="10">
        <f>SUM($H$3:H773)</f>
        <v>0.86302431275549385</v>
      </c>
      <c r="J773" s="23">
        <v>6.1999999999999998E-3</v>
      </c>
      <c r="Q773" s="7">
        <f t="shared" si="49"/>
        <v>1.007942047075464E-4</v>
      </c>
      <c r="R773" s="7">
        <f t="shared" si="48"/>
        <v>9.223620619465887E-5</v>
      </c>
    </row>
    <row r="774" spans="1:18" x14ac:dyDescent="0.25">
      <c r="A774" s="22">
        <v>45699</v>
      </c>
      <c r="B774" s="12">
        <v>258.55</v>
      </c>
      <c r="C774" s="13">
        <v>-1.2800000000000001E-2</v>
      </c>
      <c r="D774" s="7">
        <v>188</v>
      </c>
      <c r="E774" s="7">
        <v>6.3E-3</v>
      </c>
      <c r="F774" s="7">
        <v>827</v>
      </c>
      <c r="G774" s="8">
        <f t="shared" si="50"/>
        <v>1.1487465978587283E-11</v>
      </c>
      <c r="H774" s="9">
        <f t="shared" si="51"/>
        <v>3.4462397935768735E-13</v>
      </c>
      <c r="I774" s="10">
        <f>SUM($H$3:H774)</f>
        <v>0.86302431275583846</v>
      </c>
      <c r="J774" s="23">
        <v>6.3E-3</v>
      </c>
      <c r="Q774" s="7">
        <f t="shared" si="49"/>
        <v>1.0391155124489321E-4</v>
      </c>
      <c r="R774" s="7">
        <f t="shared" si="48"/>
        <v>9.5088872365627715E-5</v>
      </c>
    </row>
    <row r="775" spans="1:18" x14ac:dyDescent="0.25">
      <c r="A775" s="22">
        <v>45700</v>
      </c>
      <c r="B775" s="12">
        <v>258.27</v>
      </c>
      <c r="C775" s="13">
        <v>-1.1000000000000001E-3</v>
      </c>
      <c r="D775" s="7">
        <v>187</v>
      </c>
      <c r="E775" s="7">
        <v>6.3E-3</v>
      </c>
      <c r="F775" s="7">
        <v>593</v>
      </c>
      <c r="G775" s="8">
        <f t="shared" si="50"/>
        <v>1.4309960002831405E-8</v>
      </c>
      <c r="H775" s="9">
        <f t="shared" si="51"/>
        <v>4.2929880008502795E-10</v>
      </c>
      <c r="I775" s="10">
        <f>SUM($H$3:H775)</f>
        <v>0.86302431318513728</v>
      </c>
      <c r="J775" s="23">
        <v>6.3E-3</v>
      </c>
      <c r="Q775" s="7">
        <f t="shared" si="49"/>
        <v>1.0712531056174557E-4</v>
      </c>
      <c r="R775" s="7">
        <f t="shared" si="48"/>
        <v>9.8029765325389372E-5</v>
      </c>
    </row>
    <row r="776" spans="1:18" x14ac:dyDescent="0.25">
      <c r="A776" s="22">
        <v>45701</v>
      </c>
      <c r="B776" s="12">
        <v>258.17</v>
      </c>
      <c r="C776" s="13">
        <v>-4.0000000000000002E-4</v>
      </c>
      <c r="D776" s="7">
        <v>186</v>
      </c>
      <c r="E776" s="7">
        <v>6.3E-3</v>
      </c>
      <c r="F776" s="7">
        <v>42</v>
      </c>
      <c r="G776" s="8">
        <f t="shared" si="50"/>
        <v>0.27823569121384389</v>
      </c>
      <c r="H776" s="9">
        <f t="shared" si="51"/>
        <v>8.3470707364169845E-3</v>
      </c>
      <c r="I776" s="10">
        <f>SUM($H$3:H776)</f>
        <v>0.87137138392155422</v>
      </c>
      <c r="J776" s="23">
        <v>6.3E-3</v>
      </c>
      <c r="Q776" s="7">
        <f t="shared" si="49"/>
        <v>1.1043846449664493E-4</v>
      </c>
      <c r="R776" s="7">
        <f t="shared" si="48"/>
        <v>1.0106161373751483E-4</v>
      </c>
    </row>
    <row r="777" spans="1:18" x14ac:dyDescent="0.25">
      <c r="A777" s="22">
        <v>45702</v>
      </c>
      <c r="B777" s="12">
        <v>256.95</v>
      </c>
      <c r="C777" s="13">
        <v>-4.7000000000000002E-3</v>
      </c>
      <c r="D777" s="7">
        <v>185</v>
      </c>
      <c r="E777" s="7">
        <v>6.4000000000000003E-3</v>
      </c>
      <c r="F777" s="7">
        <v>807</v>
      </c>
      <c r="G777" s="8">
        <f t="shared" si="50"/>
        <v>2.1124651493726052E-11</v>
      </c>
      <c r="H777" s="9">
        <f t="shared" si="51"/>
        <v>6.3373954481190828E-13</v>
      </c>
      <c r="I777" s="10">
        <f>SUM($H$3:H777)</f>
        <v>0.87137138392218794</v>
      </c>
      <c r="J777" s="23">
        <v>6.4000000000000003E-3</v>
      </c>
      <c r="Q777" s="7">
        <f t="shared" si="49"/>
        <v>1.1385408710994323E-4</v>
      </c>
      <c r="R777" s="7">
        <f t="shared" si="48"/>
        <v>1.041872306572318E-4</v>
      </c>
    </row>
    <row r="778" spans="1:18" x14ac:dyDescent="0.25">
      <c r="A778" s="22">
        <v>45705</v>
      </c>
      <c r="B778" s="12">
        <v>257.11</v>
      </c>
      <c r="C778" s="13">
        <v>5.9999999999999995E-4</v>
      </c>
      <c r="D778" s="7">
        <v>184</v>
      </c>
      <c r="E778" s="7">
        <v>6.4000000000000003E-3</v>
      </c>
      <c r="F778" s="7">
        <v>660</v>
      </c>
      <c r="G778" s="8">
        <f t="shared" si="50"/>
        <v>1.8592792210160303E-9</v>
      </c>
      <c r="H778" s="9">
        <f t="shared" si="51"/>
        <v>5.5778376630492062E-11</v>
      </c>
      <c r="I778" s="10">
        <f>SUM($H$3:H778)</f>
        <v>0.87137138397796632</v>
      </c>
      <c r="J778" s="23">
        <v>6.4000000000000003E-3</v>
      </c>
      <c r="Q778" s="7">
        <f t="shared" si="49"/>
        <v>1.1737534753602395E-4</v>
      </c>
      <c r="R778" s="7">
        <f t="shared" si="48"/>
        <v>1.0740951614147608E-4</v>
      </c>
    </row>
    <row r="779" spans="1:18" x14ac:dyDescent="0.25">
      <c r="A779" s="22">
        <v>45706</v>
      </c>
      <c r="B779" s="12">
        <v>256.83999999999997</v>
      </c>
      <c r="C779" s="13">
        <v>-1.1000000000000001E-3</v>
      </c>
      <c r="D779" s="7">
        <v>183</v>
      </c>
      <c r="E779" s="7">
        <v>6.4000000000000003E-3</v>
      </c>
      <c r="F779" s="7">
        <v>614</v>
      </c>
      <c r="G779" s="8">
        <f t="shared" si="50"/>
        <v>7.5482250381363049E-9</v>
      </c>
      <c r="H779" s="9">
        <f t="shared" si="51"/>
        <v>2.2644675114413441E-10</v>
      </c>
      <c r="I779" s="10">
        <f>SUM($H$3:H779)</f>
        <v>0.87137138420441307</v>
      </c>
      <c r="J779" s="23">
        <v>6.4000000000000003E-3</v>
      </c>
      <c r="Q779" s="7">
        <f t="shared" si="49"/>
        <v>1.2100551292373603E-4</v>
      </c>
      <c r="R779" s="7">
        <f t="shared" si="48"/>
        <v>1.1073145993966606E-4</v>
      </c>
    </row>
    <row r="780" spans="1:18" x14ac:dyDescent="0.25">
      <c r="A780" s="22">
        <v>45707</v>
      </c>
      <c r="B780" s="12">
        <v>256.89</v>
      </c>
      <c r="C780" s="13">
        <v>2.0000000000000001E-4</v>
      </c>
      <c r="D780" s="7">
        <v>182</v>
      </c>
      <c r="E780" s="7">
        <v>6.4000000000000003E-3</v>
      </c>
      <c r="F780" s="7">
        <v>607</v>
      </c>
      <c r="G780" s="8">
        <f t="shared" si="50"/>
        <v>9.3420610188586375E-9</v>
      </c>
      <c r="H780" s="9">
        <f t="shared" si="51"/>
        <v>2.8026183056581512E-10</v>
      </c>
      <c r="I780" s="10">
        <f>SUM($H$3:H780)</f>
        <v>0.87137138448467488</v>
      </c>
      <c r="J780" s="23">
        <v>6.4000000000000003E-3</v>
      </c>
      <c r="Q780" s="7">
        <f t="shared" si="49"/>
        <v>1.2474795146776911E-4</v>
      </c>
      <c r="R780" s="7">
        <f t="shared" si="48"/>
        <v>1.1415614426769697E-4</v>
      </c>
    </row>
    <row r="781" spans="1:18" x14ac:dyDescent="0.25">
      <c r="A781" s="22">
        <v>45708</v>
      </c>
      <c r="B781" s="12">
        <v>256.85000000000002</v>
      </c>
      <c r="C781" s="13">
        <v>-2.0000000000000001E-4</v>
      </c>
      <c r="D781" s="7">
        <v>181</v>
      </c>
      <c r="E781" s="7">
        <v>6.4000000000000003E-3</v>
      </c>
      <c r="F781" s="7">
        <v>258</v>
      </c>
      <c r="G781" s="8">
        <f t="shared" si="50"/>
        <v>3.8646257272016813E-4</v>
      </c>
      <c r="H781" s="9">
        <f t="shared" si="51"/>
        <v>1.1593877181607362E-5</v>
      </c>
      <c r="I781" s="10">
        <f>SUM($H$3:H781)</f>
        <v>0.87138297836185652</v>
      </c>
      <c r="J781" s="23">
        <v>6.4000000000000003E-3</v>
      </c>
      <c r="Q781" s="7">
        <f t="shared" si="49"/>
        <v>1.286061355337826E-4</v>
      </c>
      <c r="R781" s="7">
        <f t="shared" si="48"/>
        <v>1.1768674666772885E-4</v>
      </c>
    </row>
    <row r="782" spans="1:18" x14ac:dyDescent="0.25">
      <c r="A782" s="22">
        <v>45709</v>
      </c>
      <c r="B782" s="12">
        <v>255.53</v>
      </c>
      <c r="C782" s="13">
        <v>-5.1000000000000004E-3</v>
      </c>
      <c r="D782" s="7">
        <v>180</v>
      </c>
      <c r="E782" s="7">
        <v>6.4000000000000003E-3</v>
      </c>
      <c r="F782" s="7">
        <v>199</v>
      </c>
      <c r="G782" s="8">
        <f t="shared" si="50"/>
        <v>2.331176298964714E-3</v>
      </c>
      <c r="H782" s="9">
        <f t="shared" si="51"/>
        <v>6.99352889689554E-5</v>
      </c>
      <c r="I782" s="10">
        <f>SUM($H$3:H782)</f>
        <v>0.87145291365082544</v>
      </c>
      <c r="J782" s="23">
        <v>6.4000000000000003E-3</v>
      </c>
      <c r="Q782" s="7">
        <f t="shared" si="49"/>
        <v>1.3258364488018823E-4</v>
      </c>
      <c r="R782" s="7">
        <f t="shared" si="48"/>
        <v>1.2132654295642148E-4</v>
      </c>
    </row>
    <row r="783" spans="1:18" x14ac:dyDescent="0.25">
      <c r="A783" s="22">
        <v>45712</v>
      </c>
      <c r="B783" s="12">
        <v>252.87</v>
      </c>
      <c r="C783" s="13">
        <v>-1.04E-2</v>
      </c>
      <c r="D783" s="7">
        <v>179</v>
      </c>
      <c r="E783" s="7">
        <v>6.4999999999999997E-3</v>
      </c>
      <c r="F783" s="7">
        <v>802</v>
      </c>
      <c r="G783" s="8">
        <f t="shared" si="50"/>
        <v>2.4599760649412043E-11</v>
      </c>
      <c r="H783" s="9">
        <f t="shared" si="51"/>
        <v>7.379928194825088E-13</v>
      </c>
      <c r="I783" s="10">
        <f>SUM($H$3:H783)</f>
        <v>0.87145291365156341</v>
      </c>
      <c r="J783" s="23">
        <v>6.4999999999999997E-3</v>
      </c>
      <c r="Q783" s="7">
        <f t="shared" si="49"/>
        <v>1.3668416997957548E-4</v>
      </c>
      <c r="R783" s="7">
        <f t="shared" si="48"/>
        <v>1.2507891026435202E-4</v>
      </c>
    </row>
    <row r="784" spans="1:18" x14ac:dyDescent="0.25">
      <c r="A784" s="22">
        <v>45713</v>
      </c>
      <c r="B784" s="12">
        <v>252.75</v>
      </c>
      <c r="C784" s="13">
        <v>-5.0000000000000001E-4</v>
      </c>
      <c r="D784" s="7">
        <v>178</v>
      </c>
      <c r="E784" s="7">
        <v>6.4999999999999997E-3</v>
      </c>
      <c r="F784" s="7">
        <v>392</v>
      </c>
      <c r="G784" s="8">
        <f t="shared" si="50"/>
        <v>6.5240883303371443E-6</v>
      </c>
      <c r="H784" s="9">
        <f t="shared" si="51"/>
        <v>1.9572264991015345E-7</v>
      </c>
      <c r="I784" s="10">
        <f>SUM($H$3:H784)</f>
        <v>0.87145310937421328</v>
      </c>
      <c r="J784" s="23">
        <v>6.4999999999999997E-3</v>
      </c>
      <c r="Q784" s="7">
        <f t="shared" si="49"/>
        <v>1.4091151544286135E-4</v>
      </c>
      <c r="R784" s="7">
        <f t="shared" si="48"/>
        <v>1.2894733016943511E-4</v>
      </c>
    </row>
    <row r="785" spans="1:18" x14ac:dyDescent="0.25">
      <c r="A785" s="22">
        <v>45715</v>
      </c>
      <c r="B785" s="12">
        <v>252.56</v>
      </c>
      <c r="C785" s="13">
        <v>-8.0000000000000004E-4</v>
      </c>
      <c r="D785" s="7">
        <v>177</v>
      </c>
      <c r="E785" s="7">
        <v>6.4999999999999997E-3</v>
      </c>
      <c r="F785" s="7">
        <v>4</v>
      </c>
      <c r="G785" s="8">
        <f t="shared" si="50"/>
        <v>0.88529280999999993</v>
      </c>
      <c r="H785" s="9">
        <f t="shared" si="51"/>
        <v>2.6558784300005307E-2</v>
      </c>
      <c r="I785" s="10">
        <f>SUM($H$3:H785)</f>
        <v>0.89801189367421863</v>
      </c>
      <c r="J785" s="23">
        <v>6.4999999999999997E-3</v>
      </c>
      <c r="Q785" s="7">
        <f t="shared" si="49"/>
        <v>1.4526960354934159E-4</v>
      </c>
      <c r="R785" s="7">
        <f t="shared" si="48"/>
        <v>1.3293539192725268E-4</v>
      </c>
    </row>
    <row r="786" spans="1:18" x14ac:dyDescent="0.25">
      <c r="A786" s="22">
        <v>45716</v>
      </c>
      <c r="B786" s="12">
        <v>248.45</v>
      </c>
      <c r="C786" s="13">
        <v>-1.6299999999999999E-2</v>
      </c>
      <c r="D786" s="7">
        <v>176</v>
      </c>
      <c r="E786" s="7">
        <v>6.6E-3</v>
      </c>
      <c r="F786" s="7">
        <v>712</v>
      </c>
      <c r="G786" s="8">
        <f t="shared" si="50"/>
        <v>3.8148265591319214E-10</v>
      </c>
      <c r="H786" s="9">
        <f t="shared" si="51"/>
        <v>1.1444479677398051E-11</v>
      </c>
      <c r="I786" s="10">
        <f>SUM($H$3:H786)</f>
        <v>0.89801189368566314</v>
      </c>
      <c r="J786" s="23">
        <v>6.6E-3</v>
      </c>
      <c r="Q786" s="7">
        <f t="shared" si="49"/>
        <v>1.4976247788591916E-4</v>
      </c>
      <c r="R786" s="7">
        <f t="shared" si="48"/>
        <v>1.3704679580129142E-4</v>
      </c>
    </row>
    <row r="787" spans="1:18" x14ac:dyDescent="0.25">
      <c r="A787" s="22">
        <v>45719</v>
      </c>
      <c r="B787" s="12">
        <v>248.05</v>
      </c>
      <c r="C787" s="13">
        <v>-1.6000000000000001E-3</v>
      </c>
      <c r="D787" s="7">
        <v>175</v>
      </c>
      <c r="E787" s="7">
        <v>6.6E-3</v>
      </c>
      <c r="F787" s="7">
        <v>463</v>
      </c>
      <c r="G787" s="8">
        <f t="shared" si="50"/>
        <v>7.5043479973217694E-7</v>
      </c>
      <c r="H787" s="9">
        <f t="shared" si="51"/>
        <v>2.2513043991969809E-8</v>
      </c>
      <c r="I787" s="10">
        <f>SUM($H$3:H787)</f>
        <v>0.89801191619870713</v>
      </c>
      <c r="J787" s="23">
        <v>6.6E-3</v>
      </c>
      <c r="Q787" s="7">
        <f t="shared" si="49"/>
        <v>1.5439430709888574E-4</v>
      </c>
      <c r="R787" s="7">
        <f t="shared" si="48"/>
        <v>1.4128535649617674E-4</v>
      </c>
    </row>
    <row r="788" spans="1:18" x14ac:dyDescent="0.25">
      <c r="A788" s="22">
        <v>45720</v>
      </c>
      <c r="B788" s="12">
        <v>247.49</v>
      </c>
      <c r="C788" s="13">
        <v>-2.3E-3</v>
      </c>
      <c r="D788" s="7">
        <v>174</v>
      </c>
      <c r="E788" s="7">
        <v>6.6E-3</v>
      </c>
      <c r="F788" s="7">
        <v>143</v>
      </c>
      <c r="G788" s="8">
        <f t="shared" si="50"/>
        <v>1.2833880764229737E-2</v>
      </c>
      <c r="H788" s="9">
        <f t="shared" si="51"/>
        <v>3.8501642292696907E-4</v>
      </c>
      <c r="I788" s="10">
        <f>SUM($H$3:H788)</f>
        <v>0.89839693262163411</v>
      </c>
      <c r="J788" s="23">
        <v>6.6E-3</v>
      </c>
      <c r="Q788" s="7">
        <f t="shared" si="49"/>
        <v>1.5916938876173788E-4</v>
      </c>
      <c r="R788" s="7">
        <f t="shared" si="48"/>
        <v>1.456550066970894E-4</v>
      </c>
    </row>
    <row r="789" spans="1:18" x14ac:dyDescent="0.25">
      <c r="A789" s="22">
        <v>45721</v>
      </c>
      <c r="B789" s="12">
        <v>250.48</v>
      </c>
      <c r="C789" s="13">
        <v>1.21E-2</v>
      </c>
      <c r="D789" s="7">
        <v>173</v>
      </c>
      <c r="E789" s="7">
        <v>6.7000000000000002E-3</v>
      </c>
      <c r="F789" s="7">
        <v>788</v>
      </c>
      <c r="G789" s="8">
        <f t="shared" si="50"/>
        <v>3.7681362845060959E-11</v>
      </c>
      <c r="H789" s="9">
        <f t="shared" si="51"/>
        <v>1.1304408853520548E-12</v>
      </c>
      <c r="I789" s="10">
        <f>SUM($H$3:H789)</f>
        <v>0.89839693262276454</v>
      </c>
      <c r="J789" s="23">
        <v>6.7000000000000002E-3</v>
      </c>
      <c r="Q789" s="7">
        <f t="shared" si="49"/>
        <v>1.6409215336261638E-4</v>
      </c>
      <c r="R789" s="7">
        <f t="shared" si="48"/>
        <v>1.5015980071864888E-4</v>
      </c>
    </row>
    <row r="790" spans="1:18" x14ac:dyDescent="0.25">
      <c r="A790" s="22">
        <v>45722</v>
      </c>
      <c r="B790" s="12">
        <v>252.75</v>
      </c>
      <c r="C790" s="13">
        <v>9.1000000000000004E-3</v>
      </c>
      <c r="D790" s="7">
        <v>172</v>
      </c>
      <c r="E790" s="7">
        <v>6.7000000000000002E-3</v>
      </c>
      <c r="F790" s="7">
        <v>635</v>
      </c>
      <c r="G790" s="8">
        <f t="shared" si="50"/>
        <v>3.9815416126302555E-9</v>
      </c>
      <c r="H790" s="9">
        <f t="shared" si="51"/>
        <v>1.1944624837893153E-10</v>
      </c>
      <c r="I790" s="10">
        <f>SUM($H$3:H790)</f>
        <v>0.89839693274221077</v>
      </c>
      <c r="J790" s="23">
        <v>6.7000000000000002E-3</v>
      </c>
      <c r="Q790" s="7">
        <f t="shared" si="49"/>
        <v>1.6916716841506845E-4</v>
      </c>
      <c r="R790" s="7">
        <f t="shared" si="48"/>
        <v>1.5480391826664834E-4</v>
      </c>
    </row>
    <row r="791" spans="1:18" x14ac:dyDescent="0.25">
      <c r="A791" s="22">
        <v>45723</v>
      </c>
      <c r="B791" s="12">
        <v>252.84</v>
      </c>
      <c r="C791" s="13">
        <v>4.0000000000000002E-4</v>
      </c>
      <c r="D791" s="7">
        <v>171</v>
      </c>
      <c r="E791" s="7">
        <v>6.7000000000000002E-3</v>
      </c>
      <c r="F791" s="7">
        <v>600</v>
      </c>
      <c r="G791" s="8">
        <f t="shared" si="50"/>
        <v>1.1562202191791906E-8</v>
      </c>
      <c r="H791" s="9">
        <f t="shared" si="51"/>
        <v>3.468660657538265E-10</v>
      </c>
      <c r="I791" s="10">
        <f>SUM($H$3:H791)</f>
        <v>0.89839693308907687</v>
      </c>
      <c r="J791" s="23">
        <v>6.7000000000000002E-3</v>
      </c>
      <c r="Q791" s="7">
        <f t="shared" si="49"/>
        <v>1.7439914269594685E-4</v>
      </c>
      <c r="R791" s="7">
        <f t="shared" si="48"/>
        <v>1.5959166831613233E-4</v>
      </c>
    </row>
    <row r="792" spans="1:18" x14ac:dyDescent="0.25">
      <c r="A792" s="22">
        <v>45726</v>
      </c>
      <c r="B792" s="12">
        <v>251.75</v>
      </c>
      <c r="C792" s="13">
        <v>-4.3E-3</v>
      </c>
      <c r="D792" s="7">
        <v>170</v>
      </c>
      <c r="E792" s="7">
        <v>6.7000000000000002E-3</v>
      </c>
      <c r="F792" s="7">
        <v>360</v>
      </c>
      <c r="G792" s="8">
        <f t="shared" si="50"/>
        <v>1.72911682171165E-5</v>
      </c>
      <c r="H792" s="9">
        <f t="shared" si="51"/>
        <v>5.1873504651359872E-7</v>
      </c>
      <c r="I792" s="10">
        <f>SUM($H$3:H792)</f>
        <v>0.89839745182412334</v>
      </c>
      <c r="J792" s="23">
        <v>6.7000000000000002E-3</v>
      </c>
      <c r="Q792" s="7">
        <f t="shared" si="49"/>
        <v>1.7979293061437819E-4</v>
      </c>
      <c r="R792" s="7">
        <f t="shared" si="48"/>
        <v>1.6452749310941474E-4</v>
      </c>
    </row>
    <row r="793" spans="1:18" x14ac:dyDescent="0.25">
      <c r="A793" s="22">
        <v>45727</v>
      </c>
      <c r="B793" s="12">
        <v>252.08</v>
      </c>
      <c r="C793" s="13">
        <v>1.2999999999999999E-3</v>
      </c>
      <c r="D793" s="7">
        <v>169</v>
      </c>
      <c r="E793" s="7">
        <v>6.7999999999999996E-3</v>
      </c>
      <c r="F793" s="7">
        <v>809</v>
      </c>
      <c r="G793" s="8">
        <f t="shared" si="50"/>
        <v>1.9876184590446841E-11</v>
      </c>
      <c r="H793" s="9">
        <f t="shared" si="51"/>
        <v>5.962855377135244E-13</v>
      </c>
      <c r="I793" s="10">
        <f>SUM($H$3:H793)</f>
        <v>0.89839745182471964</v>
      </c>
      <c r="J793" s="23">
        <v>6.7999999999999996E-3</v>
      </c>
      <c r="Q793" s="7">
        <f t="shared" si="49"/>
        <v>1.8535353671585381E-4</v>
      </c>
      <c r="R793" s="7">
        <f t="shared" si="48"/>
        <v>1.6961597227774719E-4</v>
      </c>
    </row>
    <row r="794" spans="1:18" x14ac:dyDescent="0.25">
      <c r="A794" s="22">
        <v>45728</v>
      </c>
      <c r="B794" s="12">
        <v>251.74</v>
      </c>
      <c r="C794" s="13">
        <v>-1.2999999999999999E-3</v>
      </c>
      <c r="D794" s="7">
        <v>168</v>
      </c>
      <c r="E794" s="7">
        <v>6.7999999999999996E-3</v>
      </c>
      <c r="F794" s="7">
        <v>658</v>
      </c>
      <c r="G794" s="8">
        <f t="shared" si="50"/>
        <v>1.9760646413179195E-9</v>
      </c>
      <c r="H794" s="9">
        <f t="shared" si="51"/>
        <v>5.9281939239549427E-11</v>
      </c>
      <c r="I794" s="10">
        <f>SUM($H$3:H794)</f>
        <v>0.89839745188400155</v>
      </c>
      <c r="J794" s="23">
        <v>6.7999999999999996E-3</v>
      </c>
      <c r="Q794" s="7">
        <f t="shared" si="49"/>
        <v>1.9108612032562246E-4</v>
      </c>
      <c r="R794" s="7">
        <f t="shared" si="48"/>
        <v>1.7486182709046098E-4</v>
      </c>
    </row>
    <row r="795" spans="1:18" x14ac:dyDescent="0.25">
      <c r="A795" s="22">
        <v>45729</v>
      </c>
      <c r="B795" s="12">
        <v>251.06</v>
      </c>
      <c r="C795" s="13">
        <v>-2.7000000000000001E-3</v>
      </c>
      <c r="D795" s="7">
        <v>167</v>
      </c>
      <c r="E795" s="7">
        <v>6.7999999999999996E-3</v>
      </c>
      <c r="F795" s="7">
        <v>399</v>
      </c>
      <c r="G795" s="8">
        <f t="shared" si="50"/>
        <v>5.2713514487491787E-6</v>
      </c>
      <c r="H795" s="9">
        <f t="shared" si="51"/>
        <v>1.5814054346250696E-7</v>
      </c>
      <c r="I795" s="10">
        <f>SUM($H$3:H795)</f>
        <v>0.89839761002454499</v>
      </c>
      <c r="J795" s="23">
        <v>6.7999999999999996E-3</v>
      </c>
      <c r="Q795" s="7">
        <f t="shared" si="49"/>
        <v>1.9699600033569326E-4</v>
      </c>
      <c r="R795" s="7">
        <f t="shared" si="48"/>
        <v>1.8026992483552678E-4</v>
      </c>
    </row>
    <row r="796" spans="1:18" x14ac:dyDescent="0.25">
      <c r="A796" s="22">
        <v>45733</v>
      </c>
      <c r="B796" s="12">
        <v>252.18</v>
      </c>
      <c r="C796" s="13">
        <v>4.4999999999999997E-3</v>
      </c>
      <c r="D796" s="7">
        <v>166</v>
      </c>
      <c r="E796" s="7">
        <v>6.7999999999999996E-3</v>
      </c>
      <c r="F796" s="7">
        <v>162</v>
      </c>
      <c r="G796" s="8">
        <f t="shared" si="50"/>
        <v>7.1948368632830193E-3</v>
      </c>
      <c r="H796" s="9">
        <f t="shared" si="51"/>
        <v>2.1584510589853372E-4</v>
      </c>
      <c r="I796" s="10">
        <f>SUM($H$3:H796)</f>
        <v>0.89861345513044355</v>
      </c>
      <c r="J796" s="23">
        <v>6.7999999999999996E-3</v>
      </c>
      <c r="Q796" s="7">
        <f t="shared" si="49"/>
        <v>2.0308866013988999E-4</v>
      </c>
      <c r="R796" s="7">
        <f t="shared" si="48"/>
        <v>1.8584528333559467E-4</v>
      </c>
    </row>
    <row r="797" spans="1:18" x14ac:dyDescent="0.25">
      <c r="A797" s="22">
        <v>45734</v>
      </c>
      <c r="B797" s="12">
        <v>255.82</v>
      </c>
      <c r="C797" s="13">
        <v>1.44E-2</v>
      </c>
      <c r="D797" s="7">
        <v>165</v>
      </c>
      <c r="E797" s="7">
        <v>6.7999999999999996E-3</v>
      </c>
      <c r="F797" s="7">
        <v>29</v>
      </c>
      <c r="G797" s="8">
        <f t="shared" si="50"/>
        <v>0.41340934901356458</v>
      </c>
      <c r="H797" s="9">
        <f t="shared" si="51"/>
        <v>1.2402280470409416E-2</v>
      </c>
      <c r="I797" s="10">
        <f>SUM($H$3:H797)</f>
        <v>0.91101573560085292</v>
      </c>
      <c r="J797" s="23">
        <v>6.7999999999999996E-3</v>
      </c>
      <c r="Q797" s="7">
        <f t="shared" si="49"/>
        <v>2.0936975272153608E-4</v>
      </c>
      <c r="R797" s="7">
        <f t="shared" si="48"/>
        <v>1.9159307560370585E-4</v>
      </c>
    </row>
    <row r="798" spans="1:18" x14ac:dyDescent="0.25">
      <c r="A798" s="22">
        <v>45735</v>
      </c>
      <c r="B798" s="12">
        <v>256.7</v>
      </c>
      <c r="C798" s="13">
        <v>3.3999999999999998E-3</v>
      </c>
      <c r="D798" s="7">
        <v>164</v>
      </c>
      <c r="E798" s="7">
        <v>6.8999999999999999E-3</v>
      </c>
      <c r="F798" s="7">
        <v>944</v>
      </c>
      <c r="G798" s="8">
        <f t="shared" si="50"/>
        <v>3.2547463402386069E-13</v>
      </c>
      <c r="H798" s="9">
        <f t="shared" si="51"/>
        <v>9.7642390207177732E-15</v>
      </c>
      <c r="I798" s="10">
        <f>SUM($H$3:H798)</f>
        <v>0.91101573560086269</v>
      </c>
      <c r="J798" s="23">
        <v>6.8999999999999999E-3</v>
      </c>
      <c r="Q798" s="7">
        <f t="shared" si="49"/>
        <v>2.1584510589849076E-4</v>
      </c>
      <c r="R798" s="7">
        <f t="shared" si="48"/>
        <v>1.9751863464299567E-4</v>
      </c>
    </row>
    <row r="799" spans="1:18" x14ac:dyDescent="0.25">
      <c r="A799" s="22">
        <v>45736</v>
      </c>
      <c r="B799" s="12">
        <v>259.32</v>
      </c>
      <c r="C799" s="13">
        <v>1.0200000000000001E-2</v>
      </c>
      <c r="D799" s="7">
        <v>163</v>
      </c>
      <c r="E799" s="7">
        <v>6.8999999999999999E-3</v>
      </c>
      <c r="F799" s="7">
        <v>634</v>
      </c>
      <c r="G799" s="8">
        <f t="shared" si="50"/>
        <v>4.1046820748765526E-9</v>
      </c>
      <c r="H799" s="9">
        <f t="shared" si="51"/>
        <v>1.231404622463212E-10</v>
      </c>
      <c r="I799" s="10">
        <f>SUM($H$3:H799)</f>
        <v>0.91101573572400318</v>
      </c>
      <c r="J799" s="23">
        <v>6.8999999999999999E-3</v>
      </c>
      <c r="Q799" s="7">
        <f t="shared" si="49"/>
        <v>2.2252072773040288E-4</v>
      </c>
      <c r="R799" s="7">
        <f t="shared" si="48"/>
        <v>2.0362745839484092E-4</v>
      </c>
    </row>
    <row r="800" spans="1:18" x14ac:dyDescent="0.25">
      <c r="A800" s="22">
        <v>45737</v>
      </c>
      <c r="B800" s="12">
        <v>261.08999999999997</v>
      </c>
      <c r="C800" s="13">
        <v>6.7999999999999996E-3</v>
      </c>
      <c r="D800" s="7">
        <v>162</v>
      </c>
      <c r="E800" s="7">
        <v>6.8999999999999999E-3</v>
      </c>
      <c r="F800" s="7">
        <v>566</v>
      </c>
      <c r="G800" s="8">
        <f t="shared" si="50"/>
        <v>3.2568787809929973E-8</v>
      </c>
      <c r="H800" s="9">
        <f t="shared" si="51"/>
        <v>9.7706363429809454E-10</v>
      </c>
      <c r="I800" s="10">
        <f>SUM($H$3:H800)</f>
        <v>0.91101573670106684</v>
      </c>
      <c r="J800" s="23">
        <v>6.8999999999999999E-3</v>
      </c>
      <c r="Q800" s="7">
        <f t="shared" si="49"/>
        <v>2.2940281209319886E-4</v>
      </c>
      <c r="R800" s="7">
        <f t="shared" si="48"/>
        <v>2.0992521484004221E-4</v>
      </c>
    </row>
    <row r="801" spans="1:18" x14ac:dyDescent="0.25">
      <c r="A801" s="22">
        <v>45740</v>
      </c>
      <c r="B801" s="12">
        <v>264.89999999999998</v>
      </c>
      <c r="C801" s="13">
        <v>1.46E-2</v>
      </c>
      <c r="D801" s="7">
        <v>161</v>
      </c>
      <c r="E801" s="7">
        <v>6.8999999999999999E-3</v>
      </c>
      <c r="F801" s="7">
        <v>452</v>
      </c>
      <c r="G801" s="8">
        <f t="shared" si="50"/>
        <v>1.0491169128040568E-6</v>
      </c>
      <c r="H801" s="9">
        <f t="shared" si="51"/>
        <v>3.1473507384127992E-8</v>
      </c>
      <c r="I801" s="10">
        <f>SUM($H$3:H801)</f>
        <v>0.91101576817457419</v>
      </c>
      <c r="J801" s="23">
        <v>6.8999999999999999E-3</v>
      </c>
      <c r="Q801" s="7">
        <f t="shared" si="49"/>
        <v>2.3649774442597815E-4</v>
      </c>
      <c r="R801" s="7">
        <f t="shared" si="48"/>
        <v>2.164177472577754E-4</v>
      </c>
    </row>
    <row r="802" spans="1:18" x14ac:dyDescent="0.25">
      <c r="A802" s="22">
        <v>45741</v>
      </c>
      <c r="B802" s="12">
        <v>264.73</v>
      </c>
      <c r="C802" s="13">
        <v>-5.9999999999999995E-4</v>
      </c>
      <c r="D802" s="7">
        <v>160</v>
      </c>
      <c r="E802" s="7">
        <v>6.8999999999999999E-3</v>
      </c>
      <c r="F802" s="7">
        <v>414</v>
      </c>
      <c r="G802" s="8">
        <f t="shared" si="50"/>
        <v>3.3380895732783537E-6</v>
      </c>
      <c r="H802" s="9">
        <f t="shared" si="51"/>
        <v>1.0014268719837063E-7</v>
      </c>
      <c r="I802" s="10">
        <f>SUM($H$3:H802)</f>
        <v>0.91101586831726145</v>
      </c>
      <c r="J802" s="23">
        <v>6.8999999999999999E-3</v>
      </c>
      <c r="Q802" s="7">
        <f t="shared" si="49"/>
        <v>2.438121076556476E-4</v>
      </c>
      <c r="R802" s="7">
        <f t="shared" si="48"/>
        <v>2.2311107964719117E-4</v>
      </c>
    </row>
    <row r="803" spans="1:18" x14ac:dyDescent="0.25">
      <c r="A803" s="22">
        <v>45742</v>
      </c>
      <c r="B803" s="12">
        <v>262.89999999999998</v>
      </c>
      <c r="C803" s="13">
        <v>-6.8999999999999999E-3</v>
      </c>
      <c r="D803" s="7">
        <v>159</v>
      </c>
      <c r="E803" s="7">
        <v>7.0000000000000001E-3</v>
      </c>
      <c r="F803" s="7">
        <v>547</v>
      </c>
      <c r="G803" s="8">
        <f t="shared" si="50"/>
        <v>5.809498496362199E-8</v>
      </c>
      <c r="H803" s="9">
        <f t="shared" si="51"/>
        <v>1.742849548909008E-9</v>
      </c>
      <c r="I803" s="10">
        <f>SUM($H$3:H803)</f>
        <v>0.91101587006011098</v>
      </c>
      <c r="J803" s="23">
        <v>7.0000000000000001E-3</v>
      </c>
      <c r="Q803" s="7">
        <f t="shared" si="49"/>
        <v>2.5135268830479135E-4</v>
      </c>
      <c r="R803" s="7">
        <f t="shared" si="48"/>
        <v>2.3001142231669194E-4</v>
      </c>
    </row>
    <row r="804" spans="1:18" x14ac:dyDescent="0.25">
      <c r="A804" s="22">
        <v>45743</v>
      </c>
      <c r="B804" s="12">
        <v>263.73</v>
      </c>
      <c r="C804" s="13">
        <v>3.2000000000000002E-3</v>
      </c>
      <c r="D804" s="7">
        <v>158</v>
      </c>
      <c r="E804" s="7">
        <v>7.0000000000000001E-3</v>
      </c>
      <c r="F804" s="7">
        <v>99</v>
      </c>
      <c r="G804" s="8">
        <f t="shared" si="50"/>
        <v>4.9023204046810008E-2</v>
      </c>
      <c r="H804" s="9">
        <f t="shared" si="51"/>
        <v>1.4706961214045941E-3</v>
      </c>
      <c r="I804" s="10">
        <f>SUM($H$3:H804)</f>
        <v>0.91248656618151558</v>
      </c>
      <c r="J804" s="23">
        <v>7.0000000000000001E-3</v>
      </c>
      <c r="Q804" s="7">
        <f t="shared" si="49"/>
        <v>2.5912648278844468E-4</v>
      </c>
      <c r="R804" s="7">
        <f t="shared" si="48"/>
        <v>2.3712517764607415E-4</v>
      </c>
    </row>
    <row r="805" spans="1:18" x14ac:dyDescent="0.25">
      <c r="A805" s="22">
        <v>45744</v>
      </c>
      <c r="B805" s="12">
        <v>263.20999999999998</v>
      </c>
      <c r="C805" s="13">
        <v>-2E-3</v>
      </c>
      <c r="D805" s="7">
        <v>157</v>
      </c>
      <c r="E805" s="7">
        <v>7.1000000000000004E-3</v>
      </c>
      <c r="F805" s="7">
        <v>794</v>
      </c>
      <c r="G805" s="8">
        <f t="shared" si="50"/>
        <v>3.1387520357507555E-11</v>
      </c>
      <c r="H805" s="9">
        <f t="shared" si="51"/>
        <v>9.4162561072541485E-13</v>
      </c>
      <c r="I805" s="10">
        <f>SUM($H$3:H805)</f>
        <v>0.91248656618245716</v>
      </c>
      <c r="J805" s="23">
        <v>7.1000000000000004E-3</v>
      </c>
      <c r="Q805" s="7">
        <f t="shared" si="49"/>
        <v>2.6714070390561307E-4</v>
      </c>
      <c r="R805" s="7">
        <f t="shared" si="48"/>
        <v>2.4445894602688055E-4</v>
      </c>
    </row>
    <row r="806" spans="1:18" x14ac:dyDescent="0.25">
      <c r="A806" s="22">
        <v>45748</v>
      </c>
      <c r="B806" s="12">
        <v>259.60000000000002</v>
      </c>
      <c r="C806" s="13">
        <v>-1.37E-2</v>
      </c>
      <c r="D806" s="7">
        <v>156</v>
      </c>
      <c r="E806" s="7">
        <v>7.1000000000000004E-3</v>
      </c>
      <c r="F806" s="7">
        <v>682</v>
      </c>
      <c r="G806" s="8">
        <f t="shared" si="50"/>
        <v>9.5131154994125919E-10</v>
      </c>
      <c r="H806" s="9">
        <f t="shared" si="51"/>
        <v>2.8539346498243479E-11</v>
      </c>
      <c r="I806" s="10">
        <f>SUM($H$3:H806)</f>
        <v>0.91248656621099655</v>
      </c>
      <c r="J806" s="23">
        <v>7.1000000000000004E-3</v>
      </c>
      <c r="Q806" s="7">
        <f t="shared" si="49"/>
        <v>2.7540278753155988E-4</v>
      </c>
      <c r="R806" s="7">
        <f t="shared" si="48"/>
        <v>2.5201953198647481E-4</v>
      </c>
    </row>
    <row r="807" spans="1:18" x14ac:dyDescent="0.25">
      <c r="A807" s="22">
        <v>45749</v>
      </c>
      <c r="B807" s="12">
        <v>261.64</v>
      </c>
      <c r="C807" s="13">
        <v>7.9000000000000008E-3</v>
      </c>
      <c r="D807" s="7">
        <v>155</v>
      </c>
      <c r="E807" s="7">
        <v>7.1000000000000004E-3</v>
      </c>
      <c r="F807" s="7">
        <v>577</v>
      </c>
      <c r="G807" s="8">
        <f t="shared" si="50"/>
        <v>2.329649961732088E-8</v>
      </c>
      <c r="H807" s="9">
        <f t="shared" si="51"/>
        <v>6.9889498851976614E-10</v>
      </c>
      <c r="I807" s="10">
        <f>SUM($H$3:H807)</f>
        <v>0.91248656690989149</v>
      </c>
      <c r="J807" s="23">
        <v>7.1000000000000004E-3</v>
      </c>
      <c r="Q807" s="7">
        <f t="shared" si="49"/>
        <v>2.8392039951707205E-4</v>
      </c>
      <c r="R807" s="7">
        <f t="shared" si="48"/>
        <v>2.5981395050152044E-4</v>
      </c>
    </row>
    <row r="808" spans="1:18" x14ac:dyDescent="0.25">
      <c r="A808" s="22">
        <v>45750</v>
      </c>
      <c r="B808" s="12">
        <v>260.45999999999998</v>
      </c>
      <c r="C808" s="13">
        <v>-4.4999999999999997E-3</v>
      </c>
      <c r="D808" s="7">
        <v>154</v>
      </c>
      <c r="E808" s="7">
        <v>7.1000000000000004E-3</v>
      </c>
      <c r="F808" s="7">
        <v>374</v>
      </c>
      <c r="G808" s="8">
        <f t="shared" si="50"/>
        <v>1.1288301891807505E-5</v>
      </c>
      <c r="H808" s="9">
        <f t="shared" si="51"/>
        <v>3.3864905675429284E-7</v>
      </c>
      <c r="I808" s="10">
        <f>SUM($H$3:H808)</f>
        <v>0.91248690555894829</v>
      </c>
      <c r="J808" s="23">
        <v>7.1000000000000004E-3</v>
      </c>
      <c r="Q808" s="7">
        <f t="shared" si="49"/>
        <v>2.9270144280110522E-4</v>
      </c>
      <c r="R808" s="7">
        <f t="shared" si="48"/>
        <v>2.6784943350672213E-4</v>
      </c>
    </row>
    <row r="809" spans="1:18" x14ac:dyDescent="0.25">
      <c r="A809" s="22">
        <v>45751</v>
      </c>
      <c r="B809" s="12">
        <v>257.16000000000003</v>
      </c>
      <c r="C809" s="13">
        <v>-1.2699999999999999E-2</v>
      </c>
      <c r="D809" s="7">
        <v>153</v>
      </c>
      <c r="E809" s="7">
        <v>7.1999999999999998E-3</v>
      </c>
      <c r="F809" s="7">
        <v>768</v>
      </c>
      <c r="G809" s="8">
        <f t="shared" si="50"/>
        <v>6.9293407213941731E-11</v>
      </c>
      <c r="H809" s="9">
        <f t="shared" si="51"/>
        <v>2.0788022164186676E-12</v>
      </c>
      <c r="I809" s="10">
        <f>SUM($H$3:H809)</f>
        <v>0.91248690556102707</v>
      </c>
      <c r="J809" s="23">
        <v>7.1999999999999998E-3</v>
      </c>
      <c r="Q809" s="7">
        <f t="shared" si="49"/>
        <v>3.0175406474340746E-4</v>
      </c>
      <c r="R809" s="7">
        <f t="shared" si="48"/>
        <v>2.7613343660486817E-4</v>
      </c>
    </row>
    <row r="810" spans="1:18" x14ac:dyDescent="0.25">
      <c r="A810" s="22">
        <v>45754</v>
      </c>
      <c r="B810" s="12">
        <v>249.1</v>
      </c>
      <c r="C810" s="13">
        <v>-3.1300000000000001E-2</v>
      </c>
      <c r="D810" s="7">
        <v>152</v>
      </c>
      <c r="E810" s="7">
        <v>7.1999999999999998E-3</v>
      </c>
      <c r="F810" s="7">
        <v>701</v>
      </c>
      <c r="G810" s="8">
        <f t="shared" si="50"/>
        <v>5.3331736001951795E-10</v>
      </c>
      <c r="H810" s="9">
        <f t="shared" si="51"/>
        <v>1.5999520800588737E-11</v>
      </c>
      <c r="I810" s="10">
        <f>SUM($H$3:H810)</f>
        <v>0.91248690557702661</v>
      </c>
      <c r="J810" s="23">
        <v>7.1999999999999998E-3</v>
      </c>
      <c r="Q810" s="7">
        <f t="shared" si="49"/>
        <v>3.1108666468392522E-4</v>
      </c>
      <c r="R810" s="7">
        <f t="shared" si="48"/>
        <v>2.8467364598440018E-4</v>
      </c>
    </row>
    <row r="811" spans="1:18" x14ac:dyDescent="0.25">
      <c r="A811" s="22">
        <v>45755</v>
      </c>
      <c r="B811" s="12">
        <v>252.72</v>
      </c>
      <c r="C811" s="13">
        <v>1.4500000000000001E-2</v>
      </c>
      <c r="D811" s="7">
        <v>151</v>
      </c>
      <c r="E811" s="7">
        <v>7.1999999999999998E-3</v>
      </c>
      <c r="F811" s="7">
        <v>391</v>
      </c>
      <c r="G811" s="8">
        <f t="shared" si="50"/>
        <v>6.7258642580795313E-6</v>
      </c>
      <c r="H811" s="9">
        <f t="shared" si="51"/>
        <v>2.0177592774242628E-7</v>
      </c>
      <c r="I811" s="10">
        <f>SUM($H$3:H811)</f>
        <v>0.91248710735295435</v>
      </c>
      <c r="J811" s="23">
        <v>7.1999999999999998E-3</v>
      </c>
      <c r="Q811" s="7">
        <f t="shared" si="49"/>
        <v>3.2070790173600535E-4</v>
      </c>
      <c r="R811" s="7">
        <f t="shared" si="48"/>
        <v>2.9347798555092803E-4</v>
      </c>
    </row>
    <row r="812" spans="1:18" x14ac:dyDescent="0.25">
      <c r="A812" s="22">
        <v>45756</v>
      </c>
      <c r="B812" s="12">
        <v>251.03</v>
      </c>
      <c r="C812" s="13">
        <v>-6.7000000000000002E-3</v>
      </c>
      <c r="D812" s="7">
        <v>150</v>
      </c>
      <c r="E812" s="7">
        <v>7.1999999999999998E-3</v>
      </c>
      <c r="F812" s="7">
        <v>332</v>
      </c>
      <c r="G812" s="8">
        <f t="shared" si="50"/>
        <v>4.0571005978998006E-5</v>
      </c>
      <c r="H812" s="9">
        <f t="shared" si="51"/>
        <v>1.2171301793701835E-6</v>
      </c>
      <c r="I812" s="10">
        <f>SUM($H$3:H812)</f>
        <v>0.91248832448313377</v>
      </c>
      <c r="J812" s="23">
        <v>7.1999999999999998E-3</v>
      </c>
      <c r="Q812" s="7">
        <f t="shared" si="49"/>
        <v>3.3062670282062412E-4</v>
      </c>
      <c r="R812" s="7">
        <f t="shared" si="48"/>
        <v>3.0255462427930725E-4</v>
      </c>
    </row>
    <row r="813" spans="1:18" x14ac:dyDescent="0.25">
      <c r="A813" s="22">
        <v>45758</v>
      </c>
      <c r="B813" s="12">
        <v>255.97</v>
      </c>
      <c r="C813" s="13">
        <v>1.9699999999999999E-2</v>
      </c>
      <c r="D813" s="7">
        <v>149</v>
      </c>
      <c r="E813" s="7">
        <v>7.1999999999999998E-3</v>
      </c>
      <c r="F813" s="7">
        <v>230</v>
      </c>
      <c r="G813" s="8">
        <f t="shared" si="50"/>
        <v>9.0677362868797401E-4</v>
      </c>
      <c r="H813" s="9">
        <f t="shared" si="51"/>
        <v>2.7203208860644658E-5</v>
      </c>
      <c r="I813" s="10">
        <f>SUM($H$3:H813)</f>
        <v>0.9125155276919944</v>
      </c>
      <c r="J813" s="23">
        <v>7.1999999999999998E-3</v>
      </c>
      <c r="Q813" s="7">
        <f t="shared" si="49"/>
        <v>3.4085227094909703E-4</v>
      </c>
      <c r="R813" s="7">
        <f t="shared" si="48"/>
        <v>3.1191198379310026E-4</v>
      </c>
    </row>
    <row r="814" spans="1:18" x14ac:dyDescent="0.25">
      <c r="A814" s="22">
        <v>45762</v>
      </c>
      <c r="B814" s="12">
        <v>260.87</v>
      </c>
      <c r="C814" s="13">
        <v>1.9099999999999999E-2</v>
      </c>
      <c r="D814" s="7">
        <v>148</v>
      </c>
      <c r="E814" s="7">
        <v>7.3000000000000001E-3</v>
      </c>
      <c r="F814" s="7">
        <v>486</v>
      </c>
      <c r="G814" s="8">
        <f t="shared" si="50"/>
        <v>3.724456046525209E-7</v>
      </c>
      <c r="H814" s="9">
        <f t="shared" si="51"/>
        <v>1.1173368139577861E-8</v>
      </c>
      <c r="I814" s="10">
        <f>SUM($H$3:H814)</f>
        <v>0.91251553886536252</v>
      </c>
      <c r="J814" s="23">
        <v>7.3000000000000001E-3</v>
      </c>
      <c r="Q814" s="7">
        <f t="shared" si="49"/>
        <v>3.5139409376195571E-4</v>
      </c>
      <c r="R814" s="7">
        <f t="shared" si="48"/>
        <v>3.2155874617845388E-4</v>
      </c>
    </row>
    <row r="815" spans="1:18" x14ac:dyDescent="0.25">
      <c r="A815" s="22">
        <v>45763</v>
      </c>
      <c r="B815" s="12">
        <v>261.91000000000003</v>
      </c>
      <c r="C815" s="13">
        <v>4.0000000000000001E-3</v>
      </c>
      <c r="D815" s="7">
        <v>147</v>
      </c>
      <c r="E815" s="7">
        <v>7.3000000000000001E-3</v>
      </c>
      <c r="F815" s="7">
        <v>346</v>
      </c>
      <c r="G815" s="8">
        <f t="shared" si="50"/>
        <v>2.6486224516161112E-5</v>
      </c>
      <c r="H815" s="9">
        <f t="shared" si="51"/>
        <v>7.9458673548499215E-7</v>
      </c>
      <c r="I815" s="10">
        <f>SUM($H$3:H815)</f>
        <v>0.91251633345209804</v>
      </c>
      <c r="J815" s="23">
        <v>7.3000000000000001E-3</v>
      </c>
      <c r="Q815" s="7">
        <f t="shared" si="49"/>
        <v>3.622619523319131E-4</v>
      </c>
      <c r="R815" s="7">
        <f t="shared" si="48"/>
        <v>3.315038620396432E-4</v>
      </c>
    </row>
    <row r="816" spans="1:18" x14ac:dyDescent="0.25">
      <c r="A816" s="22">
        <v>45764</v>
      </c>
      <c r="B816" s="12">
        <v>266.54000000000002</v>
      </c>
      <c r="C816" s="13">
        <v>1.77E-2</v>
      </c>
      <c r="D816" s="7">
        <v>146</v>
      </c>
      <c r="E816" s="7">
        <v>7.3000000000000001E-3</v>
      </c>
      <c r="F816" s="7">
        <v>272</v>
      </c>
      <c r="G816" s="8">
        <f t="shared" si="50"/>
        <v>2.5229678735248388E-4</v>
      </c>
      <c r="H816" s="9">
        <f t="shared" si="51"/>
        <v>7.5689036205760295E-6</v>
      </c>
      <c r="I816" s="10">
        <f>SUM($H$3:H816)</f>
        <v>0.91252390235571856</v>
      </c>
      <c r="J816" s="23">
        <v>7.3000000000000001E-3</v>
      </c>
      <c r="Q816" s="7">
        <f t="shared" si="49"/>
        <v>3.7346593023908565E-4</v>
      </c>
      <c r="R816" s="7">
        <f t="shared" si="48"/>
        <v>3.4175655880375584E-4</v>
      </c>
    </row>
    <row r="817" spans="1:18" x14ac:dyDescent="0.25">
      <c r="A817" s="22">
        <v>45768</v>
      </c>
      <c r="B817" s="12">
        <v>269.7</v>
      </c>
      <c r="C817" s="13">
        <v>1.1900000000000001E-2</v>
      </c>
      <c r="D817" s="7">
        <v>145</v>
      </c>
      <c r="E817" s="7">
        <v>7.4000000000000003E-3</v>
      </c>
      <c r="F817" s="7">
        <v>853</v>
      </c>
      <c r="G817" s="8">
        <f t="shared" si="50"/>
        <v>5.2034253582863088E-12</v>
      </c>
      <c r="H817" s="9">
        <f t="shared" si="51"/>
        <v>1.5610276074862046E-13</v>
      </c>
      <c r="I817" s="10">
        <f>SUM($H$3:H817)</f>
        <v>0.91252390235587466</v>
      </c>
      <c r="J817" s="23">
        <v>7.4000000000000003E-3</v>
      </c>
      <c r="Q817" s="7">
        <f t="shared" si="49"/>
        <v>3.8501642292689247E-4</v>
      </c>
      <c r="R817" s="7">
        <f t="shared" si="48"/>
        <v>3.5232634928222258E-4</v>
      </c>
    </row>
    <row r="818" spans="1:18" x14ac:dyDescent="0.25">
      <c r="A818" s="22">
        <v>45769</v>
      </c>
      <c r="B818" s="12">
        <v>270.05</v>
      </c>
      <c r="C818" s="13">
        <v>1.2999999999999999E-3</v>
      </c>
      <c r="D818" s="7">
        <v>144</v>
      </c>
      <c r="E818" s="7">
        <v>7.4000000000000003E-3</v>
      </c>
      <c r="F818" s="7">
        <v>652</v>
      </c>
      <c r="G818" s="8">
        <f t="shared" si="50"/>
        <v>2.3723061875126921E-9</v>
      </c>
      <c r="H818" s="9">
        <f t="shared" si="51"/>
        <v>7.1169185625394994E-11</v>
      </c>
      <c r="I818" s="10">
        <f>SUM($H$3:H818)</f>
        <v>0.91252390242704384</v>
      </c>
      <c r="J818" s="23">
        <v>7.4000000000000003E-3</v>
      </c>
      <c r="Q818" s="7">
        <f t="shared" si="49"/>
        <v>3.9692414734731181E-4</v>
      </c>
      <c r="R818" s="7">
        <f t="shared" si="48"/>
        <v>3.6322304049713665E-4</v>
      </c>
    </row>
    <row r="819" spans="1:18" x14ac:dyDescent="0.25">
      <c r="A819" s="22">
        <v>45770</v>
      </c>
      <c r="B819" s="12">
        <v>271.82</v>
      </c>
      <c r="C819" s="13">
        <v>6.6E-3</v>
      </c>
      <c r="D819" s="7">
        <v>143</v>
      </c>
      <c r="E819" s="7">
        <v>7.4000000000000003E-3</v>
      </c>
      <c r="F819" s="7">
        <v>441</v>
      </c>
      <c r="G819" s="8">
        <f t="shared" si="50"/>
        <v>1.4666781139738251E-6</v>
      </c>
      <c r="H819" s="9">
        <f t="shared" si="51"/>
        <v>4.4000343419223549E-8</v>
      </c>
      <c r="I819" s="10">
        <f>SUM($H$3:H819)</f>
        <v>0.91252394642738721</v>
      </c>
      <c r="J819" s="23">
        <v>7.4000000000000003E-3</v>
      </c>
      <c r="Q819" s="7">
        <f t="shared" si="49"/>
        <v>4.0920015190444516E-4</v>
      </c>
      <c r="R819" s="7">
        <f t="shared" si="48"/>
        <v>3.7445674278055327E-4</v>
      </c>
    </row>
    <row r="820" spans="1:18" x14ac:dyDescent="0.25">
      <c r="A820" s="22">
        <v>45771</v>
      </c>
      <c r="B820" s="12">
        <v>270.95</v>
      </c>
      <c r="C820" s="13">
        <v>-3.2000000000000002E-3</v>
      </c>
      <c r="D820" s="7">
        <v>142</v>
      </c>
      <c r="E820" s="7">
        <v>7.4000000000000003E-3</v>
      </c>
      <c r="F820" s="7">
        <v>348</v>
      </c>
      <c r="G820" s="8">
        <f t="shared" si="50"/>
        <v>2.4920888647255986E-5</v>
      </c>
      <c r="H820" s="9">
        <f t="shared" si="51"/>
        <v>7.4762665941782905E-7</v>
      </c>
      <c r="I820" s="10">
        <f>SUM($H$3:H820)</f>
        <v>0.91252469405404668</v>
      </c>
      <c r="J820" s="23">
        <v>7.4000000000000003E-3</v>
      </c>
      <c r="Q820" s="7">
        <f t="shared" si="49"/>
        <v>4.2185582670561359E-4</v>
      </c>
      <c r="R820" s="7">
        <f t="shared" si="48"/>
        <v>3.8603787915520956E-4</v>
      </c>
    </row>
    <row r="821" spans="1:18" x14ac:dyDescent="0.25">
      <c r="A821" s="22">
        <v>45772</v>
      </c>
      <c r="B821" s="12">
        <v>268.63</v>
      </c>
      <c r="C821" s="13">
        <v>-8.6E-3</v>
      </c>
      <c r="D821" s="7">
        <v>141</v>
      </c>
      <c r="E821" s="7">
        <v>7.4999999999999997E-3</v>
      </c>
      <c r="F821" s="7">
        <v>822</v>
      </c>
      <c r="G821" s="8">
        <f t="shared" si="50"/>
        <v>1.3377210678502273E-11</v>
      </c>
      <c r="H821" s="9">
        <f t="shared" si="51"/>
        <v>4.0131632035514842E-13</v>
      </c>
      <c r="I821" s="10">
        <f>SUM($H$3:H821)</f>
        <v>0.91252469405444803</v>
      </c>
      <c r="J821" s="23">
        <v>7.4999999999999997E-3</v>
      </c>
      <c r="Q821" s="7">
        <f t="shared" si="49"/>
        <v>4.3490291412949858E-4</v>
      </c>
      <c r="R821" s="7">
        <f t="shared" si="48"/>
        <v>3.9797719500537073E-4</v>
      </c>
    </row>
    <row r="822" spans="1:18" x14ac:dyDescent="0.25">
      <c r="A822" s="22">
        <v>45775</v>
      </c>
      <c r="B822" s="12">
        <v>271.89999999999998</v>
      </c>
      <c r="C822" s="13">
        <v>1.2200000000000001E-2</v>
      </c>
      <c r="D822" s="7">
        <v>140</v>
      </c>
      <c r="E822" s="7">
        <v>7.4999999999999997E-3</v>
      </c>
      <c r="F822" s="7">
        <v>806</v>
      </c>
      <c r="G822" s="8">
        <f t="shared" si="50"/>
        <v>2.1777991230645415E-11</v>
      </c>
      <c r="H822" s="9">
        <f t="shared" si="51"/>
        <v>6.5333973691949306E-13</v>
      </c>
      <c r="I822" s="10">
        <f>SUM($H$3:H822)</f>
        <v>0.91252469405510139</v>
      </c>
      <c r="J822" s="23">
        <v>7.4999999999999997E-3</v>
      </c>
      <c r="Q822" s="7">
        <f t="shared" si="49"/>
        <v>4.4835351972113253E-4</v>
      </c>
      <c r="R822" s="7">
        <f t="shared" si="48"/>
        <v>4.1028576804677389E-4</v>
      </c>
    </row>
    <row r="823" spans="1:18" x14ac:dyDescent="0.25">
      <c r="A823" s="22">
        <v>45776</v>
      </c>
      <c r="B823" s="12">
        <v>271.91000000000003</v>
      </c>
      <c r="C823" s="13">
        <v>0</v>
      </c>
      <c r="D823" s="7">
        <v>139</v>
      </c>
      <c r="E823" s="7">
        <v>7.4999999999999997E-3</v>
      </c>
      <c r="F823" s="7">
        <v>722</v>
      </c>
      <c r="G823" s="8">
        <f t="shared" si="50"/>
        <v>2.8131451446234401E-10</v>
      </c>
      <c r="H823" s="9">
        <f t="shared" si="51"/>
        <v>8.4394354338720065E-12</v>
      </c>
      <c r="I823" s="10">
        <f>SUM($H$3:H823)</f>
        <v>0.91252469406354086</v>
      </c>
      <c r="J823" s="23">
        <v>7.4999999999999997E-3</v>
      </c>
      <c r="Q823" s="7">
        <f t="shared" si="49"/>
        <v>4.6222012342384797E-4</v>
      </c>
      <c r="R823" s="7">
        <f t="shared" si="48"/>
        <v>4.2297501860492155E-4</v>
      </c>
    </row>
    <row r="824" spans="1:18" x14ac:dyDescent="0.25">
      <c r="A824" s="22">
        <v>45777</v>
      </c>
      <c r="B824" s="12">
        <v>271.99</v>
      </c>
      <c r="C824" s="13">
        <v>2.9999999999999997E-4</v>
      </c>
      <c r="D824" s="7">
        <v>138</v>
      </c>
      <c r="E824" s="7">
        <v>7.4999999999999997E-3</v>
      </c>
      <c r="F824" s="7">
        <v>521</v>
      </c>
      <c r="G824" s="8">
        <f t="shared" si="50"/>
        <v>1.2825477783271911E-7</v>
      </c>
      <c r="H824" s="9">
        <f t="shared" si="51"/>
        <v>3.8476433349823428E-9</v>
      </c>
      <c r="I824" s="10">
        <f>SUM($H$3:H824)</f>
        <v>0.91252469791118418</v>
      </c>
      <c r="J824" s="23">
        <v>7.4999999999999997E-3</v>
      </c>
      <c r="Q824" s="7">
        <f t="shared" si="49"/>
        <v>4.7651559115860612E-4</v>
      </c>
      <c r="R824" s="7">
        <f t="shared" si="48"/>
        <v>4.3605672021125927E-4</v>
      </c>
    </row>
    <row r="825" spans="1:18" x14ac:dyDescent="0.25">
      <c r="A825" s="22">
        <v>45779</v>
      </c>
      <c r="B825" s="12">
        <v>272.05</v>
      </c>
      <c r="C825" s="13">
        <v>2.0000000000000001E-4</v>
      </c>
      <c r="D825" s="7">
        <v>137</v>
      </c>
      <c r="E825" s="7">
        <v>7.7000000000000002E-3</v>
      </c>
      <c r="F825" s="7">
        <v>686</v>
      </c>
      <c r="G825" s="8">
        <f t="shared" si="50"/>
        <v>8.4218927523295261E-10</v>
      </c>
      <c r="H825" s="9">
        <f t="shared" si="51"/>
        <v>2.526567825699363E-11</v>
      </c>
      <c r="I825" s="10">
        <f>SUM($H$3:H825)</f>
        <v>0.91252469793644986</v>
      </c>
      <c r="J825" s="23">
        <v>7.7000000000000002E-3</v>
      </c>
      <c r="Q825" s="7">
        <f t="shared" si="49"/>
        <v>4.9125318676144971E-4</v>
      </c>
      <c r="R825" s="7">
        <f t="shared" si="48"/>
        <v>4.4954301052707151E-4</v>
      </c>
    </row>
    <row r="826" spans="1:18" x14ac:dyDescent="0.25">
      <c r="A826" s="22">
        <v>45782</v>
      </c>
      <c r="B826" s="12">
        <v>274.39</v>
      </c>
      <c r="C826" s="13">
        <v>8.6E-3</v>
      </c>
      <c r="D826" s="7">
        <v>136</v>
      </c>
      <c r="E826" s="7">
        <v>7.7000000000000002E-3</v>
      </c>
      <c r="F826" s="7">
        <v>522</v>
      </c>
      <c r="G826" s="8">
        <f t="shared" si="50"/>
        <v>1.2440713449773754E-7</v>
      </c>
      <c r="H826" s="9">
        <f t="shared" si="51"/>
        <v>3.7322140349328724E-9</v>
      </c>
      <c r="I826" s="10">
        <f>SUM($H$3:H826)</f>
        <v>0.91252470166866384</v>
      </c>
      <c r="J826" s="23">
        <v>7.7000000000000002E-3</v>
      </c>
      <c r="Q826" s="7">
        <f t="shared" si="49"/>
        <v>5.0644658429015437E-4</v>
      </c>
      <c r="R826" s="7">
        <f t="shared" si="48"/>
        <v>4.6344640260522841E-4</v>
      </c>
    </row>
    <row r="827" spans="1:18" x14ac:dyDescent="0.25">
      <c r="A827" s="22">
        <v>45783</v>
      </c>
      <c r="B827" s="12">
        <v>272.60000000000002</v>
      </c>
      <c r="C827" s="13">
        <v>-6.4999999999999997E-3</v>
      </c>
      <c r="D827" s="7">
        <v>135</v>
      </c>
      <c r="E827" s="7">
        <v>7.7000000000000002E-3</v>
      </c>
      <c r="F827" s="7">
        <v>53</v>
      </c>
      <c r="G827" s="8">
        <f t="shared" si="50"/>
        <v>0.19902238031444439</v>
      </c>
      <c r="H827" s="9">
        <f t="shared" si="51"/>
        <v>5.9706714094345248E-3</v>
      </c>
      <c r="I827" s="10">
        <f>SUM($H$3:H827)</f>
        <v>0.91849537307809836</v>
      </c>
      <c r="J827" s="23">
        <v>7.7000000000000002E-3</v>
      </c>
      <c r="Q827" s="7">
        <f t="shared" si="49"/>
        <v>5.2210988071149927E-4</v>
      </c>
      <c r="R827" s="7">
        <f t="shared" si="48"/>
        <v>4.777797965002354E-4</v>
      </c>
    </row>
    <row r="828" spans="1:18" x14ac:dyDescent="0.25">
      <c r="A828" s="22">
        <v>45784</v>
      </c>
      <c r="B828" s="12">
        <v>272.79000000000002</v>
      </c>
      <c r="C828" s="13">
        <v>6.9999999999999999E-4</v>
      </c>
      <c r="D828" s="7">
        <v>134</v>
      </c>
      <c r="E828" s="7">
        <v>7.7999999999999996E-3</v>
      </c>
      <c r="F828" s="7">
        <v>953</v>
      </c>
      <c r="G828" s="8">
        <f t="shared" si="50"/>
        <v>2.4743592558916674E-13</v>
      </c>
      <c r="H828" s="9">
        <f t="shared" si="51"/>
        <v>7.4230777676764855E-15</v>
      </c>
      <c r="I828" s="10">
        <f>SUM($H$3:H828)</f>
        <v>0.9184953730781058</v>
      </c>
      <c r="J828" s="23">
        <v>7.7999999999999996E-3</v>
      </c>
      <c r="Q828" s="7">
        <f t="shared" si="49"/>
        <v>5.3825760898092709E-4</v>
      </c>
      <c r="R828" s="7">
        <f t="shared" si="48"/>
        <v>4.9255649123735614E-4</v>
      </c>
    </row>
    <row r="829" spans="1:18" x14ac:dyDescent="0.25">
      <c r="A829" s="22">
        <v>45785</v>
      </c>
      <c r="B829" s="12">
        <v>271.04000000000002</v>
      </c>
      <c r="C829" s="13">
        <v>-6.4000000000000003E-3</v>
      </c>
      <c r="D829" s="7">
        <v>133</v>
      </c>
      <c r="E829" s="7">
        <v>7.7999999999999996E-3</v>
      </c>
      <c r="F829" s="7">
        <v>894</v>
      </c>
      <c r="G829" s="8">
        <f t="shared" si="50"/>
        <v>1.4925553105592107E-12</v>
      </c>
      <c r="H829" s="9">
        <f t="shared" si="51"/>
        <v>4.4776659316785273E-14</v>
      </c>
      <c r="I829" s="10">
        <f>SUM($H$3:H829)</f>
        <v>0.91849537307815055</v>
      </c>
      <c r="J829" s="23">
        <v>7.7999999999999996E-3</v>
      </c>
      <c r="Q829" s="7">
        <f t="shared" si="49"/>
        <v>5.5490475152672892E-4</v>
      </c>
      <c r="R829" s="7">
        <f t="shared" si="48"/>
        <v>5.0779019715191344E-4</v>
      </c>
    </row>
    <row r="830" spans="1:18" x14ac:dyDescent="0.25">
      <c r="A830" s="22">
        <v>45786</v>
      </c>
      <c r="B830" s="12">
        <v>268.49</v>
      </c>
      <c r="C830" s="13">
        <v>-9.4000000000000004E-3</v>
      </c>
      <c r="D830" s="7">
        <v>132</v>
      </c>
      <c r="E830" s="7">
        <v>7.7999999999999996E-3</v>
      </c>
      <c r="F830" s="7">
        <v>286</v>
      </c>
      <c r="G830" s="8">
        <f t="shared" si="50"/>
        <v>1.6470849547046604E-4</v>
      </c>
      <c r="H830" s="9">
        <f t="shared" si="51"/>
        <v>4.9412548641149688E-6</v>
      </c>
      <c r="I830" s="10">
        <f>SUM($H$3:H830)</f>
        <v>0.91850031433301471</v>
      </c>
      <c r="J830" s="23">
        <v>7.7999999999999996E-3</v>
      </c>
      <c r="Q830" s="7">
        <f t="shared" si="49"/>
        <v>5.7206675415126702E-4</v>
      </c>
      <c r="R830" s="7">
        <f t="shared" si="48"/>
        <v>5.2349504861022014E-4</v>
      </c>
    </row>
    <row r="831" spans="1:18" x14ac:dyDescent="0.25">
      <c r="A831" s="22">
        <v>45789</v>
      </c>
      <c r="B831" s="12">
        <v>278.94</v>
      </c>
      <c r="C831" s="13">
        <v>3.8899999999999997E-2</v>
      </c>
      <c r="D831" s="7">
        <v>131</v>
      </c>
      <c r="E831" s="7">
        <v>7.7999999999999996E-3</v>
      </c>
      <c r="F831" s="7">
        <v>66</v>
      </c>
      <c r="G831" s="8">
        <f t="shared" si="50"/>
        <v>0.13394745350085691</v>
      </c>
      <c r="H831" s="9">
        <f t="shared" si="51"/>
        <v>4.0184236050265099E-3</v>
      </c>
      <c r="I831" s="10">
        <f>SUM($H$3:H831)</f>
        <v>0.92251873793804118</v>
      </c>
      <c r="J831" s="23">
        <v>7.7999999999999996E-3</v>
      </c>
      <c r="Q831" s="7">
        <f t="shared" si="49"/>
        <v>5.8975954036213094E-4</v>
      </c>
      <c r="R831" s="7">
        <f t="shared" si="48"/>
        <v>5.3968561712393825E-4</v>
      </c>
    </row>
    <row r="832" spans="1:18" x14ac:dyDescent="0.25">
      <c r="A832" s="22">
        <v>45790</v>
      </c>
      <c r="B832" s="12">
        <v>275.64999999999998</v>
      </c>
      <c r="C832" s="13">
        <v>-1.18E-2</v>
      </c>
      <c r="D832" s="7">
        <v>130</v>
      </c>
      <c r="E832" s="7">
        <v>7.9000000000000008E-3</v>
      </c>
      <c r="F832" s="7">
        <v>580</v>
      </c>
      <c r="G832" s="8">
        <f t="shared" si="50"/>
        <v>2.1262086195239099E-8</v>
      </c>
      <c r="H832" s="9">
        <f t="shared" si="51"/>
        <v>6.3786258585730048E-10</v>
      </c>
      <c r="I832" s="10">
        <f>SUM($H$3:H832)</f>
        <v>0.92251873857590372</v>
      </c>
      <c r="J832" s="23">
        <v>7.9000000000000008E-3</v>
      </c>
      <c r="Q832" s="7">
        <f t="shared" si="49"/>
        <v>6.0799952614652676E-4</v>
      </c>
      <c r="R832" s="7">
        <f t="shared" si="48"/>
        <v>5.5637692487003952E-4</v>
      </c>
    </row>
    <row r="833" spans="1:18" x14ac:dyDescent="0.25">
      <c r="A833" s="22">
        <v>45791</v>
      </c>
      <c r="B833" s="12">
        <v>276.57</v>
      </c>
      <c r="C833" s="13">
        <v>3.3E-3</v>
      </c>
      <c r="D833" s="7">
        <v>129</v>
      </c>
      <c r="E833" s="7">
        <v>7.9000000000000008E-3</v>
      </c>
      <c r="F833" s="7">
        <v>506</v>
      </c>
      <c r="G833" s="8">
        <f t="shared" si="50"/>
        <v>2.0253381285797263E-7</v>
      </c>
      <c r="H833" s="9">
        <f t="shared" si="51"/>
        <v>6.0760143857403936E-9</v>
      </c>
      <c r="I833" s="10">
        <f>SUM($H$3:H833)</f>
        <v>0.92251874465191808</v>
      </c>
      <c r="J833" s="23">
        <v>7.9000000000000008E-3</v>
      </c>
      <c r="Q833" s="7">
        <f t="shared" si="49"/>
        <v>6.268036352026047E-4</v>
      </c>
      <c r="R833" s="7">
        <f t="shared" si="48"/>
        <v>5.7358445862890647E-4</v>
      </c>
    </row>
    <row r="834" spans="1:18" x14ac:dyDescent="0.25">
      <c r="A834" s="22">
        <v>45792</v>
      </c>
      <c r="B834" s="12">
        <v>280.17</v>
      </c>
      <c r="C834" s="13">
        <v>1.2999999999999999E-2</v>
      </c>
      <c r="D834" s="7">
        <v>128</v>
      </c>
      <c r="E834" s="7">
        <v>7.9000000000000008E-3</v>
      </c>
      <c r="F834" s="7">
        <v>429</v>
      </c>
      <c r="G834" s="8">
        <f t="shared" si="50"/>
        <v>2.1138491917236353E-6</v>
      </c>
      <c r="H834" s="9">
        <f t="shared" si="51"/>
        <v>6.3415475751721734E-8</v>
      </c>
      <c r="I834" s="10">
        <f>SUM($H$3:H834)</f>
        <v>0.92251880806739384</v>
      </c>
      <c r="J834" s="23">
        <v>7.9000000000000008E-3</v>
      </c>
      <c r="Q834" s="7">
        <f t="shared" si="49"/>
        <v>6.4618931464186056E-4</v>
      </c>
      <c r="R834" s="7">
        <f t="shared" ref="R834:R897" si="52">Q834/$U$2</f>
        <v>5.9132418415351194E-4</v>
      </c>
    </row>
    <row r="835" spans="1:18" x14ac:dyDescent="0.25">
      <c r="A835" s="22">
        <v>45793</v>
      </c>
      <c r="B835" s="12">
        <v>280.20999999999998</v>
      </c>
      <c r="C835" s="13">
        <v>1E-4</v>
      </c>
      <c r="D835" s="7">
        <v>127</v>
      </c>
      <c r="E835" s="7">
        <v>7.9000000000000008E-3</v>
      </c>
      <c r="F835" s="7">
        <v>155</v>
      </c>
      <c r="G835" s="8">
        <f t="shared" si="50"/>
        <v>8.9046901301870953E-3</v>
      </c>
      <c r="H835" s="9">
        <f t="shared" si="51"/>
        <v>2.6714070390566625E-4</v>
      </c>
      <c r="I835" s="10">
        <f>SUM($H$3:H835)</f>
        <v>0.92278594877129949</v>
      </c>
      <c r="J835" s="23">
        <v>7.9000000000000008E-3</v>
      </c>
      <c r="Q835" s="7">
        <f t="shared" ref="Q835:Q898" si="53">(1-$N$3) * $N$3^(D836-1)</f>
        <v>6.661745511771759E-4</v>
      </c>
      <c r="R835" s="7">
        <f t="shared" si="52"/>
        <v>6.0961256098300207E-4</v>
      </c>
    </row>
    <row r="836" spans="1:18" x14ac:dyDescent="0.25">
      <c r="A836" s="22">
        <v>45796</v>
      </c>
      <c r="B836" s="12">
        <v>279.20999999999998</v>
      </c>
      <c r="C836" s="13">
        <v>-3.5999999999999999E-3</v>
      </c>
      <c r="D836" s="7">
        <v>126</v>
      </c>
      <c r="E836" s="7">
        <v>7.9000000000000008E-3</v>
      </c>
      <c r="F836" s="7">
        <v>15</v>
      </c>
      <c r="G836" s="8">
        <f t="shared" ref="G836:G899" si="54">$N$3^F836</f>
        <v>0.63325118913678924</v>
      </c>
      <c r="H836" s="9">
        <f t="shared" si="51"/>
        <v>1.8997535674107474E-2</v>
      </c>
      <c r="I836" s="10">
        <f>SUM($H$3:H836)</f>
        <v>0.94178348444540694</v>
      </c>
      <c r="J836" s="23">
        <v>7.9000000000000008E-3</v>
      </c>
      <c r="Q836" s="7">
        <f t="shared" si="53"/>
        <v>6.8677788781152153E-4</v>
      </c>
      <c r="R836" s="7">
        <f t="shared" si="52"/>
        <v>6.2846655771443501E-4</v>
      </c>
    </row>
    <row r="837" spans="1:18" x14ac:dyDescent="0.25">
      <c r="A837" s="22">
        <v>45797</v>
      </c>
      <c r="B837" s="12">
        <v>276.89</v>
      </c>
      <c r="C837" s="13">
        <v>-8.3000000000000001E-3</v>
      </c>
      <c r="D837" s="7">
        <v>125</v>
      </c>
      <c r="E837" s="7">
        <v>8.0000000000000002E-3</v>
      </c>
      <c r="F837" s="7">
        <v>590</v>
      </c>
      <c r="G837" s="8">
        <f t="shared" si="54"/>
        <v>1.5679175348488896E-8</v>
      </c>
      <c r="H837" s="9">
        <f t="shared" ref="H837:H900" si="55">G837/$N$4</f>
        <v>4.7037526045476091E-10</v>
      </c>
      <c r="I837" s="10">
        <f>SUM($H$3:H837)</f>
        <v>0.94178348491578223</v>
      </c>
      <c r="J837" s="23">
        <v>8.0000000000000002E-3</v>
      </c>
      <c r="Q837" s="7">
        <f t="shared" si="53"/>
        <v>7.0801844104280572E-4</v>
      </c>
      <c r="R837" s="7">
        <f t="shared" si="52"/>
        <v>6.4790366774684026E-4</v>
      </c>
    </row>
    <row r="838" spans="1:18" x14ac:dyDescent="0.25">
      <c r="A838" s="22">
        <v>45798</v>
      </c>
      <c r="B838" s="12">
        <v>277.55</v>
      </c>
      <c r="C838" s="13">
        <v>2.3999999999999998E-3</v>
      </c>
      <c r="D838" s="7">
        <v>124</v>
      </c>
      <c r="E838" s="7">
        <v>8.0000000000000002E-3</v>
      </c>
      <c r="F838" s="7">
        <v>198</v>
      </c>
      <c r="G838" s="8">
        <f t="shared" si="54"/>
        <v>2.4032745350151697E-3</v>
      </c>
      <c r="H838" s="9">
        <f t="shared" si="55"/>
        <v>7.2098236050469508E-5</v>
      </c>
      <c r="I838" s="10">
        <f>SUM($H$3:H838)</f>
        <v>0.94185558315183271</v>
      </c>
      <c r="J838" s="23">
        <v>8.0000000000000002E-3</v>
      </c>
      <c r="Q838" s="7">
        <f t="shared" si="53"/>
        <v>7.2991591860083074E-4</v>
      </c>
      <c r="R838" s="7">
        <f t="shared" si="52"/>
        <v>6.6794192551220661E-4</v>
      </c>
    </row>
    <row r="839" spans="1:18" x14ac:dyDescent="0.25">
      <c r="A839" s="22">
        <v>45799</v>
      </c>
      <c r="B839" s="12">
        <v>275.91000000000003</v>
      </c>
      <c r="C839" s="13">
        <v>-5.8999999999999999E-3</v>
      </c>
      <c r="D839" s="7">
        <v>123</v>
      </c>
      <c r="E839" s="7">
        <v>8.0999999999999996E-3</v>
      </c>
      <c r="F839" s="7">
        <v>811</v>
      </c>
      <c r="G839" s="8">
        <f t="shared" si="54"/>
        <v>1.8701502081151428E-11</v>
      </c>
      <c r="H839" s="9">
        <f t="shared" si="55"/>
        <v>5.6104506243465495E-13</v>
      </c>
      <c r="I839" s="10">
        <f>SUM($H$3:H839)</f>
        <v>0.9418555831523937</v>
      </c>
      <c r="J839" s="23">
        <v>8.0999999999999996E-3</v>
      </c>
      <c r="Q839" s="7">
        <f t="shared" si="53"/>
        <v>7.524906377328151E-4</v>
      </c>
      <c r="R839" s="7">
        <f t="shared" si="52"/>
        <v>6.8859992320846033E-4</v>
      </c>
    </row>
    <row r="840" spans="1:18" x14ac:dyDescent="0.25">
      <c r="A840" s="22">
        <v>45800</v>
      </c>
      <c r="B840" s="12">
        <v>278.37</v>
      </c>
      <c r="C840" s="13">
        <v>8.8999999999999999E-3</v>
      </c>
      <c r="D840" s="7">
        <v>122</v>
      </c>
      <c r="E840" s="7">
        <v>8.0999999999999996E-3</v>
      </c>
      <c r="F840" s="7">
        <v>306</v>
      </c>
      <c r="G840" s="8">
        <f t="shared" si="54"/>
        <v>8.9567548068815204E-5</v>
      </c>
      <c r="H840" s="9">
        <f t="shared" si="55"/>
        <v>2.6870264420649931E-6</v>
      </c>
      <c r="I840" s="10">
        <f>SUM($H$3:H840)</f>
        <v>0.94185827017883572</v>
      </c>
      <c r="J840" s="23">
        <v>8.0999999999999996E-3</v>
      </c>
      <c r="Q840" s="7">
        <f t="shared" si="53"/>
        <v>7.7576354405444858E-4</v>
      </c>
      <c r="R840" s="7">
        <f t="shared" si="52"/>
        <v>7.0989682804995912E-4</v>
      </c>
    </row>
    <row r="841" spans="1:18" x14ac:dyDescent="0.25">
      <c r="A841" s="22">
        <v>45803</v>
      </c>
      <c r="B841" s="12">
        <v>279.89</v>
      </c>
      <c r="C841" s="13">
        <v>5.4999999999999997E-3</v>
      </c>
      <c r="D841" s="7">
        <v>121</v>
      </c>
      <c r="E841" s="7">
        <v>8.2000000000000007E-3</v>
      </c>
      <c r="F841" s="7">
        <v>833</v>
      </c>
      <c r="G841" s="8">
        <f t="shared" si="54"/>
        <v>9.5687375677375284E-12</v>
      </c>
      <c r="H841" s="9">
        <f t="shared" si="55"/>
        <v>2.8706212703218325E-13</v>
      </c>
      <c r="I841" s="10">
        <f>SUM($H$3:H841)</f>
        <v>0.94185827017912283</v>
      </c>
      <c r="J841" s="23">
        <v>8.2000000000000007E-3</v>
      </c>
      <c r="Q841" s="7">
        <f t="shared" si="53"/>
        <v>7.9975623098396762E-4</v>
      </c>
      <c r="R841" s="7">
        <f t="shared" si="52"/>
        <v>7.3185240005150425E-4</v>
      </c>
    </row>
    <row r="842" spans="1:18" x14ac:dyDescent="0.25">
      <c r="A842" s="22">
        <v>45804</v>
      </c>
      <c r="B842" s="12">
        <v>278.25</v>
      </c>
      <c r="C842" s="13">
        <v>-5.8999999999999999E-3</v>
      </c>
      <c r="D842" s="7">
        <v>120</v>
      </c>
      <c r="E842" s="7">
        <v>8.2000000000000007E-3</v>
      </c>
      <c r="F842" s="7">
        <v>484</v>
      </c>
      <c r="G842" s="8">
        <f t="shared" si="54"/>
        <v>3.9583973286483245E-7</v>
      </c>
      <c r="H842" s="9">
        <f t="shared" si="55"/>
        <v>1.1875191985947347E-8</v>
      </c>
      <c r="I842" s="10">
        <f>SUM($H$3:H842)</f>
        <v>0.94185828205431477</v>
      </c>
      <c r="J842" s="23">
        <v>8.2000000000000007E-3</v>
      </c>
      <c r="Q842" s="7">
        <f t="shared" si="53"/>
        <v>8.2449095977728617E-4</v>
      </c>
      <c r="R842" s="7">
        <f t="shared" si="52"/>
        <v>7.5448701036237543E-4</v>
      </c>
    </row>
    <row r="843" spans="1:18" x14ac:dyDescent="0.25">
      <c r="A843" s="22">
        <v>45805</v>
      </c>
      <c r="B843" s="12">
        <v>277.69</v>
      </c>
      <c r="C843" s="13">
        <v>-2E-3</v>
      </c>
      <c r="D843" s="7">
        <v>119</v>
      </c>
      <c r="E843" s="7">
        <v>8.2000000000000007E-3</v>
      </c>
      <c r="F843" s="7">
        <v>405</v>
      </c>
      <c r="G843" s="8">
        <f t="shared" si="54"/>
        <v>4.3908881849499916E-6</v>
      </c>
      <c r="H843" s="9">
        <f t="shared" si="55"/>
        <v>1.3172664554852608E-7</v>
      </c>
      <c r="I843" s="10">
        <f>SUM($H$3:H843)</f>
        <v>0.94185841378096036</v>
      </c>
      <c r="J843" s="23">
        <v>8.2000000000000007E-3</v>
      </c>
      <c r="Q843" s="7">
        <f t="shared" si="53"/>
        <v>8.4999068018276928E-4</v>
      </c>
      <c r="R843" s="7">
        <f t="shared" si="52"/>
        <v>7.7782166016739736E-4</v>
      </c>
    </row>
    <row r="844" spans="1:18" x14ac:dyDescent="0.25">
      <c r="A844" s="22">
        <v>45806</v>
      </c>
      <c r="B844" s="12">
        <v>278.54000000000002</v>
      </c>
      <c r="C844" s="13">
        <v>3.0999999999999999E-3</v>
      </c>
      <c r="D844" s="7">
        <v>118</v>
      </c>
      <c r="E844" s="7">
        <v>8.2000000000000007E-3</v>
      </c>
      <c r="F844" s="7">
        <v>240</v>
      </c>
      <c r="G844" s="8">
        <f t="shared" si="54"/>
        <v>6.6867675142657504E-4</v>
      </c>
      <c r="H844" s="9">
        <f t="shared" si="55"/>
        <v>2.0060302542801261E-5</v>
      </c>
      <c r="I844" s="10">
        <f>SUM($H$3:H844)</f>
        <v>0.94187847408350311</v>
      </c>
      <c r="J844" s="23">
        <v>8.2000000000000007E-3</v>
      </c>
      <c r="Q844" s="7">
        <f t="shared" si="53"/>
        <v>8.762790517348138E-4</v>
      </c>
      <c r="R844" s="7">
        <f t="shared" si="52"/>
        <v>8.0187800017257475E-4</v>
      </c>
    </row>
    <row r="845" spans="1:18" x14ac:dyDescent="0.25">
      <c r="A845" s="22">
        <v>45807</v>
      </c>
      <c r="B845" s="12">
        <v>277.97000000000003</v>
      </c>
      <c r="C845" s="13">
        <v>-2E-3</v>
      </c>
      <c r="D845" s="7">
        <v>117</v>
      </c>
      <c r="E845" s="7">
        <v>8.3000000000000001E-3</v>
      </c>
      <c r="F845" s="7">
        <v>863</v>
      </c>
      <c r="G845" s="8">
        <f t="shared" si="54"/>
        <v>3.8371314016972097E-12</v>
      </c>
      <c r="H845" s="9">
        <f t="shared" si="55"/>
        <v>1.151139420509393E-13</v>
      </c>
      <c r="I845" s="10">
        <f>SUM($H$3:H845)</f>
        <v>0.94187847408361824</v>
      </c>
      <c r="J845" s="23">
        <v>8.3000000000000001E-3</v>
      </c>
      <c r="Q845" s="7">
        <f t="shared" si="53"/>
        <v>9.0338046570599359E-4</v>
      </c>
      <c r="R845" s="7">
        <f t="shared" si="52"/>
        <v>8.2667835069337599E-4</v>
      </c>
    </row>
    <row r="846" spans="1:18" x14ac:dyDescent="0.25">
      <c r="A846" s="22">
        <v>45810</v>
      </c>
      <c r="B846" s="12">
        <v>277.60000000000002</v>
      </c>
      <c r="C846" s="13">
        <v>-1.2999999999999999E-3</v>
      </c>
      <c r="D846" s="7">
        <v>116</v>
      </c>
      <c r="E846" s="7">
        <v>8.3000000000000001E-3</v>
      </c>
      <c r="F846" s="7">
        <v>671</v>
      </c>
      <c r="G846" s="8">
        <f t="shared" si="54"/>
        <v>1.3299450355252792E-9</v>
      </c>
      <c r="H846" s="9">
        <f t="shared" si="55"/>
        <v>3.9898351065766349E-11</v>
      </c>
      <c r="I846" s="10">
        <f>SUM($H$3:H846)</f>
        <v>0.94187847412351655</v>
      </c>
      <c r="J846" s="23">
        <v>8.3000000000000001E-3</v>
      </c>
      <c r="Q846" s="7">
        <f t="shared" si="53"/>
        <v>9.3132006773813771E-4</v>
      </c>
      <c r="R846" s="7">
        <f t="shared" si="52"/>
        <v>8.5224572236430516E-4</v>
      </c>
    </row>
    <row r="847" spans="1:18" x14ac:dyDescent="0.25">
      <c r="A847" s="22">
        <v>45811</v>
      </c>
      <c r="B847" s="12">
        <v>275.77</v>
      </c>
      <c r="C847" s="13">
        <v>-6.6E-3</v>
      </c>
      <c r="D847" s="7">
        <v>115</v>
      </c>
      <c r="E847" s="7">
        <v>8.3000000000000001E-3</v>
      </c>
      <c r="F847" s="7">
        <v>592</v>
      </c>
      <c r="G847" s="8">
        <f t="shared" si="54"/>
        <v>1.4752536085393202E-8</v>
      </c>
      <c r="H847" s="9">
        <f t="shared" si="55"/>
        <v>4.4257608256188454E-10</v>
      </c>
      <c r="I847" s="10">
        <f>SUM($H$3:H847)</f>
        <v>0.94187847456609264</v>
      </c>
      <c r="J847" s="23">
        <v>8.3000000000000001E-3</v>
      </c>
      <c r="Q847" s="7">
        <f t="shared" si="53"/>
        <v>9.6012378117333794E-4</v>
      </c>
      <c r="R847" s="7">
        <f t="shared" si="52"/>
        <v>8.7860383748897448E-4</v>
      </c>
    </row>
    <row r="848" spans="1:18" x14ac:dyDescent="0.25">
      <c r="A848" s="22">
        <v>45812</v>
      </c>
      <c r="B848" s="12">
        <v>276.45999999999998</v>
      </c>
      <c r="C848" s="13">
        <v>2.5000000000000001E-3</v>
      </c>
      <c r="D848" s="7">
        <v>114</v>
      </c>
      <c r="E848" s="7">
        <v>8.3999999999999995E-3</v>
      </c>
      <c r="F848" s="7">
        <v>469</v>
      </c>
      <c r="G848" s="8">
        <f t="shared" si="54"/>
        <v>6.2509117970140388E-7</v>
      </c>
      <c r="H848" s="9">
        <f t="shared" si="55"/>
        <v>1.8752735391045863E-8</v>
      </c>
      <c r="I848" s="10">
        <f>SUM($H$3:H848)</f>
        <v>0.941878493318828</v>
      </c>
      <c r="J848" s="23">
        <v>8.3999999999999995E-3</v>
      </c>
      <c r="Q848" s="7">
        <f t="shared" si="53"/>
        <v>9.8981833110653407E-4</v>
      </c>
      <c r="R848" s="7">
        <f t="shared" si="52"/>
        <v>9.0577715205048925E-4</v>
      </c>
    </row>
    <row r="849" spans="1:18" x14ac:dyDescent="0.25">
      <c r="A849" s="22">
        <v>45813</v>
      </c>
      <c r="B849" s="12">
        <v>278.05</v>
      </c>
      <c r="C849" s="13">
        <v>5.7999999999999996E-3</v>
      </c>
      <c r="D849" s="7">
        <v>113</v>
      </c>
      <c r="E849" s="7">
        <v>8.3999999999999995E-3</v>
      </c>
      <c r="F849" s="7">
        <v>316</v>
      </c>
      <c r="G849" s="8">
        <f t="shared" si="54"/>
        <v>6.6049270932765552E-5</v>
      </c>
      <c r="H849" s="9">
        <f t="shared" si="55"/>
        <v>1.9814781279833624E-6</v>
      </c>
      <c r="I849" s="10">
        <f>SUM($H$3:H849)</f>
        <v>0.94188047479695602</v>
      </c>
      <c r="J849" s="23">
        <v>8.3999999999999995E-3</v>
      </c>
      <c r="Q849" s="7">
        <f t="shared" si="53"/>
        <v>1.0204312691819938E-3</v>
      </c>
      <c r="R849" s="7">
        <f t="shared" si="52"/>
        <v>9.3379087840256617E-4</v>
      </c>
    </row>
    <row r="850" spans="1:18" x14ac:dyDescent="0.25">
      <c r="A850" s="22">
        <v>45814</v>
      </c>
      <c r="B850" s="12">
        <v>280.5</v>
      </c>
      <c r="C850" s="13">
        <v>8.8000000000000005E-3</v>
      </c>
      <c r="D850" s="7">
        <v>112</v>
      </c>
      <c r="E850" s="7">
        <v>8.3999999999999995E-3</v>
      </c>
      <c r="F850" s="7">
        <v>22</v>
      </c>
      <c r="G850" s="8">
        <f t="shared" si="54"/>
        <v>0.51165609725977634</v>
      </c>
      <c r="H850" s="9">
        <f t="shared" si="55"/>
        <v>1.5349682917796358E-2</v>
      </c>
      <c r="I850" s="10">
        <f>SUM($H$3:H850)</f>
        <v>0.95723015771475239</v>
      </c>
      <c r="J850" s="23">
        <v>8.3999999999999995E-3</v>
      </c>
      <c r="Q850" s="7">
        <f t="shared" si="53"/>
        <v>1.0519909991566945E-3</v>
      </c>
      <c r="R850" s="7">
        <f t="shared" si="52"/>
        <v>9.6267100866243916E-4</v>
      </c>
    </row>
    <row r="851" spans="1:18" x14ac:dyDescent="0.25">
      <c r="A851" s="22">
        <v>45817</v>
      </c>
      <c r="B851" s="12">
        <v>281.35000000000002</v>
      </c>
      <c r="C851" s="13">
        <v>3.0000000000000001E-3</v>
      </c>
      <c r="D851" s="7">
        <v>111</v>
      </c>
      <c r="E851" s="7">
        <v>8.5000000000000006E-3</v>
      </c>
      <c r="F851" s="7">
        <v>899</v>
      </c>
      <c r="G851" s="8">
        <f t="shared" si="54"/>
        <v>1.281708030416425E-12</v>
      </c>
      <c r="H851" s="9">
        <f t="shared" si="55"/>
        <v>3.8451240912500432E-14</v>
      </c>
      <c r="I851" s="10">
        <f>SUM($H$3:H851)</f>
        <v>0.95723015771479081</v>
      </c>
      <c r="J851" s="23">
        <v>8.5000000000000006E-3</v>
      </c>
      <c r="Q851" s="7">
        <f t="shared" si="53"/>
        <v>1.0845268032543243E-3</v>
      </c>
      <c r="R851" s="7">
        <f t="shared" si="52"/>
        <v>9.9244433882725693E-4</v>
      </c>
    </row>
    <row r="852" spans="1:18" x14ac:dyDescent="0.25">
      <c r="A852" s="22">
        <v>45818</v>
      </c>
      <c r="B852" s="12">
        <v>281.39</v>
      </c>
      <c r="C852" s="13">
        <v>1E-4</v>
      </c>
      <c r="D852" s="7">
        <v>110</v>
      </c>
      <c r="E852" s="7">
        <v>8.5000000000000006E-3</v>
      </c>
      <c r="F852" s="7">
        <v>842</v>
      </c>
      <c r="G852" s="8">
        <f t="shared" si="54"/>
        <v>7.2744514911088097E-12</v>
      </c>
      <c r="H852" s="9">
        <f t="shared" si="55"/>
        <v>2.1823354473330792E-13</v>
      </c>
      <c r="I852" s="10">
        <f>SUM($H$3:H852)</f>
        <v>0.95723015771500908</v>
      </c>
      <c r="J852" s="23">
        <v>8.5000000000000006E-3</v>
      </c>
      <c r="Q852" s="7">
        <f t="shared" si="53"/>
        <v>1.118068869334355E-3</v>
      </c>
      <c r="R852" s="7">
        <f t="shared" si="52"/>
        <v>1.0231384936363473E-3</v>
      </c>
    </row>
    <row r="853" spans="1:18" x14ac:dyDescent="0.25">
      <c r="A853" s="22">
        <v>45819</v>
      </c>
      <c r="B853" s="12">
        <v>281.87</v>
      </c>
      <c r="C853" s="13">
        <v>1.6999999999999999E-3</v>
      </c>
      <c r="D853" s="7">
        <v>109</v>
      </c>
      <c r="E853" s="7">
        <v>8.5000000000000006E-3</v>
      </c>
      <c r="F853" s="7">
        <v>841</v>
      </c>
      <c r="G853" s="8">
        <f t="shared" si="54"/>
        <v>7.499434526916297E-12</v>
      </c>
      <c r="H853" s="9">
        <f t="shared" si="55"/>
        <v>2.2498303580753387E-13</v>
      </c>
      <c r="I853" s="10">
        <f>SUM($H$3:H853)</f>
        <v>0.95723015771523401</v>
      </c>
      <c r="J853" s="23">
        <v>8.5000000000000006E-3</v>
      </c>
      <c r="Q853" s="7">
        <f t="shared" si="53"/>
        <v>1.1526483189013969E-3</v>
      </c>
      <c r="R853" s="7">
        <f t="shared" si="52"/>
        <v>1.0547819522024201E-3</v>
      </c>
    </row>
    <row r="854" spans="1:18" x14ac:dyDescent="0.25">
      <c r="A854" s="22">
        <v>45820</v>
      </c>
      <c r="B854" s="12">
        <v>278.95</v>
      </c>
      <c r="C854" s="13">
        <v>-1.04E-2</v>
      </c>
      <c r="D854" s="7">
        <v>108</v>
      </c>
      <c r="E854" s="7">
        <v>8.5000000000000006E-3</v>
      </c>
      <c r="F854" s="7">
        <v>791</v>
      </c>
      <c r="G854" s="8">
        <f t="shared" si="54"/>
        <v>3.4390762471890323E-11</v>
      </c>
      <c r="H854" s="9">
        <f t="shared" si="55"/>
        <v>1.031722874156916E-12</v>
      </c>
      <c r="I854" s="10">
        <f>SUM($H$3:H854)</f>
        <v>0.95723015771626574</v>
      </c>
      <c r="J854" s="23">
        <v>8.5000000000000006E-3</v>
      </c>
      <c r="Q854" s="7">
        <f t="shared" si="53"/>
        <v>1.1882972359808215E-3</v>
      </c>
      <c r="R854" s="7">
        <f t="shared" si="52"/>
        <v>1.0874040744354846E-3</v>
      </c>
    </row>
    <row r="855" spans="1:18" x14ac:dyDescent="0.25">
      <c r="A855" s="22">
        <v>45821</v>
      </c>
      <c r="B855" s="12">
        <v>277.10000000000002</v>
      </c>
      <c r="C855" s="13">
        <v>-6.6E-3</v>
      </c>
      <c r="D855" s="7">
        <v>107</v>
      </c>
      <c r="E855" s="7">
        <v>8.6E-3</v>
      </c>
      <c r="F855" s="7">
        <v>760</v>
      </c>
      <c r="G855" s="8">
        <f t="shared" si="54"/>
        <v>8.841338989290693E-11</v>
      </c>
      <c r="H855" s="9">
        <f t="shared" si="55"/>
        <v>2.6524016967877379E-12</v>
      </c>
      <c r="I855" s="10">
        <f>SUM($H$3:H855)</f>
        <v>0.95723015771891817</v>
      </c>
      <c r="J855" s="23">
        <v>8.6E-3</v>
      </c>
      <c r="Q855" s="7">
        <f t="shared" si="53"/>
        <v>1.225048696887445E-3</v>
      </c>
      <c r="R855" s="7">
        <f t="shared" si="52"/>
        <v>1.1210351282840048E-3</v>
      </c>
    </row>
    <row r="856" spans="1:18" x14ac:dyDescent="0.25">
      <c r="A856" s="22">
        <v>45824</v>
      </c>
      <c r="B856" s="12">
        <v>279.7</v>
      </c>
      <c r="C856" s="13">
        <v>9.4000000000000004E-3</v>
      </c>
      <c r="D856" s="7">
        <v>106</v>
      </c>
      <c r="E856" s="7">
        <v>8.6E-3</v>
      </c>
      <c r="F856" s="7">
        <v>649</v>
      </c>
      <c r="G856" s="8">
        <f t="shared" si="54"/>
        <v>2.5992948049440406E-9</v>
      </c>
      <c r="H856" s="9">
        <f t="shared" si="55"/>
        <v>7.7978844148336803E-11</v>
      </c>
      <c r="I856" s="10">
        <f>SUM($H$3:H856)</f>
        <v>0.95723015779689702</v>
      </c>
      <c r="J856" s="23">
        <v>8.6E-3</v>
      </c>
      <c r="Q856" s="7">
        <f t="shared" si="53"/>
        <v>1.2629368009148918E-3</v>
      </c>
      <c r="R856" s="7">
        <f t="shared" si="52"/>
        <v>1.1557063178185617E-3</v>
      </c>
    </row>
    <row r="857" spans="1:18" x14ac:dyDescent="0.25">
      <c r="A857" s="22">
        <v>45825</v>
      </c>
      <c r="B857" s="12">
        <v>278.58999999999997</v>
      </c>
      <c r="C857" s="13">
        <v>-4.0000000000000001E-3</v>
      </c>
      <c r="D857" s="7">
        <v>105</v>
      </c>
      <c r="E857" s="7">
        <v>8.6E-3</v>
      </c>
      <c r="F857" s="7">
        <v>256</v>
      </c>
      <c r="G857" s="8">
        <f t="shared" si="54"/>
        <v>4.1073713754933379E-4</v>
      </c>
      <c r="H857" s="9">
        <f t="shared" si="55"/>
        <v>1.2322114126482477E-5</v>
      </c>
      <c r="I857" s="10">
        <f>SUM($H$3:H857)</f>
        <v>0.95724247991102351</v>
      </c>
      <c r="J857" s="23">
        <v>8.6E-3</v>
      </c>
      <c r="Q857" s="7">
        <f t="shared" si="53"/>
        <v>1.3019967019741153E-3</v>
      </c>
      <c r="R857" s="7">
        <f t="shared" si="52"/>
        <v>1.1914498121840843E-3</v>
      </c>
    </row>
    <row r="858" spans="1:18" x14ac:dyDescent="0.25">
      <c r="A858" s="22">
        <v>45826</v>
      </c>
      <c r="B858" s="12">
        <v>278.24</v>
      </c>
      <c r="C858" s="13">
        <v>-1.2999999999999999E-3</v>
      </c>
      <c r="D858" s="7">
        <v>104</v>
      </c>
      <c r="E858" s="7">
        <v>8.6E-3</v>
      </c>
      <c r="F858" s="7">
        <v>136</v>
      </c>
      <c r="G858" s="8">
        <f t="shared" si="54"/>
        <v>1.588385303862019E-2</v>
      </c>
      <c r="H858" s="9">
        <f t="shared" si="55"/>
        <v>4.7651559115870093E-4</v>
      </c>
      <c r="I858" s="10">
        <f>SUM($H$3:H858)</f>
        <v>0.9577189955021822</v>
      </c>
      <c r="J858" s="23">
        <v>8.6E-3</v>
      </c>
      <c r="Q858" s="7">
        <f t="shared" si="53"/>
        <v>1.3422646412104282E-3</v>
      </c>
      <c r="R858" s="7">
        <f t="shared" si="52"/>
        <v>1.2282987754475097E-3</v>
      </c>
    </row>
    <row r="859" spans="1:18" x14ac:dyDescent="0.25">
      <c r="A859" s="22">
        <v>45827</v>
      </c>
      <c r="B859" s="12">
        <v>277.91000000000003</v>
      </c>
      <c r="C859" s="13">
        <v>-1.1999999999999999E-3</v>
      </c>
      <c r="D859" s="7">
        <v>103</v>
      </c>
      <c r="E859" s="7">
        <v>8.6999999999999994E-3</v>
      </c>
      <c r="F859" s="7">
        <v>862</v>
      </c>
      <c r="G859" s="8">
        <f t="shared" si="54"/>
        <v>3.9558055687600101E-12</v>
      </c>
      <c r="H859" s="9">
        <f t="shared" si="55"/>
        <v>1.1867416706282403E-13</v>
      </c>
      <c r="I859" s="10">
        <f>SUM($H$3:H859)</f>
        <v>0.95771899550230088</v>
      </c>
      <c r="J859" s="23">
        <v>8.6999999999999994E-3</v>
      </c>
      <c r="Q859" s="7">
        <f t="shared" si="53"/>
        <v>1.3837779806293072E-3</v>
      </c>
      <c r="R859" s="7">
        <f t="shared" si="52"/>
        <v>1.2662873973685665E-3</v>
      </c>
    </row>
    <row r="860" spans="1:18" x14ac:dyDescent="0.25">
      <c r="A860" s="22">
        <v>45828</v>
      </c>
      <c r="B860" s="12">
        <v>281.5</v>
      </c>
      <c r="C860" s="13">
        <v>1.29E-2</v>
      </c>
      <c r="D860" s="7">
        <v>102</v>
      </c>
      <c r="E860" s="7">
        <v>8.6999999999999994E-3</v>
      </c>
      <c r="F860" s="7">
        <v>755</v>
      </c>
      <c r="G860" s="8">
        <f t="shared" si="54"/>
        <v>1.0295782774047698E-10</v>
      </c>
      <c r="H860" s="9">
        <f t="shared" si="55"/>
        <v>3.0887348322149269E-12</v>
      </c>
      <c r="I860" s="10">
        <f>SUM($H$3:H860)</f>
        <v>0.95771899550538964</v>
      </c>
      <c r="J860" s="23">
        <v>8.6999999999999994E-3</v>
      </c>
      <c r="Q860" s="7">
        <f t="shared" si="53"/>
        <v>1.4265752377621724E-3</v>
      </c>
      <c r="R860" s="7">
        <f t="shared" si="52"/>
        <v>1.3054509251222335E-3</v>
      </c>
    </row>
    <row r="861" spans="1:18" x14ac:dyDescent="0.25">
      <c r="A861" s="22">
        <v>45831</v>
      </c>
      <c r="B861" s="12">
        <v>280.86</v>
      </c>
      <c r="C861" s="13">
        <v>-2.3E-3</v>
      </c>
      <c r="D861" s="7">
        <v>101</v>
      </c>
      <c r="E861" s="7">
        <v>8.6999999999999994E-3</v>
      </c>
      <c r="F861" s="7">
        <v>386</v>
      </c>
      <c r="G861" s="8">
        <f t="shared" si="54"/>
        <v>7.8323020362409891E-6</v>
      </c>
      <c r="H861" s="9">
        <f t="shared" si="55"/>
        <v>2.3496906108727663E-7</v>
      </c>
      <c r="I861" s="10">
        <f>SUM($H$3:H861)</f>
        <v>0.95771923047445073</v>
      </c>
      <c r="J861" s="23">
        <v>8.6999999999999994E-3</v>
      </c>
      <c r="Q861" s="7">
        <f t="shared" si="53"/>
        <v>1.4706961214043016E-3</v>
      </c>
      <c r="R861" s="7">
        <f t="shared" si="52"/>
        <v>1.3458256960023026E-3</v>
      </c>
    </row>
    <row r="862" spans="1:18" x14ac:dyDescent="0.25">
      <c r="A862" s="22">
        <v>45832</v>
      </c>
      <c r="B862" s="12">
        <v>281.43</v>
      </c>
      <c r="C862" s="13">
        <v>2E-3</v>
      </c>
      <c r="D862" s="7">
        <v>100</v>
      </c>
      <c r="E862" s="7">
        <v>8.8000000000000005E-3</v>
      </c>
      <c r="F862" s="7">
        <v>882</v>
      </c>
      <c r="G862" s="8">
        <f t="shared" si="54"/>
        <v>2.1511446900098174E-12</v>
      </c>
      <c r="H862" s="9">
        <f t="shared" si="55"/>
        <v>6.4534340700307424E-14</v>
      </c>
      <c r="I862" s="10">
        <f>SUM($H$3:H862)</f>
        <v>0.95771923047451524</v>
      </c>
      <c r="J862" s="23">
        <v>8.8000000000000005E-3</v>
      </c>
      <c r="Q862" s="7">
        <f t="shared" si="53"/>
        <v>1.5161815684580427E-3</v>
      </c>
      <c r="R862" s="7">
        <f t="shared" si="52"/>
        <v>1.3874491711363944E-3</v>
      </c>
    </row>
    <row r="863" spans="1:18" x14ac:dyDescent="0.25">
      <c r="A863" s="22">
        <v>45833</v>
      </c>
      <c r="B863" s="12">
        <v>283.41000000000003</v>
      </c>
      <c r="C863" s="13">
        <v>7.0000000000000001E-3</v>
      </c>
      <c r="D863" s="7">
        <v>99</v>
      </c>
      <c r="E863" s="7">
        <v>8.8000000000000005E-3</v>
      </c>
      <c r="F863" s="7">
        <v>783</v>
      </c>
      <c r="G863" s="8">
        <f t="shared" si="54"/>
        <v>4.3880132517568363E-11</v>
      </c>
      <c r="H863" s="9">
        <f t="shared" si="55"/>
        <v>1.3164039755273141E-12</v>
      </c>
      <c r="I863" s="10">
        <f>SUM($H$3:H863)</f>
        <v>0.95771923047583163</v>
      </c>
      <c r="J863" s="23">
        <v>8.8000000000000005E-3</v>
      </c>
      <c r="Q863" s="7">
        <f t="shared" si="53"/>
        <v>1.5630737819155081E-3</v>
      </c>
      <c r="R863" s="7">
        <f t="shared" si="52"/>
        <v>1.4303599702437057E-3</v>
      </c>
    </row>
    <row r="864" spans="1:18" x14ac:dyDescent="0.25">
      <c r="A864" s="22">
        <v>45834</v>
      </c>
      <c r="B864" s="12">
        <v>286.39</v>
      </c>
      <c r="C864" s="13">
        <v>1.0500000000000001E-2</v>
      </c>
      <c r="D864" s="7">
        <v>98</v>
      </c>
      <c r="E864" s="7">
        <v>8.8000000000000005E-3</v>
      </c>
      <c r="F864" s="7">
        <v>510</v>
      </c>
      <c r="G864" s="8">
        <f t="shared" si="54"/>
        <v>1.7930172830504869E-7</v>
      </c>
      <c r="H864" s="9">
        <f t="shared" si="55"/>
        <v>5.3790518491525358E-9</v>
      </c>
      <c r="I864" s="10">
        <f>SUM($H$3:H864)</f>
        <v>0.9577192358548835</v>
      </c>
      <c r="J864" s="23">
        <v>8.8000000000000005E-3</v>
      </c>
      <c r="Q864" s="7">
        <f t="shared" si="53"/>
        <v>1.6114162700159879E-3</v>
      </c>
      <c r="R864" s="7">
        <f t="shared" si="52"/>
        <v>1.4745979074677379E-3</v>
      </c>
    </row>
    <row r="865" spans="1:18" x14ac:dyDescent="0.25">
      <c r="A865" s="22">
        <v>45835</v>
      </c>
      <c r="B865" s="12">
        <v>287.95999999999998</v>
      </c>
      <c r="C865" s="13">
        <v>5.4999999999999997E-3</v>
      </c>
      <c r="D865" s="7">
        <v>97</v>
      </c>
      <c r="E865" s="7">
        <v>8.8000000000000005E-3</v>
      </c>
      <c r="F865" s="7">
        <v>504</v>
      </c>
      <c r="G865" s="8">
        <f t="shared" si="54"/>
        <v>2.1525540743753068E-7</v>
      </c>
      <c r="H865" s="9">
        <f t="shared" si="55"/>
        <v>6.4576622231272111E-9</v>
      </c>
      <c r="I865" s="10">
        <f>SUM($H$3:H865)</f>
        <v>0.95771924231254568</v>
      </c>
      <c r="J865" s="23">
        <v>8.8000000000000005E-3</v>
      </c>
      <c r="Q865" s="7">
        <f t="shared" si="53"/>
        <v>1.66125388661442E-3</v>
      </c>
      <c r="R865" s="7">
        <f t="shared" si="52"/>
        <v>1.5202040283172551E-3</v>
      </c>
    </row>
    <row r="866" spans="1:18" x14ac:dyDescent="0.25">
      <c r="A866" s="22">
        <v>45838</v>
      </c>
      <c r="B866" s="12">
        <v>286.51</v>
      </c>
      <c r="C866" s="13">
        <v>-5.0000000000000001E-3</v>
      </c>
      <c r="D866" s="7">
        <v>96</v>
      </c>
      <c r="E866" s="7">
        <v>8.8000000000000005E-3</v>
      </c>
      <c r="F866" s="7">
        <v>112</v>
      </c>
      <c r="G866" s="8">
        <f t="shared" si="54"/>
        <v>3.299394437021777E-2</v>
      </c>
      <c r="H866" s="9">
        <f t="shared" si="55"/>
        <v>9.8981833110673096E-4</v>
      </c>
      <c r="I866" s="10">
        <f>SUM($H$3:H866)</f>
        <v>0.95870906064365247</v>
      </c>
      <c r="J866" s="23">
        <v>8.8000000000000005E-3</v>
      </c>
      <c r="Q866" s="7">
        <f t="shared" si="53"/>
        <v>1.7126328727983713E-3</v>
      </c>
      <c r="R866" s="7">
        <f t="shared" si="52"/>
        <v>1.5672206477497477E-3</v>
      </c>
    </row>
    <row r="867" spans="1:18" x14ac:dyDescent="0.25">
      <c r="A867" s="22">
        <v>45839</v>
      </c>
      <c r="B867" s="12">
        <v>286.83999999999997</v>
      </c>
      <c r="C867" s="13">
        <v>1.1999999999999999E-3</v>
      </c>
      <c r="D867" s="7">
        <v>95</v>
      </c>
      <c r="E867" s="7">
        <v>8.8999999999999999E-3</v>
      </c>
      <c r="F867" s="7">
        <v>631</v>
      </c>
      <c r="G867" s="8">
        <f t="shared" si="54"/>
        <v>4.4974290626287318E-9</v>
      </c>
      <c r="H867" s="9">
        <f t="shared" si="55"/>
        <v>1.3492287187888893E-10</v>
      </c>
      <c r="I867" s="10">
        <f>SUM($H$3:H867)</f>
        <v>0.95870906077857532</v>
      </c>
      <c r="J867" s="23">
        <v>8.8999999999999999E-3</v>
      </c>
      <c r="Q867" s="7">
        <f t="shared" si="53"/>
        <v>1.7656008997921355E-3</v>
      </c>
      <c r="R867" s="7">
        <f t="shared" si="52"/>
        <v>1.6156913894327298E-3</v>
      </c>
    </row>
    <row r="868" spans="1:18" x14ac:dyDescent="0.25">
      <c r="A868" s="22">
        <v>45840</v>
      </c>
      <c r="B868" s="12">
        <v>285.77999999999997</v>
      </c>
      <c r="C868" s="13">
        <v>-3.7000000000000002E-3</v>
      </c>
      <c r="D868" s="7">
        <v>94</v>
      </c>
      <c r="E868" s="7">
        <v>8.8999999999999999E-3</v>
      </c>
      <c r="F868" s="7">
        <v>445</v>
      </c>
      <c r="G868" s="8">
        <f t="shared" si="54"/>
        <v>1.2984395888853878E-6</v>
      </c>
      <c r="H868" s="9">
        <f t="shared" si="55"/>
        <v>3.8953187666569423E-8</v>
      </c>
      <c r="I868" s="10">
        <f>SUM($H$3:H868)</f>
        <v>0.95870909973176299</v>
      </c>
      <c r="J868" s="23">
        <v>8.8999999999999999E-3</v>
      </c>
      <c r="Q868" s="7">
        <f t="shared" si="53"/>
        <v>1.8202071131877685E-3</v>
      </c>
      <c r="R868" s="7">
        <f t="shared" si="52"/>
        <v>1.665661226219309E-3</v>
      </c>
    </row>
    <row r="869" spans="1:18" x14ac:dyDescent="0.25">
      <c r="A869" s="22">
        <v>45841</v>
      </c>
      <c r="B869" s="12">
        <v>285.39</v>
      </c>
      <c r="C869" s="13">
        <v>-1.4E-3</v>
      </c>
      <c r="D869" s="7">
        <v>93</v>
      </c>
      <c r="E869" s="7">
        <v>8.8999999999999999E-3</v>
      </c>
      <c r="F869" s="7">
        <v>122</v>
      </c>
      <c r="G869" s="8">
        <f t="shared" si="54"/>
        <v>2.4330530620027671E-2</v>
      </c>
      <c r="H869" s="9">
        <f t="shared" si="55"/>
        <v>7.2991591860097603E-4</v>
      </c>
      <c r="I869" s="10">
        <f>SUM($H$3:H869)</f>
        <v>0.95943901565036394</v>
      </c>
      <c r="J869" s="23">
        <v>8.8999999999999999E-3</v>
      </c>
      <c r="Q869" s="7">
        <f t="shared" si="53"/>
        <v>1.8765021785440916E-3</v>
      </c>
      <c r="R869" s="7">
        <f t="shared" si="52"/>
        <v>1.7171765218755766E-3</v>
      </c>
    </row>
    <row r="870" spans="1:18" x14ac:dyDescent="0.25">
      <c r="A870" s="22">
        <v>45842</v>
      </c>
      <c r="B870" s="12">
        <v>286.11</v>
      </c>
      <c r="C870" s="13">
        <v>2.5000000000000001E-3</v>
      </c>
      <c r="D870" s="7">
        <v>92</v>
      </c>
      <c r="E870" s="7">
        <v>8.9999999999999993E-3</v>
      </c>
      <c r="F870" s="7">
        <v>901</v>
      </c>
      <c r="G870" s="8">
        <f t="shared" si="54"/>
        <v>1.2059590858188141E-12</v>
      </c>
      <c r="H870" s="9">
        <f t="shared" si="55"/>
        <v>3.6178772574571653E-14</v>
      </c>
      <c r="I870" s="10">
        <f>SUM($H$3:H870)</f>
        <v>0.95943901565040013</v>
      </c>
      <c r="J870" s="23">
        <v>8.9999999999999993E-3</v>
      </c>
      <c r="Q870" s="7">
        <f t="shared" si="53"/>
        <v>1.9345383283959705E-3</v>
      </c>
      <c r="R870" s="7">
        <f t="shared" si="52"/>
        <v>1.7702850740985323E-3</v>
      </c>
    </row>
    <row r="871" spans="1:18" x14ac:dyDescent="0.25">
      <c r="A871" s="22">
        <v>45845</v>
      </c>
      <c r="B871" s="12">
        <v>286.07</v>
      </c>
      <c r="C871" s="13">
        <v>-1E-4</v>
      </c>
      <c r="D871" s="7">
        <v>91</v>
      </c>
      <c r="E871" s="7">
        <v>8.9999999999999993E-3</v>
      </c>
      <c r="F871" s="7">
        <v>541</v>
      </c>
      <c r="G871" s="8">
        <f t="shared" si="54"/>
        <v>6.9744222638759421E-8</v>
      </c>
      <c r="H871" s="9">
        <f t="shared" si="55"/>
        <v>2.092326679163201E-9</v>
      </c>
      <c r="I871" s="10">
        <f>SUM($H$3:H871)</f>
        <v>0.95943901774272677</v>
      </c>
      <c r="J871" s="23">
        <v>8.9999999999999993E-3</v>
      </c>
      <c r="Q871" s="7">
        <f t="shared" si="53"/>
        <v>1.9943694107174949E-3</v>
      </c>
      <c r="R871" s="7">
        <f t="shared" si="52"/>
        <v>1.825036158864466E-3</v>
      </c>
    </row>
    <row r="872" spans="1:18" x14ac:dyDescent="0.25">
      <c r="A872" s="22">
        <v>45846</v>
      </c>
      <c r="B872" s="12">
        <v>286.91000000000003</v>
      </c>
      <c r="C872" s="13">
        <v>2.8999999999999998E-3</v>
      </c>
      <c r="D872" s="7">
        <v>90</v>
      </c>
      <c r="E872" s="7">
        <v>9.1000000000000004E-3</v>
      </c>
      <c r="F872" s="7">
        <v>959</v>
      </c>
      <c r="G872" s="8">
        <f t="shared" si="54"/>
        <v>2.0610719902947103E-13</v>
      </c>
      <c r="H872" s="9">
        <f t="shared" si="55"/>
        <v>6.1832159708853672E-15</v>
      </c>
      <c r="I872" s="10">
        <f>SUM($H$3:H872)</f>
        <v>0.95943901774273299</v>
      </c>
      <c r="J872" s="23">
        <v>9.1000000000000004E-3</v>
      </c>
      <c r="Q872" s="7">
        <f t="shared" si="53"/>
        <v>2.0560509388840159E-3</v>
      </c>
      <c r="R872" s="7">
        <f t="shared" si="52"/>
        <v>1.8814805761489344E-3</v>
      </c>
    </row>
    <row r="873" spans="1:18" x14ac:dyDescent="0.25">
      <c r="A873" s="22">
        <v>45847</v>
      </c>
      <c r="B873" s="12">
        <v>286.5</v>
      </c>
      <c r="C873" s="13">
        <v>-1.4E-3</v>
      </c>
      <c r="D873" s="7">
        <v>89</v>
      </c>
      <c r="E873" s="7">
        <v>9.1000000000000004E-3</v>
      </c>
      <c r="F873" s="7">
        <v>236</v>
      </c>
      <c r="G873" s="8">
        <f t="shared" si="54"/>
        <v>7.5531704750496614E-4</v>
      </c>
      <c r="H873" s="9">
        <f t="shared" si="55"/>
        <v>2.2659511425153513E-5</v>
      </c>
      <c r="I873" s="10">
        <f>SUM($H$3:H873)</f>
        <v>0.9594616772541581</v>
      </c>
      <c r="J873" s="23">
        <v>9.1000000000000004E-3</v>
      </c>
      <c r="Q873" s="7">
        <f t="shared" si="53"/>
        <v>2.1196401431793979E-3</v>
      </c>
      <c r="R873" s="7">
        <f t="shared" si="52"/>
        <v>1.9396706970607571E-3</v>
      </c>
    </row>
    <row r="874" spans="1:18" x14ac:dyDescent="0.25">
      <c r="A874" s="22">
        <v>45848</v>
      </c>
      <c r="B874" s="12">
        <v>285.16000000000003</v>
      </c>
      <c r="C874" s="13">
        <v>-4.7000000000000002E-3</v>
      </c>
      <c r="D874" s="7">
        <v>88</v>
      </c>
      <c r="E874" s="7">
        <v>9.1000000000000004E-3</v>
      </c>
      <c r="F874" s="7">
        <v>172</v>
      </c>
      <c r="G874" s="8">
        <f t="shared" si="54"/>
        <v>5.3056462920579245E-3</v>
      </c>
      <c r="H874" s="9">
        <f t="shared" si="55"/>
        <v>1.5916938876176954E-4</v>
      </c>
      <c r="I874" s="10">
        <f>SUM($H$3:H874)</f>
        <v>0.95962084664291991</v>
      </c>
      <c r="J874" s="23">
        <v>9.1000000000000004E-3</v>
      </c>
      <c r="Q874" s="7">
        <f t="shared" si="53"/>
        <v>2.1851960238962864E-3</v>
      </c>
      <c r="R874" s="7">
        <f t="shared" si="52"/>
        <v>1.9996605124337702E-3</v>
      </c>
    </row>
    <row r="875" spans="1:18" x14ac:dyDescent="0.25">
      <c r="A875" s="22">
        <v>45849</v>
      </c>
      <c r="B875" s="12">
        <v>283.11</v>
      </c>
      <c r="C875" s="13">
        <v>-7.1999999999999998E-3</v>
      </c>
      <c r="D875" s="7">
        <v>87</v>
      </c>
      <c r="E875" s="7">
        <v>9.1999999999999998E-3</v>
      </c>
      <c r="F875" s="7">
        <v>21</v>
      </c>
      <c r="G875" s="8">
        <f t="shared" si="54"/>
        <v>0.52748051263894469</v>
      </c>
      <c r="H875" s="9">
        <f t="shared" si="55"/>
        <v>1.5824415379171505E-2</v>
      </c>
      <c r="I875" s="10">
        <f>SUM($H$3:H875)</f>
        <v>0.97544526202209136</v>
      </c>
      <c r="J875" s="23">
        <v>9.1999999999999998E-3</v>
      </c>
      <c r="Q875" s="7">
        <f t="shared" si="53"/>
        <v>2.2527794060786459E-3</v>
      </c>
      <c r="R875" s="7">
        <f t="shared" si="52"/>
        <v>2.0615056829214125E-3</v>
      </c>
    </row>
    <row r="876" spans="1:18" x14ac:dyDescent="0.25">
      <c r="A876" s="22">
        <v>45852</v>
      </c>
      <c r="B876" s="12">
        <v>282.70999999999998</v>
      </c>
      <c r="C876" s="13">
        <v>-1.4E-3</v>
      </c>
      <c r="D876" s="7">
        <v>86</v>
      </c>
      <c r="E876" s="7">
        <v>9.2999999999999992E-3</v>
      </c>
      <c r="F876" s="7">
        <v>824</v>
      </c>
      <c r="G876" s="8">
        <f t="shared" si="54"/>
        <v>1.2586617527402789E-11</v>
      </c>
      <c r="H876" s="9">
        <f t="shared" si="55"/>
        <v>3.7759852582215915E-13</v>
      </c>
      <c r="I876" s="10">
        <f>SUM($H$3:H876)</f>
        <v>0.97544526202246895</v>
      </c>
      <c r="J876" s="23">
        <v>9.2999999999999992E-3</v>
      </c>
      <c r="Q876" s="7">
        <f t="shared" si="53"/>
        <v>2.3224529959573669E-3</v>
      </c>
      <c r="R876" s="7">
        <f t="shared" si="52"/>
        <v>2.1252635906406315E-3</v>
      </c>
    </row>
    <row r="877" spans="1:18" x14ac:dyDescent="0.25">
      <c r="A877" s="22">
        <v>45853</v>
      </c>
      <c r="B877" s="12">
        <v>283.69</v>
      </c>
      <c r="C877" s="13">
        <v>3.5000000000000001E-3</v>
      </c>
      <c r="D877" s="7">
        <v>85</v>
      </c>
      <c r="E877" s="7">
        <v>9.4000000000000004E-3</v>
      </c>
      <c r="F877" s="7">
        <v>819</v>
      </c>
      <c r="G877" s="8">
        <f t="shared" si="54"/>
        <v>1.4657178067612687E-11</v>
      </c>
      <c r="H877" s="9">
        <f t="shared" si="55"/>
        <v>4.3971534202846852E-13</v>
      </c>
      <c r="I877" s="10">
        <f>SUM($H$3:H877)</f>
        <v>0.97544526202290871</v>
      </c>
      <c r="J877" s="23">
        <v>9.4000000000000004E-3</v>
      </c>
      <c r="Q877" s="7">
        <f t="shared" si="53"/>
        <v>2.3942814391313062E-3</v>
      </c>
      <c r="R877" s="7">
        <f t="shared" si="52"/>
        <v>2.1909933924130222E-3</v>
      </c>
    </row>
    <row r="878" spans="1:18" x14ac:dyDescent="0.25">
      <c r="A878" s="22">
        <v>45854</v>
      </c>
      <c r="B878" s="12">
        <v>283.64</v>
      </c>
      <c r="C878" s="13">
        <v>-2.0000000000000001E-4</v>
      </c>
      <c r="D878" s="7">
        <v>84</v>
      </c>
      <c r="E878" s="7">
        <v>9.4000000000000004E-3</v>
      </c>
      <c r="F878" s="7">
        <v>106</v>
      </c>
      <c r="G878" s="8">
        <f t="shared" si="54"/>
        <v>3.9609907866027347E-2</v>
      </c>
      <c r="H878" s="9">
        <f t="shared" si="55"/>
        <v>1.1882972359810579E-3</v>
      </c>
      <c r="I878" s="10">
        <f>SUM($H$3:H878)</f>
        <v>0.97663355925888973</v>
      </c>
      <c r="J878" s="23">
        <v>9.4000000000000004E-3</v>
      </c>
      <c r="Q878" s="7">
        <f t="shared" si="53"/>
        <v>2.4683313805477381E-3</v>
      </c>
      <c r="R878" s="7">
        <f t="shared" si="52"/>
        <v>2.2587560746526003E-3</v>
      </c>
    </row>
    <row r="879" spans="1:18" x14ac:dyDescent="0.25">
      <c r="A879" s="22">
        <v>45855</v>
      </c>
      <c r="B879" s="12">
        <v>282.83</v>
      </c>
      <c r="C879" s="13">
        <v>-2.8999999999999998E-3</v>
      </c>
      <c r="D879" s="7">
        <v>83</v>
      </c>
      <c r="E879" s="7">
        <v>9.4999999999999998E-3</v>
      </c>
      <c r="F879" s="7">
        <v>629</v>
      </c>
      <c r="G879" s="8">
        <f t="shared" si="54"/>
        <v>4.7799224812719011E-9</v>
      </c>
      <c r="H879" s="9">
        <f t="shared" si="55"/>
        <v>1.433976744381857E-10</v>
      </c>
      <c r="I879" s="10">
        <f>SUM($H$3:H879)</f>
        <v>0.97663355940228735</v>
      </c>
      <c r="J879" s="23">
        <v>9.4999999999999998E-3</v>
      </c>
      <c r="Q879" s="7">
        <f t="shared" si="53"/>
        <v>2.5446715263378744E-3</v>
      </c>
      <c r="R879" s="7">
        <f t="shared" si="52"/>
        <v>2.3286145099511344E-3</v>
      </c>
    </row>
    <row r="880" spans="1:18" x14ac:dyDescent="0.25">
      <c r="A880" s="22">
        <v>45856</v>
      </c>
      <c r="B880" s="12">
        <v>281.43</v>
      </c>
      <c r="C880" s="13">
        <v>-4.8999999999999998E-3</v>
      </c>
      <c r="D880" s="7">
        <v>82</v>
      </c>
      <c r="E880" s="7">
        <v>9.5999999999999992E-3</v>
      </c>
      <c r="F880" s="7">
        <v>766</v>
      </c>
      <c r="G880" s="8">
        <f t="shared" si="54"/>
        <v>7.3645878641664071E-11</v>
      </c>
      <c r="H880" s="9">
        <f t="shared" si="55"/>
        <v>2.2093763592503636E-12</v>
      </c>
      <c r="I880" s="10">
        <f>SUM($H$3:H880)</f>
        <v>0.9766335594044967</v>
      </c>
      <c r="J880" s="23">
        <v>9.5999999999999992E-3</v>
      </c>
      <c r="Q880" s="7">
        <f t="shared" si="53"/>
        <v>2.6233727075648194E-3</v>
      </c>
      <c r="R880" s="7">
        <f t="shared" si="52"/>
        <v>2.4006335154135409E-3</v>
      </c>
    </row>
    <row r="881" spans="1:18" x14ac:dyDescent="0.25">
      <c r="A881" s="22">
        <v>45859</v>
      </c>
      <c r="B881" s="12">
        <v>282.26</v>
      </c>
      <c r="C881" s="13">
        <v>2.8999999999999998E-3</v>
      </c>
      <c r="D881" s="7">
        <v>81</v>
      </c>
      <c r="E881" s="7">
        <v>9.5999999999999992E-3</v>
      </c>
      <c r="F881" s="7">
        <v>764</v>
      </c>
      <c r="G881" s="8">
        <f t="shared" si="54"/>
        <v>7.8271738379917166E-11</v>
      </c>
      <c r="H881" s="9">
        <f t="shared" si="55"/>
        <v>2.3481521513979844E-12</v>
      </c>
      <c r="I881" s="10">
        <f>SUM($H$3:H881)</f>
        <v>0.97663355940684482</v>
      </c>
      <c r="J881" s="23">
        <v>9.5999999999999992E-3</v>
      </c>
      <c r="Q881" s="7">
        <f t="shared" si="53"/>
        <v>2.704507945943113E-3</v>
      </c>
      <c r="R881" s="7">
        <f t="shared" si="52"/>
        <v>2.4748799127974649E-3</v>
      </c>
    </row>
    <row r="882" spans="1:18" x14ac:dyDescent="0.25">
      <c r="A882" s="22">
        <v>45860</v>
      </c>
      <c r="B882" s="12">
        <v>282.07</v>
      </c>
      <c r="C882" s="13">
        <v>-6.9999999999999999E-4</v>
      </c>
      <c r="D882" s="7">
        <v>80</v>
      </c>
      <c r="E882" s="7">
        <v>9.5999999999999992E-3</v>
      </c>
      <c r="F882" s="7">
        <v>488</v>
      </c>
      <c r="G882" s="8">
        <f t="shared" si="54"/>
        <v>3.5043406941755689E-7</v>
      </c>
      <c r="H882" s="9">
        <f t="shared" si="55"/>
        <v>1.0513022082528809E-8</v>
      </c>
      <c r="I882" s="10">
        <f>SUM($H$3:H882)</f>
        <v>0.97663356991986694</v>
      </c>
      <c r="J882" s="23">
        <v>9.5999999999999992E-3</v>
      </c>
      <c r="Q882" s="7">
        <f t="shared" si="53"/>
        <v>2.7881525215908377E-3</v>
      </c>
      <c r="R882" s="7">
        <f t="shared" si="52"/>
        <v>2.5514225905128502E-3</v>
      </c>
    </row>
    <row r="883" spans="1:18" x14ac:dyDescent="0.25">
      <c r="A883" s="22">
        <v>45861</v>
      </c>
      <c r="B883" s="12">
        <v>283.52999999999997</v>
      </c>
      <c r="C883" s="13">
        <v>5.1999999999999998E-3</v>
      </c>
      <c r="D883" s="7">
        <v>79</v>
      </c>
      <c r="E883" s="7">
        <v>9.7000000000000003E-3</v>
      </c>
      <c r="F883" s="7">
        <v>843</v>
      </c>
      <c r="G883" s="8">
        <f t="shared" si="54"/>
        <v>7.0562179463755446E-12</v>
      </c>
      <c r="H883" s="9">
        <f t="shared" si="55"/>
        <v>2.1168653839130864E-13</v>
      </c>
      <c r="I883" s="10">
        <f>SUM($H$3:H883)</f>
        <v>0.97663356992007866</v>
      </c>
      <c r="J883" s="23">
        <v>9.7000000000000003E-3</v>
      </c>
      <c r="Q883" s="7">
        <f t="shared" si="53"/>
        <v>2.8743840428771526E-3</v>
      </c>
      <c r="R883" s="7">
        <f t="shared" si="52"/>
        <v>2.630332567539021E-3</v>
      </c>
    </row>
    <row r="884" spans="1:18" x14ac:dyDescent="0.25">
      <c r="A884" s="22">
        <v>45862</v>
      </c>
      <c r="B884" s="12">
        <v>282.10000000000002</v>
      </c>
      <c r="C884" s="13">
        <v>-5.0000000000000001E-3</v>
      </c>
      <c r="D884" s="7">
        <v>78</v>
      </c>
      <c r="E884" s="7">
        <v>9.7000000000000003E-3</v>
      </c>
      <c r="F884" s="7">
        <v>456</v>
      </c>
      <c r="G884" s="8">
        <f t="shared" si="54"/>
        <v>9.2877565975482834E-7</v>
      </c>
      <c r="H884" s="9">
        <f t="shared" si="55"/>
        <v>2.786326979265042E-8</v>
      </c>
      <c r="I884" s="10">
        <f>SUM($H$3:H884)</f>
        <v>0.97663359778334846</v>
      </c>
      <c r="J884" s="23">
        <v>9.7000000000000003E-3</v>
      </c>
      <c r="Q884" s="7">
        <f t="shared" si="53"/>
        <v>2.9632825184300539E-3</v>
      </c>
      <c r="R884" s="7">
        <f t="shared" si="52"/>
        <v>2.7116830593185781E-3</v>
      </c>
    </row>
    <row r="885" spans="1:18" x14ac:dyDescent="0.25">
      <c r="A885" s="22">
        <v>45863</v>
      </c>
      <c r="B885" s="12">
        <v>280.02999999999997</v>
      </c>
      <c r="C885" s="13">
        <v>-7.3000000000000001E-3</v>
      </c>
      <c r="D885" s="7">
        <v>77</v>
      </c>
      <c r="E885" s="7">
        <v>0.01</v>
      </c>
      <c r="F885" s="7">
        <v>955</v>
      </c>
      <c r="G885" s="8">
        <f t="shared" si="54"/>
        <v>2.3281246238684696E-13</v>
      </c>
      <c r="H885" s="9">
        <f t="shared" si="55"/>
        <v>6.9843738716068044E-15</v>
      </c>
      <c r="I885" s="10">
        <f>SUM($H$3:H885)</f>
        <v>0.97663359778335546</v>
      </c>
      <c r="J885" s="23">
        <v>0.01</v>
      </c>
      <c r="Q885" s="7">
        <f t="shared" si="53"/>
        <v>3.05493043137119E-3</v>
      </c>
      <c r="R885" s="7">
        <f t="shared" si="52"/>
        <v>2.7955495456892564E-3</v>
      </c>
    </row>
    <row r="886" spans="1:18" x14ac:dyDescent="0.25">
      <c r="A886" s="22">
        <v>45866</v>
      </c>
      <c r="B886" s="12">
        <v>278.49</v>
      </c>
      <c r="C886" s="13">
        <v>-5.4999999999999997E-3</v>
      </c>
      <c r="D886" s="7">
        <v>76</v>
      </c>
      <c r="E886" s="7">
        <v>0.01</v>
      </c>
      <c r="F886" s="7">
        <v>409</v>
      </c>
      <c r="G886" s="8">
        <f t="shared" si="54"/>
        <v>3.8872217396501774E-6</v>
      </c>
      <c r="H886" s="9">
        <f t="shared" si="55"/>
        <v>1.1661665218952864E-7</v>
      </c>
      <c r="I886" s="10">
        <f>SUM($H$3:H886)</f>
        <v>0.97663371440000768</v>
      </c>
      <c r="J886" s="23">
        <v>0.01</v>
      </c>
      <c r="Q886" s="7">
        <f t="shared" si="53"/>
        <v>3.1494128158465876E-3</v>
      </c>
      <c r="R886" s="7">
        <f t="shared" si="52"/>
        <v>2.882009840916759E-3</v>
      </c>
    </row>
    <row r="887" spans="1:18" x14ac:dyDescent="0.25">
      <c r="A887" s="22">
        <v>45867</v>
      </c>
      <c r="B887" s="12">
        <v>280.08999999999997</v>
      </c>
      <c r="C887" s="13">
        <v>5.7000000000000002E-3</v>
      </c>
      <c r="D887" s="7">
        <v>75</v>
      </c>
      <c r="E887" s="7">
        <v>1.0200000000000001E-2</v>
      </c>
      <c r="F887" s="7">
        <v>163</v>
      </c>
      <c r="G887" s="8">
        <f t="shared" si="54"/>
        <v>6.9789917573845296E-3</v>
      </c>
      <c r="H887" s="9">
        <f t="shared" si="55"/>
        <v>2.0936975272157774E-4</v>
      </c>
      <c r="I887" s="10">
        <f>SUM($H$3:H887)</f>
        <v>0.97684308415272925</v>
      </c>
      <c r="J887" s="23">
        <v>1.0200000000000001E-2</v>
      </c>
      <c r="Q887" s="7">
        <f t="shared" si="53"/>
        <v>3.2468173359243169E-3</v>
      </c>
      <c r="R887" s="7">
        <f t="shared" si="52"/>
        <v>2.9711441658935656E-3</v>
      </c>
    </row>
    <row r="888" spans="1:18" x14ac:dyDescent="0.25">
      <c r="A888" s="22">
        <v>45868</v>
      </c>
      <c r="B888" s="12">
        <v>280.13</v>
      </c>
      <c r="C888" s="13">
        <v>1E-4</v>
      </c>
      <c r="D888" s="7">
        <v>74</v>
      </c>
      <c r="E888" s="7">
        <v>1.0200000000000001E-2</v>
      </c>
      <c r="F888" s="7">
        <v>62</v>
      </c>
      <c r="G888" s="8">
        <f t="shared" si="54"/>
        <v>0.15130299488240154</v>
      </c>
      <c r="H888" s="9">
        <f t="shared" si="55"/>
        <v>4.539089846472953E-3</v>
      </c>
      <c r="I888" s="10">
        <f>SUM($H$3:H888)</f>
        <v>0.98138217399920225</v>
      </c>
      <c r="J888" s="23">
        <v>1.0200000000000001E-2</v>
      </c>
      <c r="Q888" s="7">
        <f t="shared" si="53"/>
        <v>3.3472343669322859E-3</v>
      </c>
      <c r="R888" s="7">
        <f t="shared" si="52"/>
        <v>3.0630352225706867E-3</v>
      </c>
    </row>
    <row r="889" spans="1:18" x14ac:dyDescent="0.25">
      <c r="A889" s="22">
        <v>45869</v>
      </c>
      <c r="B889" s="12">
        <v>279.26</v>
      </c>
      <c r="C889" s="13">
        <v>-3.0999999999999999E-3</v>
      </c>
      <c r="D889" s="7">
        <v>73</v>
      </c>
      <c r="E889" s="7">
        <v>1.03E-2</v>
      </c>
      <c r="F889" s="7">
        <v>449</v>
      </c>
      <c r="G889" s="8">
        <f t="shared" si="54"/>
        <v>1.1494992322595899E-6</v>
      </c>
      <c r="H889" s="9">
        <f t="shared" si="55"/>
        <v>3.4484976967794593E-8</v>
      </c>
      <c r="I889" s="10">
        <f>SUM($H$3:H889)</f>
        <v>0.98138220848417923</v>
      </c>
      <c r="J889" s="23">
        <v>1.03E-2</v>
      </c>
      <c r="Q889" s="7">
        <f t="shared" si="53"/>
        <v>3.4507570793116346E-3</v>
      </c>
      <c r="R889" s="7">
        <f t="shared" si="52"/>
        <v>3.1577682706914294E-3</v>
      </c>
    </row>
    <row r="890" spans="1:18" x14ac:dyDescent="0.25">
      <c r="A890" s="22">
        <v>45870</v>
      </c>
      <c r="B890" s="12">
        <v>277.35000000000002</v>
      </c>
      <c r="C890" s="13">
        <v>-6.7999999999999996E-3</v>
      </c>
      <c r="D890" s="7">
        <v>72</v>
      </c>
      <c r="E890" s="7">
        <v>1.0500000000000001E-2</v>
      </c>
      <c r="F890" s="7">
        <v>98</v>
      </c>
      <c r="G890" s="8">
        <f t="shared" si="54"/>
        <v>5.0539385615268044E-2</v>
      </c>
      <c r="H890" s="9">
        <f t="shared" si="55"/>
        <v>1.5161815684583443E-3</v>
      </c>
      <c r="I890" s="10">
        <f>SUM($H$3:H890)</f>
        <v>0.98289839005263757</v>
      </c>
      <c r="J890" s="23">
        <v>1.0500000000000001E-2</v>
      </c>
      <c r="Q890" s="7">
        <f t="shared" si="53"/>
        <v>3.5574815250635412E-3</v>
      </c>
      <c r="R890" s="7">
        <f t="shared" si="52"/>
        <v>3.2554312068983808E-3</v>
      </c>
    </row>
    <row r="891" spans="1:18" x14ac:dyDescent="0.25">
      <c r="A891" s="22">
        <v>45873</v>
      </c>
      <c r="B891" s="12">
        <v>278.85000000000002</v>
      </c>
      <c r="C891" s="13">
        <v>5.4000000000000003E-3</v>
      </c>
      <c r="D891" s="7">
        <v>71</v>
      </c>
      <c r="E891" s="7">
        <v>1.06E-2</v>
      </c>
      <c r="F891" s="7">
        <v>907</v>
      </c>
      <c r="G891" s="8">
        <f t="shared" si="54"/>
        <v>1.0045301575768416E-12</v>
      </c>
      <c r="H891" s="9">
        <f t="shared" si="55"/>
        <v>3.0135904727311274E-14</v>
      </c>
      <c r="I891" s="10">
        <f>SUM($H$3:H891)</f>
        <v>0.98289839005266766</v>
      </c>
      <c r="J891" s="23">
        <v>1.06E-2</v>
      </c>
      <c r="Q891" s="7">
        <f t="shared" si="53"/>
        <v>3.6675067268696301E-3</v>
      </c>
      <c r="R891" s="7">
        <f t="shared" si="52"/>
        <v>3.3561146462869908E-3</v>
      </c>
    </row>
    <row r="892" spans="1:18" x14ac:dyDescent="0.25">
      <c r="A892" s="22">
        <v>45874</v>
      </c>
      <c r="B892" s="12">
        <v>278.14</v>
      </c>
      <c r="C892" s="13">
        <v>-2.5000000000000001E-3</v>
      </c>
      <c r="D892" s="7">
        <v>70</v>
      </c>
      <c r="E892" s="7">
        <v>1.0699999999999999E-2</v>
      </c>
      <c r="F892" s="7">
        <v>717</v>
      </c>
      <c r="G892" s="8">
        <f t="shared" si="54"/>
        <v>3.2759213684706334E-10</v>
      </c>
      <c r="H892" s="9">
        <f t="shared" si="55"/>
        <v>9.8277641054138649E-12</v>
      </c>
      <c r="I892" s="10">
        <f>SUM($H$3:H892)</f>
        <v>0.98289839006249546</v>
      </c>
      <c r="J892" s="23">
        <v>1.0699999999999999E-2</v>
      </c>
      <c r="Q892" s="7">
        <f t="shared" si="53"/>
        <v>3.7809347699686909E-3</v>
      </c>
      <c r="R892" s="7">
        <f t="shared" si="52"/>
        <v>3.4599120064814338E-3</v>
      </c>
    </row>
    <row r="893" spans="1:18" x14ac:dyDescent="0.25">
      <c r="A893" s="22">
        <v>45875</v>
      </c>
      <c r="B893" s="12">
        <v>277.31</v>
      </c>
      <c r="C893" s="13">
        <v>-3.0000000000000001E-3</v>
      </c>
      <c r="D893" s="7">
        <v>69</v>
      </c>
      <c r="E893" s="7">
        <v>1.0699999999999999E-2</v>
      </c>
      <c r="F893" s="7">
        <v>615</v>
      </c>
      <c r="G893" s="8">
        <f t="shared" si="54"/>
        <v>7.3217782869922157E-9</v>
      </c>
      <c r="H893" s="9">
        <f t="shared" si="55"/>
        <v>2.1965334860981037E-10</v>
      </c>
      <c r="I893" s="10">
        <f>SUM($H$3:H893)</f>
        <v>0.98289839028214876</v>
      </c>
      <c r="J893" s="23">
        <v>1.0699999999999999E-2</v>
      </c>
      <c r="Q893" s="7">
        <f t="shared" si="53"/>
        <v>3.8978708968749392E-3</v>
      </c>
      <c r="R893" s="7">
        <f t="shared" si="52"/>
        <v>3.5669195943107568E-3</v>
      </c>
    </row>
    <row r="894" spans="1:18" x14ac:dyDescent="0.25">
      <c r="A894" s="22">
        <v>45876</v>
      </c>
      <c r="B894" s="12">
        <v>277.29000000000002</v>
      </c>
      <c r="C894" s="13">
        <v>-1E-4</v>
      </c>
      <c r="D894" s="7">
        <v>68</v>
      </c>
      <c r="E894" s="7">
        <v>1.0699999999999999E-2</v>
      </c>
      <c r="F894" s="7">
        <v>196</v>
      </c>
      <c r="G894" s="8">
        <f t="shared" si="54"/>
        <v>2.5542294983687637E-3</v>
      </c>
      <c r="H894" s="9">
        <f t="shared" si="55"/>
        <v>7.6626884951078232E-5</v>
      </c>
      <c r="I894" s="10">
        <f>SUM($H$3:H894)</f>
        <v>0.98297501716709978</v>
      </c>
      <c r="J894" s="23">
        <v>1.0699999999999999E-2</v>
      </c>
      <c r="Q894" s="7">
        <f t="shared" si="53"/>
        <v>4.0184236050257111E-3</v>
      </c>
      <c r="R894" s="7">
        <f t="shared" si="52"/>
        <v>3.6772366951657292E-3</v>
      </c>
    </row>
    <row r="895" spans="1:18" x14ac:dyDescent="0.25">
      <c r="A895" s="22">
        <v>45877</v>
      </c>
      <c r="B895" s="12">
        <v>275.14</v>
      </c>
      <c r="C895" s="13">
        <v>-7.7999999999999996E-3</v>
      </c>
      <c r="D895" s="7">
        <v>67</v>
      </c>
      <c r="E895" s="7">
        <v>1.0800000000000001E-2</v>
      </c>
      <c r="F895" s="7">
        <v>31</v>
      </c>
      <c r="G895" s="8">
        <f t="shared" si="54"/>
        <v>0.38897685648686287</v>
      </c>
      <c r="H895" s="9">
        <f t="shared" si="55"/>
        <v>1.1669305694608218E-2</v>
      </c>
      <c r="I895" s="10">
        <f>SUM($H$3:H895)</f>
        <v>0.99464432286170801</v>
      </c>
      <c r="J895" s="23">
        <v>1.0800000000000001E-2</v>
      </c>
      <c r="Q895" s="7">
        <f t="shared" si="53"/>
        <v>4.1427047474491864E-3</v>
      </c>
      <c r="R895" s="7">
        <f t="shared" si="52"/>
        <v>3.790965665119308E-3</v>
      </c>
    </row>
    <row r="896" spans="1:18" x14ac:dyDescent="0.25">
      <c r="A896" s="22">
        <v>45880</v>
      </c>
      <c r="B896" s="12">
        <v>277.29000000000002</v>
      </c>
      <c r="C896" s="13">
        <v>7.7999999999999996E-3</v>
      </c>
      <c r="D896" s="7">
        <v>66</v>
      </c>
      <c r="E896" s="7">
        <v>1.0999999999999999E-2</v>
      </c>
      <c r="F896" s="7">
        <v>940</v>
      </c>
      <c r="G896" s="8">
        <f t="shared" si="54"/>
        <v>3.6764630904870976E-13</v>
      </c>
      <c r="H896" s="9">
        <f t="shared" si="55"/>
        <v>1.1029389271463497E-14</v>
      </c>
      <c r="I896" s="10">
        <f>SUM($H$3:H896)</f>
        <v>0.994644322861719</v>
      </c>
      <c r="J896" s="23">
        <v>1.0999999999999999E-2</v>
      </c>
      <c r="Q896" s="7">
        <f t="shared" si="53"/>
        <v>4.2708296365455527E-3</v>
      </c>
      <c r="R896" s="7">
        <f t="shared" si="52"/>
        <v>3.9082120258961935E-3</v>
      </c>
    </row>
    <row r="897" spans="1:18" x14ac:dyDescent="0.25">
      <c r="A897" s="22">
        <v>45881</v>
      </c>
      <c r="B897" s="12">
        <v>276.54000000000002</v>
      </c>
      <c r="C897" s="13">
        <v>-2.7000000000000001E-3</v>
      </c>
      <c r="D897" s="7">
        <v>65</v>
      </c>
      <c r="E897" s="7">
        <v>1.11E-2</v>
      </c>
      <c r="F897" s="7">
        <v>739</v>
      </c>
      <c r="G897" s="8">
        <f t="shared" si="54"/>
        <v>1.6761451423215903E-10</v>
      </c>
      <c r="H897" s="9">
        <f t="shared" si="55"/>
        <v>5.0284354269657763E-12</v>
      </c>
      <c r="I897" s="10">
        <f>SUM($H$3:H897)</f>
        <v>0.99464432286674742</v>
      </c>
      <c r="J897" s="23">
        <v>1.11E-2</v>
      </c>
      <c r="Q897" s="7">
        <f t="shared" si="53"/>
        <v>4.4029171510778882E-3</v>
      </c>
      <c r="R897" s="7">
        <f t="shared" si="52"/>
        <v>4.0290845627795795E-3</v>
      </c>
    </row>
    <row r="898" spans="1:18" x14ac:dyDescent="0.25">
      <c r="A898" s="22">
        <v>45882</v>
      </c>
      <c r="B898" s="12">
        <v>278.02</v>
      </c>
      <c r="C898" s="13">
        <v>5.4000000000000003E-3</v>
      </c>
      <c r="D898" s="7">
        <v>64</v>
      </c>
      <c r="E898" s="7">
        <v>1.12E-2</v>
      </c>
      <c r="F898" s="7">
        <v>816</v>
      </c>
      <c r="G898" s="8">
        <f t="shared" si="54"/>
        <v>1.6059616168784096E-11</v>
      </c>
      <c r="H898" s="9">
        <f t="shared" si="55"/>
        <v>4.8178848506361922E-13</v>
      </c>
      <c r="I898" s="10">
        <f>SUM($H$3:H898)</f>
        <v>0.99464432286722926</v>
      </c>
      <c r="J898" s="23">
        <v>1.12E-2</v>
      </c>
      <c r="Q898" s="7">
        <f t="shared" si="53"/>
        <v>4.5390898464720501E-3</v>
      </c>
      <c r="R898" s="7">
        <f t="shared" ref="R898:R961" si="56">Q898/$U$2</f>
        <v>4.1536954255459594E-3</v>
      </c>
    </row>
    <row r="899" spans="1:18" x14ac:dyDescent="0.25">
      <c r="A899" s="22">
        <v>45883</v>
      </c>
      <c r="B899" s="12">
        <v>278.23</v>
      </c>
      <c r="C899" s="13">
        <v>8.0000000000000004E-4</v>
      </c>
      <c r="D899" s="7">
        <v>63</v>
      </c>
      <c r="E899" s="7">
        <v>1.12E-2</v>
      </c>
      <c r="F899" s="7">
        <v>476</v>
      </c>
      <c r="G899" s="8">
        <f t="shared" si="54"/>
        <v>5.050629496227328E-7</v>
      </c>
      <c r="H899" s="9">
        <f t="shared" si="55"/>
        <v>1.5151888488685011E-8</v>
      </c>
      <c r="I899" s="10">
        <f>SUM($H$3:H899)</f>
        <v>0.99464433801911778</v>
      </c>
      <c r="J899" s="23">
        <v>1.12E-2</v>
      </c>
      <c r="Q899" s="7">
        <f t="shared" ref="Q899:Q962" si="57">(1-$N$3) * $N$3^(D900-1)</f>
        <v>4.6794740685278868E-3</v>
      </c>
      <c r="R899" s="7">
        <f t="shared" si="56"/>
        <v>4.2821602325216071E-3</v>
      </c>
    </row>
    <row r="900" spans="1:18" x14ac:dyDescent="0.25">
      <c r="A900" s="22">
        <v>45887</v>
      </c>
      <c r="B900" s="12">
        <v>281.07</v>
      </c>
      <c r="C900" s="13">
        <v>1.0200000000000001E-2</v>
      </c>
      <c r="D900" s="7">
        <v>62</v>
      </c>
      <c r="E900" s="7">
        <v>1.12E-2</v>
      </c>
      <c r="F900" s="7">
        <v>287</v>
      </c>
      <c r="G900" s="8">
        <f t="shared" ref="G900:G962" si="58">$N$3^F900</f>
        <v>1.5976724060635207E-4</v>
      </c>
      <c r="H900" s="9">
        <f t="shared" si="55"/>
        <v>4.7930172181915202E-6</v>
      </c>
      <c r="I900" s="10">
        <f>SUM($H$3:H900)</f>
        <v>0.99464913103633601</v>
      </c>
      <c r="J900" s="23">
        <v>1.12E-2</v>
      </c>
      <c r="Q900" s="7">
        <f t="shared" si="57"/>
        <v>4.8242000706473064E-3</v>
      </c>
      <c r="R900" s="7">
        <f t="shared" si="56"/>
        <v>4.4145981778573274E-3</v>
      </c>
    </row>
    <row r="901" spans="1:18" x14ac:dyDescent="0.25">
      <c r="A901" s="22">
        <v>45888</v>
      </c>
      <c r="B901" s="12">
        <v>281.95999999999998</v>
      </c>
      <c r="C901" s="13">
        <v>3.2000000000000002E-3</v>
      </c>
      <c r="D901" s="7">
        <v>61</v>
      </c>
      <c r="E901" s="7">
        <v>1.1299999999999999E-2</v>
      </c>
      <c r="F901" s="7">
        <v>497</v>
      </c>
      <c r="G901" s="8">
        <f t="shared" si="58"/>
        <v>2.6641086358193664E-7</v>
      </c>
      <c r="H901" s="9">
        <f t="shared" ref="H901:H962" si="59">G901/$N$4</f>
        <v>7.9923259074596961E-9</v>
      </c>
      <c r="I901" s="10">
        <f>SUM($H$3:H901)</f>
        <v>0.99464913902866192</v>
      </c>
      <c r="J901" s="23">
        <v>1.1299999999999999E-2</v>
      </c>
      <c r="Q901" s="7">
        <f t="shared" si="57"/>
        <v>4.9734021346879449E-3</v>
      </c>
      <c r="R901" s="7">
        <f t="shared" si="56"/>
        <v>4.5511321421209559E-3</v>
      </c>
    </row>
    <row r="902" spans="1:18" x14ac:dyDescent="0.25">
      <c r="A902" s="22">
        <v>45889</v>
      </c>
      <c r="B902" s="12">
        <v>282.52</v>
      </c>
      <c r="C902" s="13">
        <v>2E-3</v>
      </c>
      <c r="D902" s="7">
        <v>60</v>
      </c>
      <c r="E902" s="7">
        <v>1.15E-2</v>
      </c>
      <c r="F902" s="7">
        <v>689</v>
      </c>
      <c r="G902" s="8">
        <f t="shared" si="58"/>
        <v>7.686434123946846E-10</v>
      </c>
      <c r="H902" s="9">
        <f t="shared" si="59"/>
        <v>2.3059302371845147E-11</v>
      </c>
      <c r="I902" s="10">
        <f>SUM($H$3:H902)</f>
        <v>0.99464913905172125</v>
      </c>
      <c r="J902" s="23">
        <v>1.15E-2</v>
      </c>
      <c r="Q902" s="7">
        <f t="shared" si="57"/>
        <v>5.1272186955545829E-3</v>
      </c>
      <c r="R902" s="7">
        <f t="shared" si="56"/>
        <v>4.691888806310265E-3</v>
      </c>
    </row>
    <row r="903" spans="1:18" x14ac:dyDescent="0.25">
      <c r="A903" s="22">
        <v>45890</v>
      </c>
      <c r="B903" s="12">
        <v>283.06</v>
      </c>
      <c r="C903" s="13">
        <v>1.9E-3</v>
      </c>
      <c r="D903" s="7">
        <v>59</v>
      </c>
      <c r="E903" s="7">
        <v>1.15E-2</v>
      </c>
      <c r="F903" s="7">
        <v>255</v>
      </c>
      <c r="G903" s="8">
        <f t="shared" si="58"/>
        <v>4.2344034798900379E-4</v>
      </c>
      <c r="H903" s="9">
        <f t="shared" si="59"/>
        <v>1.2703210439672653E-5</v>
      </c>
      <c r="I903" s="10">
        <f>SUM($H$3:H903)</f>
        <v>0.99466184226216092</v>
      </c>
      <c r="J903" s="23">
        <v>1.15E-2</v>
      </c>
      <c r="Q903" s="7">
        <f t="shared" si="57"/>
        <v>5.2857924696438985E-3</v>
      </c>
      <c r="R903" s="7">
        <f t="shared" si="56"/>
        <v>4.8369987693920244E-3</v>
      </c>
    </row>
    <row r="904" spans="1:18" x14ac:dyDescent="0.25">
      <c r="A904" s="22">
        <v>45891</v>
      </c>
      <c r="B904" s="12">
        <v>280.75</v>
      </c>
      <c r="C904" s="13">
        <v>-8.2000000000000007E-3</v>
      </c>
      <c r="D904" s="7">
        <v>58</v>
      </c>
      <c r="E904" s="7">
        <v>1.17E-2</v>
      </c>
      <c r="F904" s="7">
        <v>591</v>
      </c>
      <c r="G904" s="8">
        <f t="shared" si="58"/>
        <v>1.5208800088034228E-8</v>
      </c>
      <c r="H904" s="9">
        <f t="shared" si="59"/>
        <v>4.5626400264111808E-10</v>
      </c>
      <c r="I904" s="10">
        <f>SUM($H$3:H904)</f>
        <v>0.99466184271842495</v>
      </c>
      <c r="J904" s="23">
        <v>1.17E-2</v>
      </c>
      <c r="Q904" s="7">
        <f t="shared" si="57"/>
        <v>5.4492705872617522E-3</v>
      </c>
      <c r="R904" s="7">
        <f t="shared" si="56"/>
        <v>4.9865966694763149E-3</v>
      </c>
    </row>
    <row r="905" spans="1:18" x14ac:dyDescent="0.25">
      <c r="A905" s="22">
        <v>45894</v>
      </c>
      <c r="B905" s="12">
        <v>281.68</v>
      </c>
      <c r="C905" s="13">
        <v>3.3E-3</v>
      </c>
      <c r="D905" s="7">
        <v>57</v>
      </c>
      <c r="E905" s="7">
        <v>1.1900000000000001E-2</v>
      </c>
      <c r="F905" s="7">
        <v>934</v>
      </c>
      <c r="G905" s="8">
        <f t="shared" si="58"/>
        <v>4.4136694495518708E-13</v>
      </c>
      <c r="H905" s="9">
        <f t="shared" si="59"/>
        <v>1.3241008348658259E-14</v>
      </c>
      <c r="I905" s="10">
        <f>SUM($H$3:H905)</f>
        <v>0.99466184271843816</v>
      </c>
      <c r="J905" s="23">
        <v>1.1900000000000001E-2</v>
      </c>
      <c r="Q905" s="7">
        <f t="shared" si="57"/>
        <v>5.6178047291358269E-3</v>
      </c>
      <c r="R905" s="7">
        <f t="shared" si="56"/>
        <v>5.1408213087384691E-3</v>
      </c>
    </row>
    <row r="906" spans="1:18" x14ac:dyDescent="0.25">
      <c r="A906" s="22">
        <v>45895</v>
      </c>
      <c r="B906" s="12">
        <v>279.05</v>
      </c>
      <c r="C906" s="13">
        <v>-9.2999999999999992E-3</v>
      </c>
      <c r="D906" s="7">
        <v>56</v>
      </c>
      <c r="E906" s="7">
        <v>1.1900000000000001E-2</v>
      </c>
      <c r="F906" s="7">
        <v>888</v>
      </c>
      <c r="G906" s="8">
        <f t="shared" si="58"/>
        <v>1.7918433053298495E-12</v>
      </c>
      <c r="H906" s="9">
        <f t="shared" si="59"/>
        <v>5.375529915990623E-14</v>
      </c>
      <c r="I906" s="10">
        <f>SUM($H$3:H906)</f>
        <v>0.9946618427184919</v>
      </c>
      <c r="J906" s="23">
        <v>1.1900000000000001E-2</v>
      </c>
      <c r="Q906" s="7">
        <f t="shared" si="57"/>
        <v>5.7915512671503364E-3</v>
      </c>
      <c r="R906" s="7">
        <f t="shared" si="56"/>
        <v>5.299815782204606E-3</v>
      </c>
    </row>
    <row r="907" spans="1:18" x14ac:dyDescent="0.25">
      <c r="A907" s="22">
        <v>45897</v>
      </c>
      <c r="B907" s="12">
        <v>276.93</v>
      </c>
      <c r="C907" s="13">
        <v>-7.6E-3</v>
      </c>
      <c r="D907" s="7">
        <v>55</v>
      </c>
      <c r="E907" s="7">
        <v>1.1900000000000001E-2</v>
      </c>
      <c r="F907" s="7">
        <v>756</v>
      </c>
      <c r="G907" s="8">
        <f t="shared" si="58"/>
        <v>9.9869092908262671E-11</v>
      </c>
      <c r="H907" s="9">
        <f t="shared" si="59"/>
        <v>2.9960727872484791E-12</v>
      </c>
      <c r="I907" s="10">
        <f>SUM($H$3:H907)</f>
        <v>0.99466184272148794</v>
      </c>
      <c r="J907" s="23">
        <v>1.1900000000000001E-2</v>
      </c>
      <c r="Q907" s="7">
        <f t="shared" si="57"/>
        <v>5.9706714094333365E-3</v>
      </c>
      <c r="R907" s="7">
        <f t="shared" si="56"/>
        <v>5.4637276105202123E-3</v>
      </c>
    </row>
    <row r="908" spans="1:18" x14ac:dyDescent="0.25">
      <c r="A908" s="22">
        <v>45898</v>
      </c>
      <c r="B908" s="12">
        <v>276.06</v>
      </c>
      <c r="C908" s="13">
        <v>-3.0999999999999999E-3</v>
      </c>
      <c r="D908" s="7">
        <v>54</v>
      </c>
      <c r="E908" s="7">
        <v>1.1900000000000001E-2</v>
      </c>
      <c r="F908" s="7">
        <v>145</v>
      </c>
      <c r="G908" s="8">
        <f t="shared" si="58"/>
        <v>1.2075398411063759E-2</v>
      </c>
      <c r="H908" s="9">
        <f t="shared" si="59"/>
        <v>3.622619523319852E-4</v>
      </c>
      <c r="I908" s="10">
        <f>SUM($H$3:H908)</f>
        <v>0.99502410467381996</v>
      </c>
      <c r="J908" s="23">
        <v>1.1900000000000001E-2</v>
      </c>
      <c r="Q908" s="7">
        <f t="shared" si="57"/>
        <v>6.1553313499312758E-3</v>
      </c>
      <c r="R908" s="7">
        <f t="shared" si="56"/>
        <v>5.6327088768249626E-3</v>
      </c>
    </row>
    <row r="909" spans="1:18" x14ac:dyDescent="0.25">
      <c r="A909" s="22">
        <v>45901</v>
      </c>
      <c r="B909" s="12">
        <v>278.18</v>
      </c>
      <c r="C909" s="13">
        <v>7.7000000000000002E-3</v>
      </c>
      <c r="D909" s="7">
        <v>53</v>
      </c>
      <c r="E909" s="7">
        <v>1.2E-2</v>
      </c>
      <c r="F909" s="7">
        <v>457</v>
      </c>
      <c r="G909" s="8">
        <f t="shared" si="58"/>
        <v>9.0091238996218323E-7</v>
      </c>
      <c r="H909" s="9">
        <f t="shared" si="59"/>
        <v>2.7027371698870901E-8</v>
      </c>
      <c r="I909" s="10">
        <f>SUM($H$3:H909)</f>
        <v>0.99502413170119164</v>
      </c>
      <c r="J909" s="23">
        <v>1.2E-2</v>
      </c>
      <c r="Q909" s="7">
        <f t="shared" si="57"/>
        <v>6.3457024226095627E-3</v>
      </c>
      <c r="R909" s="7">
        <f t="shared" si="56"/>
        <v>5.8069163678607866E-3</v>
      </c>
    </row>
    <row r="910" spans="1:18" x14ac:dyDescent="0.25">
      <c r="A910" s="22">
        <v>45902</v>
      </c>
      <c r="B910" s="12">
        <v>277.68</v>
      </c>
      <c r="C910" s="13">
        <v>-1.8E-3</v>
      </c>
      <c r="D910" s="7">
        <v>52</v>
      </c>
      <c r="E910" s="7">
        <v>1.21E-2</v>
      </c>
      <c r="F910" s="7">
        <v>887</v>
      </c>
      <c r="G910" s="8">
        <f t="shared" si="58"/>
        <v>1.8472611395153086E-12</v>
      </c>
      <c r="H910" s="9">
        <f t="shared" si="59"/>
        <v>5.5417834185470335E-14</v>
      </c>
      <c r="I910" s="10">
        <f>SUM($H$3:H910)</f>
        <v>0.99502413170124704</v>
      </c>
      <c r="J910" s="23">
        <v>1.21E-2</v>
      </c>
      <c r="Q910" s="7">
        <f t="shared" si="57"/>
        <v>6.5419612604222296E-3</v>
      </c>
      <c r="R910" s="7">
        <f t="shared" si="56"/>
        <v>5.9865117194441092E-3</v>
      </c>
    </row>
    <row r="911" spans="1:18" x14ac:dyDescent="0.25">
      <c r="A911" s="22">
        <v>45903</v>
      </c>
      <c r="B911" s="12">
        <v>278.94</v>
      </c>
      <c r="C911" s="13">
        <v>4.4999999999999997E-3</v>
      </c>
      <c r="D911" s="7">
        <v>51</v>
      </c>
      <c r="E911" s="7">
        <v>1.21E-2</v>
      </c>
      <c r="F911" s="7">
        <v>834</v>
      </c>
      <c r="G911" s="8">
        <f t="shared" si="58"/>
        <v>9.2816754407054015E-12</v>
      </c>
      <c r="H911" s="9">
        <f t="shared" si="59"/>
        <v>2.7845026322121768E-13</v>
      </c>
      <c r="I911" s="10">
        <f>SUM($H$3:H911)</f>
        <v>0.99502413170152548</v>
      </c>
      <c r="J911" s="23">
        <v>1.21E-2</v>
      </c>
      <c r="Q911" s="7">
        <f t="shared" si="57"/>
        <v>6.7442899591981745E-3</v>
      </c>
      <c r="R911" s="7">
        <f t="shared" si="56"/>
        <v>6.1716615664372263E-3</v>
      </c>
    </row>
    <row r="912" spans="1:18" x14ac:dyDescent="0.25">
      <c r="A912" s="22">
        <v>45904</v>
      </c>
      <c r="B912" s="12">
        <v>279.32</v>
      </c>
      <c r="C912" s="13">
        <v>1.4E-3</v>
      </c>
      <c r="D912" s="7">
        <v>50</v>
      </c>
      <c r="E912" s="7">
        <v>1.21E-2</v>
      </c>
      <c r="F912" s="7">
        <v>173</v>
      </c>
      <c r="G912" s="8">
        <f t="shared" si="58"/>
        <v>5.1464769032961866E-3</v>
      </c>
      <c r="H912" s="9">
        <f t="shared" si="59"/>
        <v>1.5439430709891645E-4</v>
      </c>
      <c r="I912" s="10">
        <f>SUM($H$3:H912)</f>
        <v>0.99517852600862444</v>
      </c>
      <c r="J912" s="23">
        <v>1.21E-2</v>
      </c>
      <c r="Q912" s="7">
        <f t="shared" si="57"/>
        <v>6.9528762465960571E-3</v>
      </c>
      <c r="R912" s="7">
        <f t="shared" si="56"/>
        <v>6.3625376973579654E-3</v>
      </c>
    </row>
    <row r="913" spans="1:18" x14ac:dyDescent="0.25">
      <c r="A913" s="22">
        <v>45905</v>
      </c>
      <c r="B913" s="12">
        <v>279.60000000000002</v>
      </c>
      <c r="C913" s="13">
        <v>1E-3</v>
      </c>
      <c r="D913" s="7">
        <v>49</v>
      </c>
      <c r="E913" s="7">
        <v>1.2200000000000001E-2</v>
      </c>
      <c r="F913" s="7">
        <v>884</v>
      </c>
      <c r="G913" s="8">
        <f t="shared" si="58"/>
        <v>2.0240120388302368E-12</v>
      </c>
      <c r="H913" s="9">
        <f t="shared" si="59"/>
        <v>6.0720361164919245E-14</v>
      </c>
      <c r="I913" s="10">
        <f>SUM($H$3:H913)</f>
        <v>0.99517852600868517</v>
      </c>
      <c r="J913" s="23">
        <v>1.2200000000000001E-2</v>
      </c>
      <c r="Q913" s="7">
        <f t="shared" si="57"/>
        <v>7.167913656284595E-3</v>
      </c>
      <c r="R913" s="7">
        <f t="shared" si="56"/>
        <v>6.5593172137710983E-3</v>
      </c>
    </row>
    <row r="914" spans="1:18" x14ac:dyDescent="0.25">
      <c r="A914" s="22">
        <v>45908</v>
      </c>
      <c r="B914" s="12">
        <v>279.99</v>
      </c>
      <c r="C914" s="13">
        <v>1.4E-3</v>
      </c>
      <c r="D914" s="7">
        <v>48</v>
      </c>
      <c r="E914" s="7">
        <v>1.2200000000000001E-2</v>
      </c>
      <c r="F914" s="7">
        <v>140</v>
      </c>
      <c r="G914" s="8">
        <f t="shared" si="58"/>
        <v>1.4061860890187107E-2</v>
      </c>
      <c r="H914" s="9">
        <f t="shared" si="59"/>
        <v>4.218558267056975E-4</v>
      </c>
      <c r="I914" s="10">
        <f>SUM($H$3:H914)</f>
        <v>0.9956003818353909</v>
      </c>
      <c r="J914" s="23">
        <v>1.2200000000000001E-2</v>
      </c>
      <c r="Q914" s="7">
        <f t="shared" si="57"/>
        <v>7.3896017075098909E-3</v>
      </c>
      <c r="R914" s="7">
        <f t="shared" si="56"/>
        <v>6.762182694609379E-3</v>
      </c>
    </row>
    <row r="915" spans="1:18" x14ac:dyDescent="0.25">
      <c r="A915" s="22">
        <v>45909</v>
      </c>
      <c r="B915" s="12">
        <v>280.54000000000002</v>
      </c>
      <c r="C915" s="13">
        <v>2E-3</v>
      </c>
      <c r="D915" s="7">
        <v>47</v>
      </c>
      <c r="E915" s="7">
        <v>1.23E-2</v>
      </c>
      <c r="F915" s="7">
        <v>477</v>
      </c>
      <c r="G915" s="8">
        <f t="shared" si="58"/>
        <v>4.8991106113405086E-7</v>
      </c>
      <c r="H915" s="9">
        <f t="shared" si="59"/>
        <v>1.4697331834024464E-8</v>
      </c>
      <c r="I915" s="10">
        <f>SUM($H$3:H915)</f>
        <v>0.9956003965327227</v>
      </c>
      <c r="J915" s="23">
        <v>1.23E-2</v>
      </c>
      <c r="Q915" s="7">
        <f t="shared" si="57"/>
        <v>7.6181460902163831E-3</v>
      </c>
      <c r="R915" s="7">
        <f t="shared" si="56"/>
        <v>6.9713223655766803E-3</v>
      </c>
    </row>
    <row r="916" spans="1:18" x14ac:dyDescent="0.25">
      <c r="A916" s="22">
        <v>45910</v>
      </c>
      <c r="B916" s="12">
        <v>281.83999999999997</v>
      </c>
      <c r="C916" s="13">
        <v>4.5999999999999999E-3</v>
      </c>
      <c r="D916" s="7">
        <v>46</v>
      </c>
      <c r="E916" s="7">
        <v>1.2800000000000001E-2</v>
      </c>
      <c r="F916" s="7">
        <v>939</v>
      </c>
      <c r="G916" s="8">
        <f t="shared" si="58"/>
        <v>3.7901681345227811E-13</v>
      </c>
      <c r="H916" s="9">
        <f t="shared" si="59"/>
        <v>1.1370504403570615E-14</v>
      </c>
      <c r="I916" s="10">
        <f>SUM($H$3:H916)</f>
        <v>0.99560039653273402</v>
      </c>
      <c r="J916" s="23">
        <v>1.2800000000000001E-2</v>
      </c>
      <c r="Q916" s="7">
        <f t="shared" si="57"/>
        <v>7.8537588558931781E-3</v>
      </c>
      <c r="R916" s="7">
        <f t="shared" si="56"/>
        <v>7.1869302737903916E-3</v>
      </c>
    </row>
    <row r="917" spans="1:18" x14ac:dyDescent="0.25">
      <c r="A917" s="22">
        <v>45911</v>
      </c>
      <c r="B917" s="12">
        <v>282.52999999999997</v>
      </c>
      <c r="C917" s="13">
        <v>2.3999999999999998E-3</v>
      </c>
      <c r="D917" s="7">
        <v>45</v>
      </c>
      <c r="E917" s="7">
        <v>1.2800000000000001E-2</v>
      </c>
      <c r="F917" s="7">
        <v>817</v>
      </c>
      <c r="G917" s="8">
        <f t="shared" si="58"/>
        <v>1.5577827683720571E-11</v>
      </c>
      <c r="H917" s="9">
        <f t="shared" si="59"/>
        <v>4.6733483051171056E-13</v>
      </c>
      <c r="I917" s="10">
        <f>SUM($H$3:H917)</f>
        <v>0.99560039653320132</v>
      </c>
      <c r="J917" s="23">
        <v>1.2800000000000001E-2</v>
      </c>
      <c r="Q917" s="7">
        <f t="shared" si="57"/>
        <v>8.0966586143228648E-3</v>
      </c>
      <c r="R917" s="7">
        <f t="shared" si="56"/>
        <v>7.4092064678251473E-3</v>
      </c>
    </row>
    <row r="918" spans="1:18" x14ac:dyDescent="0.25">
      <c r="A918" s="22">
        <v>45912</v>
      </c>
      <c r="B918" s="12">
        <v>283.51</v>
      </c>
      <c r="C918" s="13">
        <v>3.5000000000000001E-3</v>
      </c>
      <c r="D918" s="7">
        <v>44</v>
      </c>
      <c r="E918" s="7">
        <v>1.29E-2</v>
      </c>
      <c r="F918" s="7">
        <v>102</v>
      </c>
      <c r="G918" s="8">
        <f t="shared" si="58"/>
        <v>4.4742154707014231E-2</v>
      </c>
      <c r="H918" s="9">
        <f t="shared" si="59"/>
        <v>1.3422646412106951E-3</v>
      </c>
      <c r="I918" s="10">
        <f>SUM($H$3:H918)</f>
        <v>0.99694266117441199</v>
      </c>
      <c r="J918" s="23">
        <v>1.29E-2</v>
      </c>
      <c r="Q918" s="7">
        <f t="shared" si="57"/>
        <v>8.3470707364153244E-3</v>
      </c>
      <c r="R918" s="7">
        <f t="shared" si="56"/>
        <v>7.6383571833248936E-3</v>
      </c>
    </row>
    <row r="919" spans="1:18" x14ac:dyDescent="0.25">
      <c r="A919" s="22">
        <v>45915</v>
      </c>
      <c r="B919" s="12">
        <v>283.12</v>
      </c>
      <c r="C919" s="13">
        <v>-1.4E-3</v>
      </c>
      <c r="D919" s="7">
        <v>43</v>
      </c>
      <c r="E919" s="7">
        <v>1.2999999999999999E-2</v>
      </c>
      <c r="F919" s="7">
        <v>318</v>
      </c>
      <c r="G919" s="8">
        <f t="shared" si="58"/>
        <v>6.2145759020639101E-5</v>
      </c>
      <c r="H919" s="9">
        <f t="shared" si="59"/>
        <v>1.8643727706195457E-6</v>
      </c>
      <c r="I919" s="10">
        <f>SUM($H$3:H919)</f>
        <v>0.9969445255471826</v>
      </c>
      <c r="J919" s="23">
        <v>1.2999999999999999E-2</v>
      </c>
      <c r="Q919" s="7">
        <f t="shared" si="57"/>
        <v>8.6052275633147681E-3</v>
      </c>
      <c r="R919" s="7">
        <f t="shared" si="56"/>
        <v>7.8745950343555617E-3</v>
      </c>
    </row>
    <row r="920" spans="1:18" x14ac:dyDescent="0.25">
      <c r="A920" s="22">
        <v>45916</v>
      </c>
      <c r="B920" s="12">
        <v>284.89</v>
      </c>
      <c r="C920" s="13">
        <v>6.3E-3</v>
      </c>
      <c r="D920" s="7">
        <v>42</v>
      </c>
      <c r="E920" s="7">
        <v>1.2999999999999999E-2</v>
      </c>
      <c r="F920" s="7">
        <v>128</v>
      </c>
      <c r="G920" s="8">
        <f t="shared" si="58"/>
        <v>2.0266650871550874E-2</v>
      </c>
      <c r="H920" s="9">
        <f t="shared" si="59"/>
        <v>6.0799952614664775E-4</v>
      </c>
      <c r="I920" s="10">
        <f>SUM($H$3:H920)</f>
        <v>0.99755252507332925</v>
      </c>
      <c r="J920" s="23">
        <v>1.2999999999999999E-2</v>
      </c>
      <c r="Q920" s="7">
        <f t="shared" si="57"/>
        <v>8.8713686219739872E-3</v>
      </c>
      <c r="R920" s="7">
        <f t="shared" si="56"/>
        <v>8.1181392106758361E-3</v>
      </c>
    </row>
    <row r="921" spans="1:18" x14ac:dyDescent="0.25">
      <c r="A921" s="22">
        <v>45917</v>
      </c>
      <c r="B921" s="12">
        <v>285.98</v>
      </c>
      <c r="C921" s="13">
        <v>3.8E-3</v>
      </c>
      <c r="D921" s="7">
        <v>41</v>
      </c>
      <c r="E921" s="7">
        <v>1.3100000000000001E-2</v>
      </c>
      <c r="F921" s="7">
        <v>707</v>
      </c>
      <c r="G921" s="8">
        <f t="shared" si="58"/>
        <v>4.4423843063889925E-10</v>
      </c>
      <c r="H921" s="9">
        <f t="shared" si="59"/>
        <v>1.3327152919169641E-11</v>
      </c>
      <c r="I921" s="10">
        <f>SUM($H$3:H921)</f>
        <v>0.99755252508665637</v>
      </c>
      <c r="J921" s="23">
        <v>1.3100000000000001E-2</v>
      </c>
      <c r="Q921" s="7">
        <f t="shared" si="57"/>
        <v>9.145740847395863E-3</v>
      </c>
      <c r="R921" s="7">
        <f t="shared" si="56"/>
        <v>8.3692156811091094E-3</v>
      </c>
    </row>
    <row r="922" spans="1:18" x14ac:dyDescent="0.25">
      <c r="A922" s="22">
        <v>45918</v>
      </c>
      <c r="B922" s="12">
        <v>286.7</v>
      </c>
      <c r="C922" s="13">
        <v>2.5000000000000001E-3</v>
      </c>
      <c r="D922" s="7">
        <v>40</v>
      </c>
      <c r="E922" s="7">
        <v>1.35E-2</v>
      </c>
      <c r="F922" s="7">
        <v>826</v>
      </c>
      <c r="G922" s="8">
        <f t="shared" si="58"/>
        <v>1.1842748431533283E-11</v>
      </c>
      <c r="H922" s="9">
        <f t="shared" si="59"/>
        <v>3.5528245294606951E-13</v>
      </c>
      <c r="I922" s="10">
        <f>SUM($H$3:H922)</f>
        <v>0.99755252508701164</v>
      </c>
      <c r="J922" s="23">
        <v>1.35E-2</v>
      </c>
      <c r="Q922" s="7">
        <f t="shared" si="57"/>
        <v>9.4285988117483125E-3</v>
      </c>
      <c r="R922" s="7">
        <f t="shared" si="56"/>
        <v>8.6280574032052675E-3</v>
      </c>
    </row>
    <row r="923" spans="1:18" x14ac:dyDescent="0.25">
      <c r="A923" s="22">
        <v>45919</v>
      </c>
      <c r="B923" s="12">
        <v>285.89999999999998</v>
      </c>
      <c r="C923" s="13">
        <v>-2.8E-3</v>
      </c>
      <c r="D923" s="7">
        <v>39</v>
      </c>
      <c r="E923" s="7">
        <v>1.3599999999999999E-2</v>
      </c>
      <c r="F923" s="7">
        <v>669</v>
      </c>
      <c r="G923" s="8">
        <f t="shared" si="58"/>
        <v>1.4134818105274517E-9</v>
      </c>
      <c r="H923" s="9">
        <f t="shared" si="59"/>
        <v>4.2404454315832023E-11</v>
      </c>
      <c r="I923" s="10">
        <f>SUM($H$3:H923)</f>
        <v>0.99755252512941606</v>
      </c>
      <c r="J923" s="23">
        <v>1.3599999999999999E-2</v>
      </c>
      <c r="Q923" s="7">
        <f t="shared" si="57"/>
        <v>9.7202049605652711E-3</v>
      </c>
      <c r="R923" s="7">
        <f t="shared" si="56"/>
        <v>8.8949045393868741E-3</v>
      </c>
    </row>
    <row r="924" spans="1:18" x14ac:dyDescent="0.25">
      <c r="A924" s="22">
        <v>45922</v>
      </c>
      <c r="B924" s="12">
        <v>284.49</v>
      </c>
      <c r="C924" s="13">
        <v>-4.8999999999999998E-3</v>
      </c>
      <c r="D924" s="7">
        <v>38</v>
      </c>
      <c r="E924" s="7">
        <v>1.37E-2</v>
      </c>
      <c r="F924" s="7">
        <v>941</v>
      </c>
      <c r="G924" s="8">
        <f t="shared" si="58"/>
        <v>3.566169197772485E-13</v>
      </c>
      <c r="H924" s="9">
        <f t="shared" si="59"/>
        <v>1.0698507593319593E-14</v>
      </c>
      <c r="I924" s="10">
        <f>SUM($H$3:H924)</f>
        <v>0.99755252512942671</v>
      </c>
      <c r="J924" s="23">
        <v>1.37E-2</v>
      </c>
      <c r="Q924" s="7">
        <f t="shared" si="57"/>
        <v>1.0020829856252857E-2</v>
      </c>
      <c r="R924" s="7">
        <f t="shared" si="56"/>
        <v>9.1700046797802831E-3</v>
      </c>
    </row>
    <row r="925" spans="1:18" x14ac:dyDescent="0.25">
      <c r="A925" s="22">
        <v>45923</v>
      </c>
      <c r="B925" s="12">
        <v>284.35000000000002</v>
      </c>
      <c r="C925" s="13">
        <v>-5.0000000000000001E-4</v>
      </c>
      <c r="D925" s="7">
        <v>37</v>
      </c>
      <c r="E925" s="7">
        <v>1.37E-2</v>
      </c>
      <c r="F925" s="7">
        <v>193</v>
      </c>
      <c r="G925" s="8">
        <f t="shared" si="58"/>
        <v>2.7986250260156305E-3</v>
      </c>
      <c r="H925" s="9">
        <f t="shared" si="59"/>
        <v>8.3958750780485698E-5</v>
      </c>
      <c r="I925" s="10">
        <f>SUM($H$3:H925)</f>
        <v>0.9976364838802072</v>
      </c>
      <c r="J925" s="23">
        <v>1.37E-2</v>
      </c>
      <c r="Q925" s="7">
        <f t="shared" si="57"/>
        <v>1.0330752429126656E-2</v>
      </c>
      <c r="R925" s="7">
        <f t="shared" si="56"/>
        <v>9.4536130719384357E-3</v>
      </c>
    </row>
    <row r="926" spans="1:18" x14ac:dyDescent="0.25">
      <c r="A926" s="22">
        <v>45924</v>
      </c>
      <c r="B926" s="12">
        <v>282.88</v>
      </c>
      <c r="C926" s="13">
        <v>-5.1999999999999998E-3</v>
      </c>
      <c r="D926" s="7">
        <v>36</v>
      </c>
      <c r="E926" s="7">
        <v>1.4E-2</v>
      </c>
      <c r="F926" s="7">
        <v>922</v>
      </c>
      <c r="G926" s="8">
        <f t="shared" si="58"/>
        <v>6.3611991680930127E-13</v>
      </c>
      <c r="H926" s="9">
        <f t="shared" si="59"/>
        <v>1.9083597504282854E-14</v>
      </c>
      <c r="I926" s="10">
        <f>SUM($H$3:H926)</f>
        <v>0.9976364838802263</v>
      </c>
      <c r="J926" s="23">
        <v>1.4E-2</v>
      </c>
      <c r="Q926" s="7">
        <f t="shared" si="57"/>
        <v>1.0650260236213047E-2</v>
      </c>
      <c r="R926" s="7">
        <f t="shared" si="56"/>
        <v>9.7459928576684885E-3</v>
      </c>
    </row>
    <row r="927" spans="1:18" x14ac:dyDescent="0.25">
      <c r="A927" s="22">
        <v>45925</v>
      </c>
      <c r="B927" s="12">
        <v>281.24</v>
      </c>
      <c r="C927" s="13">
        <v>-5.7999999999999996E-3</v>
      </c>
      <c r="D927" s="7">
        <v>35</v>
      </c>
      <c r="E927" s="7">
        <v>1.4200000000000001E-2</v>
      </c>
      <c r="F927" s="7">
        <v>818</v>
      </c>
      <c r="G927" s="8">
        <f t="shared" si="58"/>
        <v>1.5110492853208955E-11</v>
      </c>
      <c r="H927" s="9">
        <f t="shared" si="59"/>
        <v>4.5331478559635929E-13</v>
      </c>
      <c r="I927" s="10">
        <f>SUM($H$3:H927)</f>
        <v>0.9976364838806796</v>
      </c>
      <c r="J927" s="23">
        <v>1.4200000000000001E-2</v>
      </c>
      <c r="Q927" s="7">
        <f t="shared" si="57"/>
        <v>1.0979649728054689E-2</v>
      </c>
      <c r="R927" s="7">
        <f t="shared" si="56"/>
        <v>1.004741531718401E-2</v>
      </c>
    </row>
    <row r="928" spans="1:18" x14ac:dyDescent="0.25">
      <c r="A928" s="22">
        <v>45926</v>
      </c>
      <c r="B928" s="12">
        <v>278.74</v>
      </c>
      <c r="C928" s="13">
        <v>-8.8999999999999999E-3</v>
      </c>
      <c r="D928" s="7">
        <v>34</v>
      </c>
      <c r="E928" s="7">
        <v>1.44E-2</v>
      </c>
      <c r="F928" s="7">
        <v>165</v>
      </c>
      <c r="G928" s="8">
        <f t="shared" si="58"/>
        <v>6.566533344523103E-3</v>
      </c>
      <c r="H928" s="9">
        <f t="shared" si="59"/>
        <v>1.9699600033573245E-4</v>
      </c>
      <c r="I928" s="10">
        <f>SUM($H$3:H928)</f>
        <v>0.99783347988101534</v>
      </c>
      <c r="J928" s="23">
        <v>1.44E-2</v>
      </c>
      <c r="Q928" s="7">
        <f t="shared" si="57"/>
        <v>1.131922652376772E-2</v>
      </c>
      <c r="R928" s="7">
        <f t="shared" si="56"/>
        <v>1.0358160120808257E-2</v>
      </c>
    </row>
    <row r="929" spans="1:18" x14ac:dyDescent="0.25">
      <c r="A929" s="22">
        <v>45929</v>
      </c>
      <c r="B929" s="12">
        <v>278.54000000000002</v>
      </c>
      <c r="C929" s="13">
        <v>-6.9999999999999999E-4</v>
      </c>
      <c r="D929" s="7">
        <v>33</v>
      </c>
      <c r="E929" s="7">
        <v>1.4500000000000001E-2</v>
      </c>
      <c r="F929" s="7">
        <v>244</v>
      </c>
      <c r="G929" s="8">
        <f t="shared" si="58"/>
        <v>5.9197472025210405E-4</v>
      </c>
      <c r="H929" s="9">
        <f t="shared" si="59"/>
        <v>1.775924160756667E-5</v>
      </c>
      <c r="I929" s="10">
        <f>SUM($H$3:H929)</f>
        <v>0.99785123912262286</v>
      </c>
      <c r="J929" s="23">
        <v>1.4500000000000001E-2</v>
      </c>
      <c r="Q929" s="7">
        <f t="shared" si="57"/>
        <v>1.1669305694605897E-2</v>
      </c>
      <c r="R929" s="7">
        <f t="shared" si="56"/>
        <v>1.0678515588462121E-2</v>
      </c>
    </row>
    <row r="930" spans="1:18" x14ac:dyDescent="0.25">
      <c r="A930" s="22">
        <v>45930</v>
      </c>
      <c r="B930" s="12">
        <v>277.52</v>
      </c>
      <c r="C930" s="13">
        <v>-3.7000000000000002E-3</v>
      </c>
      <c r="D930" s="7">
        <v>32</v>
      </c>
      <c r="E930" s="7">
        <v>1.4500000000000001E-2</v>
      </c>
      <c r="F930" s="7">
        <v>151</v>
      </c>
      <c r="G930" s="8">
        <f t="shared" si="58"/>
        <v>1.005846882478024E-2</v>
      </c>
      <c r="H930" s="9">
        <f t="shared" si="59"/>
        <v>3.0175406474346753E-4</v>
      </c>
      <c r="I930" s="10">
        <f>SUM($H$3:H930)</f>
        <v>0.99815299318736628</v>
      </c>
      <c r="J930" s="23">
        <v>1.4500000000000001E-2</v>
      </c>
      <c r="Q930" s="7">
        <f t="shared" si="57"/>
        <v>1.2030212056294738E-2</v>
      </c>
      <c r="R930" s="7">
        <f t="shared" si="56"/>
        <v>1.1008778957177444E-2</v>
      </c>
    </row>
    <row r="931" spans="1:18" x14ac:dyDescent="0.25">
      <c r="A931" s="22">
        <v>45931</v>
      </c>
      <c r="B931" s="12">
        <v>280.51</v>
      </c>
      <c r="C931" s="13">
        <v>1.0800000000000001E-2</v>
      </c>
      <c r="D931" s="7">
        <v>31</v>
      </c>
      <c r="E931" s="7">
        <v>1.46E-2</v>
      </c>
      <c r="F931" s="7">
        <v>912</v>
      </c>
      <c r="G931" s="8">
        <f t="shared" si="58"/>
        <v>8.626242261530164E-13</v>
      </c>
      <c r="H931" s="9">
        <f t="shared" si="59"/>
        <v>2.5878726784595665E-14</v>
      </c>
      <c r="I931" s="10">
        <f>SUM($H$3:H931)</f>
        <v>0.99815299318739215</v>
      </c>
      <c r="J931" s="23">
        <v>1.46E-2</v>
      </c>
      <c r="Q931" s="7">
        <f t="shared" si="57"/>
        <v>1.2402280470406948E-2</v>
      </c>
      <c r="R931" s="7">
        <f t="shared" si="56"/>
        <v>1.1349256656883964E-2</v>
      </c>
    </row>
    <row r="932" spans="1:18" x14ac:dyDescent="0.25">
      <c r="A932" s="22">
        <v>45933</v>
      </c>
      <c r="B932" s="12">
        <v>281.16000000000003</v>
      </c>
      <c r="C932" s="13">
        <v>2.3E-3</v>
      </c>
      <c r="D932" s="7">
        <v>30</v>
      </c>
      <c r="E932" s="7">
        <v>1.46E-2</v>
      </c>
      <c r="F932" s="7">
        <v>161</v>
      </c>
      <c r="G932" s="8">
        <f t="shared" si="58"/>
        <v>7.4173575910134225E-3</v>
      </c>
      <c r="H932" s="9">
        <f t="shared" si="59"/>
        <v>2.2252072773044714E-4</v>
      </c>
      <c r="I932" s="10">
        <f>SUM($H$3:H932)</f>
        <v>0.99837551391512258</v>
      </c>
      <c r="J932" s="23">
        <v>1.46E-2</v>
      </c>
      <c r="Q932" s="7">
        <f t="shared" si="57"/>
        <v>1.2785856155058709E-2</v>
      </c>
      <c r="R932" s="7">
        <f t="shared" si="56"/>
        <v>1.1700264594725736E-2</v>
      </c>
    </row>
    <row r="933" spans="1:18" x14ac:dyDescent="0.25">
      <c r="A933" s="22">
        <v>45936</v>
      </c>
      <c r="B933" s="12">
        <v>283.07</v>
      </c>
      <c r="C933" s="13">
        <v>6.7999999999999996E-3</v>
      </c>
      <c r="D933" s="7">
        <v>29</v>
      </c>
      <c r="E933" s="7">
        <v>1.4800000000000001E-2</v>
      </c>
      <c r="F933" s="7">
        <v>651</v>
      </c>
      <c r="G933" s="8">
        <f t="shared" si="58"/>
        <v>2.4456764819718478E-9</v>
      </c>
      <c r="H933" s="9">
        <f t="shared" si="59"/>
        <v>7.3370294459170106E-11</v>
      </c>
      <c r="I933" s="10">
        <f>SUM($H$3:H933)</f>
        <v>0.99837551398849289</v>
      </c>
      <c r="J933" s="23">
        <v>1.4800000000000001E-2</v>
      </c>
      <c r="Q933" s="7">
        <f t="shared" si="57"/>
        <v>1.3181295005215166E-2</v>
      </c>
      <c r="R933" s="7">
        <f t="shared" si="56"/>
        <v>1.2062128448170863E-2</v>
      </c>
    </row>
    <row r="934" spans="1:18" x14ac:dyDescent="0.25">
      <c r="A934" s="22">
        <v>45937</v>
      </c>
      <c r="B934" s="12">
        <v>283.41000000000003</v>
      </c>
      <c r="C934" s="13">
        <v>1.1999999999999999E-3</v>
      </c>
      <c r="D934" s="7">
        <v>28</v>
      </c>
      <c r="E934" s="7">
        <v>1.4800000000000001E-2</v>
      </c>
      <c r="F934" s="7">
        <v>423</v>
      </c>
      <c r="G934" s="8">
        <f t="shared" si="58"/>
        <v>2.5377193701771688E-6</v>
      </c>
      <c r="H934" s="9">
        <f t="shared" si="59"/>
        <v>7.6131581105330279E-8</v>
      </c>
      <c r="I934" s="10">
        <f>SUM($H$3:H934)</f>
        <v>0.99837559012007404</v>
      </c>
      <c r="J934" s="23">
        <v>1.4800000000000001E-2</v>
      </c>
      <c r="Q934" s="7">
        <f t="shared" si="57"/>
        <v>1.3588963922902233E-2</v>
      </c>
      <c r="R934" s="7">
        <f t="shared" si="56"/>
        <v>1.2435183967186457E-2</v>
      </c>
    </row>
    <row r="935" spans="1:18" x14ac:dyDescent="0.25">
      <c r="A935" s="22">
        <v>45938</v>
      </c>
      <c r="B935" s="12">
        <v>282.38</v>
      </c>
      <c r="C935" s="13">
        <v>-3.5999999999999999E-3</v>
      </c>
      <c r="D935" s="7">
        <v>27</v>
      </c>
      <c r="E935" s="7">
        <v>1.4999999999999999E-2</v>
      </c>
      <c r="F935" s="7">
        <v>775</v>
      </c>
      <c r="G935" s="8">
        <f t="shared" si="58"/>
        <v>5.5987884285297901E-11</v>
      </c>
      <c r="H935" s="9">
        <f t="shared" si="59"/>
        <v>1.6796365285592727E-12</v>
      </c>
      <c r="I935" s="10">
        <f>SUM($H$3:H935)</f>
        <v>0.9983755901217537</v>
      </c>
      <c r="J935" s="23">
        <v>1.4999999999999999E-2</v>
      </c>
      <c r="Q935" s="7">
        <f t="shared" si="57"/>
        <v>1.4009241157631165E-2</v>
      </c>
      <c r="R935" s="7">
        <f t="shared" si="56"/>
        <v>1.2819777285759231E-2</v>
      </c>
    </row>
    <row r="936" spans="1:18" x14ac:dyDescent="0.25">
      <c r="A936" s="22">
        <v>45939</v>
      </c>
      <c r="B936" s="12">
        <v>284.05</v>
      </c>
      <c r="C936" s="13">
        <v>5.8999999999999999E-3</v>
      </c>
      <c r="D936" s="7">
        <v>26</v>
      </c>
      <c r="E936" s="7">
        <v>1.5100000000000001E-2</v>
      </c>
      <c r="F936" s="7">
        <v>914</v>
      </c>
      <c r="G936" s="8">
        <f t="shared" si="58"/>
        <v>8.1164313438737323E-13</v>
      </c>
      <c r="H936" s="9">
        <f t="shared" si="59"/>
        <v>2.4349294031626064E-14</v>
      </c>
      <c r="I936" s="10">
        <f>SUM($H$3:H936)</f>
        <v>0.99837559012177801</v>
      </c>
      <c r="J936" s="23">
        <v>1.5100000000000001E-2</v>
      </c>
      <c r="Q936" s="7">
        <f t="shared" si="57"/>
        <v>1.4442516657351719E-2</v>
      </c>
      <c r="R936" s="7">
        <f t="shared" si="56"/>
        <v>1.3216265243050756E-2</v>
      </c>
    </row>
    <row r="937" spans="1:18" x14ac:dyDescent="0.25">
      <c r="A937" s="22">
        <v>45940</v>
      </c>
      <c r="B937" s="12">
        <v>285.52</v>
      </c>
      <c r="C937" s="13">
        <v>5.1999999999999998E-3</v>
      </c>
      <c r="D937" s="7">
        <v>25</v>
      </c>
      <c r="E937" s="7">
        <v>1.52E-2</v>
      </c>
      <c r="F937" s="7">
        <v>326</v>
      </c>
      <c r="G937" s="8">
        <f t="shared" si="58"/>
        <v>4.8706325949641204E-5</v>
      </c>
      <c r="H937" s="9">
        <f t="shared" si="59"/>
        <v>1.4611897784895281E-6</v>
      </c>
      <c r="I937" s="10">
        <f>SUM($H$3:H937)</f>
        <v>0.99837705131155652</v>
      </c>
      <c r="J937" s="23">
        <v>1.52E-2</v>
      </c>
      <c r="Q937" s="7">
        <f t="shared" si="57"/>
        <v>1.4889192430259504E-2</v>
      </c>
      <c r="R937" s="7">
        <f t="shared" si="56"/>
        <v>1.3625015714485315E-2</v>
      </c>
    </row>
    <row r="938" spans="1:18" x14ac:dyDescent="0.25">
      <c r="A938" s="22">
        <v>45943</v>
      </c>
      <c r="B938" s="12">
        <v>284.64</v>
      </c>
      <c r="C938" s="13">
        <v>-3.0999999999999999E-3</v>
      </c>
      <c r="D938" s="7">
        <v>24</v>
      </c>
      <c r="E938" s="7">
        <v>1.5699999999999999E-2</v>
      </c>
      <c r="F938" s="7">
        <v>370</v>
      </c>
      <c r="G938" s="8">
        <f t="shared" si="58"/>
        <v>1.2750924625500468E-5</v>
      </c>
      <c r="H938" s="9">
        <f t="shared" si="59"/>
        <v>3.8252773876509048E-7</v>
      </c>
      <c r="I938" s="10">
        <f>SUM($H$3:H938)</f>
        <v>0.99837743383929534</v>
      </c>
      <c r="J938" s="23">
        <v>1.5699999999999999E-2</v>
      </c>
      <c r="Q938" s="7">
        <f t="shared" si="57"/>
        <v>1.5349682917793303E-2</v>
      </c>
      <c r="R938" s="7">
        <f t="shared" si="56"/>
        <v>1.4046407953077645E-2</v>
      </c>
    </row>
    <row r="939" spans="1:18" x14ac:dyDescent="0.25">
      <c r="A939" s="22">
        <v>45944</v>
      </c>
      <c r="B939" s="12">
        <v>283.69</v>
      </c>
      <c r="C939" s="13">
        <v>-3.3E-3</v>
      </c>
      <c r="D939" s="7">
        <v>23</v>
      </c>
      <c r="E939" s="7">
        <v>1.6199999999999999E-2</v>
      </c>
      <c r="F939" s="7">
        <v>217</v>
      </c>
      <c r="G939" s="8">
        <f t="shared" si="58"/>
        <v>1.3473062851970697E-3</v>
      </c>
      <c r="H939" s="9">
        <f t="shared" si="59"/>
        <v>4.0419188555920166E-5</v>
      </c>
      <c r="I939" s="10">
        <f>SUM($H$3:H939)</f>
        <v>0.99841785302785124</v>
      </c>
      <c r="J939" s="23">
        <v>1.6199999999999999E-2</v>
      </c>
      <c r="Q939" s="7">
        <f t="shared" si="57"/>
        <v>1.5824415379168354E-2</v>
      </c>
      <c r="R939" s="7">
        <f t="shared" si="56"/>
        <v>1.448083294131716E-2</v>
      </c>
    </row>
    <row r="940" spans="1:18" x14ac:dyDescent="0.25">
      <c r="A940" s="22">
        <v>45945</v>
      </c>
      <c r="B940" s="12">
        <v>286.07</v>
      </c>
      <c r="C940" s="13">
        <v>8.3999999999999995E-3</v>
      </c>
      <c r="D940" s="7">
        <v>22</v>
      </c>
      <c r="E940" s="7">
        <v>1.6500000000000001E-2</v>
      </c>
      <c r="F940" s="7">
        <v>447</v>
      </c>
      <c r="G940" s="8">
        <f t="shared" si="58"/>
        <v>1.2217018091822611E-6</v>
      </c>
      <c r="H940" s="9">
        <f t="shared" si="59"/>
        <v>3.6651054275475158E-8</v>
      </c>
      <c r="I940" s="10">
        <f>SUM($H$3:H940)</f>
        <v>0.99841788967890555</v>
      </c>
      <c r="J940" s="23">
        <v>1.6500000000000001E-2</v>
      </c>
      <c r="Q940" s="7">
        <f t="shared" si="57"/>
        <v>1.6313830287802429E-2</v>
      </c>
      <c r="R940" s="7">
        <f t="shared" si="56"/>
        <v>1.492869375393522E-2</v>
      </c>
    </row>
    <row r="941" spans="1:18" x14ac:dyDescent="0.25">
      <c r="A941" s="22">
        <v>45946</v>
      </c>
      <c r="B941" s="12">
        <v>288.7</v>
      </c>
      <c r="C941" s="13">
        <v>9.1999999999999998E-3</v>
      </c>
      <c r="D941" s="7">
        <v>21</v>
      </c>
      <c r="E941" s="7">
        <v>1.66E-2</v>
      </c>
      <c r="F941" s="7">
        <v>909</v>
      </c>
      <c r="G941" s="8">
        <f t="shared" si="58"/>
        <v>9.4516242526405012E-13</v>
      </c>
      <c r="H941" s="9">
        <f t="shared" si="59"/>
        <v>2.835487275792717E-14</v>
      </c>
      <c r="I941" s="10">
        <f>SUM($H$3:H941)</f>
        <v>0.99841788967893386</v>
      </c>
      <c r="J941" s="23">
        <v>1.66E-2</v>
      </c>
      <c r="Q941" s="7">
        <f t="shared" si="57"/>
        <v>1.6818381740002504E-2</v>
      </c>
      <c r="R941" s="7">
        <f t="shared" si="56"/>
        <v>1.5390405931891978E-2</v>
      </c>
    </row>
    <row r="942" spans="1:18" x14ac:dyDescent="0.25">
      <c r="A942" s="22">
        <v>45947</v>
      </c>
      <c r="B942" s="12">
        <v>290.17</v>
      </c>
      <c r="C942" s="13">
        <v>5.1000000000000004E-3</v>
      </c>
      <c r="D942" s="7">
        <v>20</v>
      </c>
      <c r="E942" s="7">
        <v>1.66E-2</v>
      </c>
      <c r="F942" s="7">
        <v>312</v>
      </c>
      <c r="G942" s="8">
        <f t="shared" si="58"/>
        <v>7.4607260091455574E-5</v>
      </c>
      <c r="H942" s="9">
        <f t="shared" si="59"/>
        <v>2.2382178027441146E-6</v>
      </c>
      <c r="I942" s="10">
        <f>SUM($H$3:H942)</f>
        <v>0.99842012789673662</v>
      </c>
      <c r="J942" s="23">
        <v>1.66E-2</v>
      </c>
      <c r="Q942" s="7">
        <f t="shared" si="57"/>
        <v>1.7338537876291242E-2</v>
      </c>
      <c r="R942" s="7">
        <f t="shared" si="56"/>
        <v>1.5866397867929875E-2</v>
      </c>
    </row>
    <row r="943" spans="1:18" x14ac:dyDescent="0.25">
      <c r="A943" s="22">
        <v>45950</v>
      </c>
      <c r="B943" s="12">
        <v>291.86</v>
      </c>
      <c r="C943" s="13">
        <v>5.7999999999999996E-3</v>
      </c>
      <c r="D943" s="7">
        <v>19</v>
      </c>
      <c r="E943" s="7">
        <v>1.6899999999999998E-2</v>
      </c>
      <c r="F943" s="7">
        <v>910</v>
      </c>
      <c r="G943" s="8">
        <f t="shared" si="58"/>
        <v>9.1680755250612866E-13</v>
      </c>
      <c r="H943" s="9">
        <f t="shared" si="59"/>
        <v>2.7504226575189358E-14</v>
      </c>
      <c r="I943" s="10">
        <f>SUM($H$3:H943)</f>
        <v>0.99842012789676415</v>
      </c>
      <c r="J943" s="23">
        <v>1.6899999999999998E-2</v>
      </c>
      <c r="Q943" s="7">
        <f t="shared" si="57"/>
        <v>1.7874781315764164E-2</v>
      </c>
      <c r="R943" s="7">
        <f t="shared" si="56"/>
        <v>1.6357111204051415E-2</v>
      </c>
    </row>
    <row r="944" spans="1:18" x14ac:dyDescent="0.25">
      <c r="A944" s="22">
        <v>45951</v>
      </c>
      <c r="B944" s="12">
        <v>291.87</v>
      </c>
      <c r="C944" s="13">
        <v>0</v>
      </c>
      <c r="D944" s="7">
        <v>18</v>
      </c>
      <c r="E944" s="7">
        <v>1.7100000000000001E-2</v>
      </c>
      <c r="F944" s="7">
        <v>748</v>
      </c>
      <c r="G944" s="8">
        <f t="shared" si="58"/>
        <v>1.2742575960058491E-10</v>
      </c>
      <c r="H944" s="9">
        <f t="shared" si="59"/>
        <v>3.8227727880183113E-12</v>
      </c>
      <c r="I944" s="10">
        <f>SUM($H$3:H944)</f>
        <v>0.99842012790058687</v>
      </c>
      <c r="J944" s="23">
        <v>1.7100000000000001E-2</v>
      </c>
      <c r="Q944" s="7">
        <f t="shared" si="57"/>
        <v>1.8427609603880582E-2</v>
      </c>
      <c r="R944" s="7">
        <f t="shared" si="56"/>
        <v>1.6863001241290119E-2</v>
      </c>
    </row>
    <row r="945" spans="1:18" x14ac:dyDescent="0.25">
      <c r="A945" s="22">
        <v>45953</v>
      </c>
      <c r="B945" s="12">
        <v>292.39</v>
      </c>
      <c r="C945" s="13">
        <v>1.8E-3</v>
      </c>
      <c r="D945" s="7">
        <v>17</v>
      </c>
      <c r="E945" s="7">
        <v>1.7600000000000001E-2</v>
      </c>
      <c r="F945" s="7">
        <v>845</v>
      </c>
      <c r="G945" s="8">
        <f t="shared" si="58"/>
        <v>6.6391954657447489E-12</v>
      </c>
      <c r="H945" s="9">
        <f t="shared" si="59"/>
        <v>1.9917586397238227E-13</v>
      </c>
      <c r="I945" s="10">
        <f>SUM($H$3:H945)</f>
        <v>0.99842012790078605</v>
      </c>
      <c r="J945" s="23">
        <v>1.7600000000000001E-2</v>
      </c>
      <c r="Q945" s="7">
        <f t="shared" si="57"/>
        <v>1.8997535674103692E-2</v>
      </c>
      <c r="R945" s="7">
        <f t="shared" si="56"/>
        <v>1.7384537362154763E-2</v>
      </c>
    </row>
    <row r="946" spans="1:18" x14ac:dyDescent="0.25">
      <c r="A946" s="22">
        <v>45954</v>
      </c>
      <c r="B946" s="12">
        <v>291.04000000000002</v>
      </c>
      <c r="C946" s="13">
        <v>-4.5999999999999999E-3</v>
      </c>
      <c r="D946" s="7">
        <v>16</v>
      </c>
      <c r="E946" s="7">
        <v>1.77E-2</v>
      </c>
      <c r="F946" s="7">
        <v>146</v>
      </c>
      <c r="G946" s="8">
        <f t="shared" si="58"/>
        <v>1.1713136458731847E-2</v>
      </c>
      <c r="H946" s="9">
        <f t="shared" si="59"/>
        <v>3.5139409376202564E-4</v>
      </c>
      <c r="I946" s="10">
        <f>SUM($H$3:H946)</f>
        <v>0.99877152199454811</v>
      </c>
      <c r="J946" s="23">
        <v>1.77E-2</v>
      </c>
      <c r="Q946" s="7">
        <f t="shared" si="57"/>
        <v>1.958508832381824E-2</v>
      </c>
      <c r="R946" s="7">
        <f t="shared" si="56"/>
        <v>1.7922203466138931E-2</v>
      </c>
    </row>
    <row r="947" spans="1:18" x14ac:dyDescent="0.25">
      <c r="A947" s="22">
        <v>45957</v>
      </c>
      <c r="B947" s="12">
        <v>293.35000000000002</v>
      </c>
      <c r="C947" s="13">
        <v>7.9000000000000008E-3</v>
      </c>
      <c r="D947" s="7">
        <v>15</v>
      </c>
      <c r="E947" s="7">
        <v>1.8599999999999998E-2</v>
      </c>
      <c r="F947" s="7">
        <v>293</v>
      </c>
      <c r="G947" s="8">
        <f t="shared" si="58"/>
        <v>1.3308163872984702E-4</v>
      </c>
      <c r="H947" s="9">
        <f t="shared" si="59"/>
        <v>3.9924491618962083E-6</v>
      </c>
      <c r="I947" s="10">
        <f>SUM($H$3:H947)</f>
        <v>0.99877551444371004</v>
      </c>
      <c r="J947" s="23">
        <v>1.8599999999999998E-2</v>
      </c>
      <c r="Q947" s="7">
        <f t="shared" si="57"/>
        <v>2.0190812704967261E-2</v>
      </c>
      <c r="R947" s="7">
        <f t="shared" si="56"/>
        <v>1.847649841869993E-2</v>
      </c>
    </row>
    <row r="948" spans="1:18" x14ac:dyDescent="0.25">
      <c r="A948" s="22">
        <v>45958</v>
      </c>
      <c r="B948" s="12">
        <v>293.10000000000002</v>
      </c>
      <c r="C948" s="13">
        <v>-8.9999999999999998E-4</v>
      </c>
      <c r="D948" s="7">
        <v>14</v>
      </c>
      <c r="E948" s="7">
        <v>1.8800000000000001E-2</v>
      </c>
      <c r="F948" s="7">
        <v>861</v>
      </c>
      <c r="G948" s="8">
        <f t="shared" si="58"/>
        <v>4.0781500708866089E-12</v>
      </c>
      <c r="H948" s="9">
        <f t="shared" si="59"/>
        <v>1.2234450212662272E-13</v>
      </c>
      <c r="I948" s="10">
        <f>SUM($H$3:H948)</f>
        <v>0.99877551444383239</v>
      </c>
      <c r="J948" s="23">
        <v>1.8800000000000001E-2</v>
      </c>
      <c r="Q948" s="7">
        <f t="shared" si="57"/>
        <v>2.0815270829863154E-2</v>
      </c>
      <c r="R948" s="7">
        <f t="shared" si="56"/>
        <v>1.9047936514123637E-2</v>
      </c>
    </row>
    <row r="949" spans="1:18" x14ac:dyDescent="0.25">
      <c r="A949" s="22">
        <v>45959</v>
      </c>
      <c r="B949" s="12">
        <v>294.5</v>
      </c>
      <c r="C949" s="13">
        <v>4.7999999999999996E-3</v>
      </c>
      <c r="D949" s="7">
        <v>13</v>
      </c>
      <c r="E949" s="7">
        <v>1.9099999999999999E-2</v>
      </c>
      <c r="F949" s="7">
        <v>148</v>
      </c>
      <c r="G949" s="8">
        <f t="shared" si="58"/>
        <v>1.1020890094020795E-2</v>
      </c>
      <c r="H949" s="9">
        <f t="shared" si="59"/>
        <v>3.3062670282068993E-4</v>
      </c>
      <c r="I949" s="10">
        <f>SUM($H$3:H949)</f>
        <v>0.99910614114665308</v>
      </c>
      <c r="J949" s="23">
        <v>1.9099999999999999E-2</v>
      </c>
      <c r="Q949" s="7">
        <f t="shared" si="57"/>
        <v>2.145904209264243E-2</v>
      </c>
      <c r="R949" s="7">
        <f t="shared" si="56"/>
        <v>1.9637047952704784E-2</v>
      </c>
    </row>
    <row r="950" spans="1:18" x14ac:dyDescent="0.25">
      <c r="A950" s="22">
        <v>45960</v>
      </c>
      <c r="B950" s="12">
        <v>292.58</v>
      </c>
      <c r="C950" s="13">
        <v>-6.4999999999999997E-3</v>
      </c>
      <c r="D950" s="7">
        <v>12</v>
      </c>
      <c r="E950" s="7">
        <v>1.9699999999999999E-2</v>
      </c>
      <c r="F950" s="7">
        <v>149</v>
      </c>
      <c r="G950" s="8">
        <f t="shared" si="58"/>
        <v>1.069026339120017E-2</v>
      </c>
      <c r="H950" s="9">
        <f t="shared" si="59"/>
        <v>3.2070790173606921E-4</v>
      </c>
      <c r="I950" s="10">
        <f>SUM($H$3:H950)</f>
        <v>0.99942684904838919</v>
      </c>
      <c r="J950" s="23">
        <v>1.9699999999999999E-2</v>
      </c>
      <c r="Q950" s="7">
        <f t="shared" si="57"/>
        <v>2.2122723806847867E-2</v>
      </c>
      <c r="R950" s="7">
        <f t="shared" si="56"/>
        <v>2.0244379332685344E-2</v>
      </c>
    </row>
    <row r="951" spans="1:18" x14ac:dyDescent="0.25">
      <c r="A951" s="22">
        <v>45961</v>
      </c>
      <c r="B951" s="12">
        <v>291.08</v>
      </c>
      <c r="C951" s="13">
        <v>-5.1000000000000004E-3</v>
      </c>
      <c r="D951" s="7">
        <v>11</v>
      </c>
      <c r="E951" s="7">
        <v>1.9800000000000002E-2</v>
      </c>
      <c r="F951" s="7">
        <v>485</v>
      </c>
      <c r="G951" s="8">
        <f t="shared" si="58"/>
        <v>3.8396454087888748E-7</v>
      </c>
      <c r="H951" s="9">
        <f t="shared" si="59"/>
        <v>1.1518936226368926E-8</v>
      </c>
      <c r="I951" s="10">
        <f>SUM($H$3:H951)</f>
        <v>0.99942686056732544</v>
      </c>
      <c r="J951" s="23">
        <v>1.9800000000000002E-2</v>
      </c>
      <c r="Q951" s="7">
        <f t="shared" si="57"/>
        <v>2.2806931759636974E-2</v>
      </c>
      <c r="R951" s="7">
        <f t="shared" si="56"/>
        <v>2.0870494157407569E-2</v>
      </c>
    </row>
    <row r="952" spans="1:18" x14ac:dyDescent="0.25">
      <c r="A952" s="22">
        <v>45964</v>
      </c>
      <c r="B952" s="12">
        <v>291.35000000000002</v>
      </c>
      <c r="C952" s="13">
        <v>8.9999999999999998E-4</v>
      </c>
      <c r="D952" s="7">
        <v>10</v>
      </c>
      <c r="E952" s="7">
        <v>2.06E-2</v>
      </c>
      <c r="F952" s="7">
        <v>915</v>
      </c>
      <c r="G952" s="8">
        <f t="shared" si="58"/>
        <v>7.8729384035575187E-13</v>
      </c>
      <c r="H952" s="9">
        <f t="shared" si="59"/>
        <v>2.3618815210677276E-14</v>
      </c>
      <c r="I952" s="10">
        <f>SUM($H$3:H952)</f>
        <v>0.99942686056734908</v>
      </c>
      <c r="J952" s="23">
        <v>2.06E-2</v>
      </c>
      <c r="Q952" s="7">
        <f t="shared" si="57"/>
        <v>2.35123007831309E-2</v>
      </c>
      <c r="R952" s="7">
        <f t="shared" si="56"/>
        <v>2.1515973358152134E-2</v>
      </c>
    </row>
    <row r="953" spans="1:18" x14ac:dyDescent="0.25">
      <c r="A953" s="22">
        <v>45965</v>
      </c>
      <c r="B953" s="12">
        <v>289.58999999999997</v>
      </c>
      <c r="C953" s="13">
        <v>-6.0000000000000001E-3</v>
      </c>
      <c r="D953" s="7">
        <v>9</v>
      </c>
      <c r="E953" s="7">
        <v>2.1299999999999999E-2</v>
      </c>
      <c r="F953" s="7">
        <v>245</v>
      </c>
      <c r="G953" s="8">
        <f t="shared" si="58"/>
        <v>5.7421547864454088E-4</v>
      </c>
      <c r="H953" s="9">
        <f t="shared" si="59"/>
        <v>1.7226464359339671E-5</v>
      </c>
      <c r="I953" s="10">
        <f>SUM($H$3:H953)</f>
        <v>0.99944408703170839</v>
      </c>
      <c r="J953" s="23">
        <v>2.1299999999999999E-2</v>
      </c>
      <c r="Q953" s="7">
        <f t="shared" si="57"/>
        <v>2.4239485343433918E-2</v>
      </c>
      <c r="R953" s="7">
        <f t="shared" si="56"/>
        <v>2.218141583314653E-2</v>
      </c>
    </row>
    <row r="954" spans="1:18" x14ac:dyDescent="0.25">
      <c r="A954" s="22">
        <v>45967</v>
      </c>
      <c r="B954" s="12">
        <v>288.24</v>
      </c>
      <c r="C954" s="13">
        <v>-4.7000000000000002E-3</v>
      </c>
      <c r="D954" s="7">
        <v>8</v>
      </c>
      <c r="E954" s="7">
        <v>2.1499999999999998E-2</v>
      </c>
      <c r="F954" s="7">
        <v>359</v>
      </c>
      <c r="G954" s="8">
        <f t="shared" si="58"/>
        <v>1.7825946615584021E-5</v>
      </c>
      <c r="H954" s="9">
        <f t="shared" si="59"/>
        <v>5.3477839846762755E-7</v>
      </c>
      <c r="I954" s="10">
        <f>SUM($H$3:H954)</f>
        <v>0.99944462181010685</v>
      </c>
      <c r="J954" s="23">
        <v>2.1499999999999998E-2</v>
      </c>
      <c r="Q954" s="7">
        <f t="shared" si="57"/>
        <v>2.4989160147870018E-2</v>
      </c>
      <c r="R954" s="7">
        <f t="shared" si="56"/>
        <v>2.2867439003243846E-2</v>
      </c>
    </row>
    <row r="955" spans="1:18" x14ac:dyDescent="0.25">
      <c r="A955" s="22">
        <v>45968</v>
      </c>
      <c r="B955" s="12">
        <v>288.44</v>
      </c>
      <c r="C955" s="13">
        <v>6.9999999999999999E-4</v>
      </c>
      <c r="D955" s="7">
        <v>7</v>
      </c>
      <c r="E955" s="7">
        <v>2.1899999999999999E-2</v>
      </c>
      <c r="F955" s="7">
        <v>773</v>
      </c>
      <c r="G955" s="8">
        <f t="shared" si="58"/>
        <v>5.9504606531297588E-11</v>
      </c>
      <c r="H955" s="9">
        <f t="shared" si="59"/>
        <v>1.7851381959392845E-12</v>
      </c>
      <c r="I955" s="10">
        <f>SUM($H$3:H955)</f>
        <v>0.99944462181189198</v>
      </c>
      <c r="J955" s="23">
        <v>2.1899999999999999E-2</v>
      </c>
      <c r="Q955" s="7">
        <f t="shared" si="57"/>
        <v>2.5762020771000021E-2</v>
      </c>
      <c r="R955" s="7">
        <f t="shared" si="56"/>
        <v>2.357467938478747E-2</v>
      </c>
    </row>
    <row r="956" spans="1:18" x14ac:dyDescent="0.25">
      <c r="A956" s="22">
        <v>45971</v>
      </c>
      <c r="B956" s="12">
        <v>289.49</v>
      </c>
      <c r="C956" s="13">
        <v>3.5999999999999999E-3</v>
      </c>
      <c r="D956" s="7">
        <v>6</v>
      </c>
      <c r="E956" s="7">
        <v>2.3599999999999999E-2</v>
      </c>
      <c r="F956" s="7">
        <v>797</v>
      </c>
      <c r="G956" s="8">
        <f t="shared" si="58"/>
        <v>2.8646542367247487E-11</v>
      </c>
      <c r="H956" s="9">
        <f t="shared" si="59"/>
        <v>8.5939627101759642E-13</v>
      </c>
      <c r="I956" s="10">
        <f>SUM($H$3:H956)</f>
        <v>0.9994446218127514</v>
      </c>
      <c r="J956" s="23">
        <v>2.3599999999999999E-2</v>
      </c>
      <c r="Q956" s="7">
        <f t="shared" si="57"/>
        <v>2.655878430000002E-2</v>
      </c>
      <c r="R956" s="7">
        <f t="shared" si="56"/>
        <v>2.4303793180193267E-2</v>
      </c>
    </row>
    <row r="957" spans="1:18" x14ac:dyDescent="0.25">
      <c r="A957" s="22">
        <v>45972</v>
      </c>
      <c r="B957" s="12">
        <v>290.82</v>
      </c>
      <c r="C957" s="13">
        <v>4.5999999999999999E-3</v>
      </c>
      <c r="D957" s="7">
        <v>5</v>
      </c>
      <c r="E957" s="7">
        <v>2.46E-2</v>
      </c>
      <c r="F957" s="7">
        <v>867</v>
      </c>
      <c r="G957" s="8">
        <f t="shared" si="58"/>
        <v>3.3969848409477622E-12</v>
      </c>
      <c r="H957" s="9">
        <f t="shared" si="59"/>
        <v>1.0190954522845324E-13</v>
      </c>
      <c r="I957" s="10">
        <f>SUM($H$3:H957)</f>
        <v>0.99944462181285332</v>
      </c>
      <c r="J957" s="23">
        <v>2.46E-2</v>
      </c>
      <c r="Q957" s="7">
        <f t="shared" si="57"/>
        <v>2.7380190000000023E-2</v>
      </c>
      <c r="R957" s="7">
        <f t="shared" si="56"/>
        <v>2.5055456886797185E-2</v>
      </c>
    </row>
    <row r="958" spans="1:18" x14ac:dyDescent="0.25">
      <c r="A958" s="22">
        <v>45973</v>
      </c>
      <c r="B958" s="12">
        <v>292.72000000000003</v>
      </c>
      <c r="C958" s="13">
        <v>6.4999999999999997E-3</v>
      </c>
      <c r="D958" s="7">
        <v>4</v>
      </c>
      <c r="E958" s="7">
        <v>2.4799999999999999E-2</v>
      </c>
      <c r="F958" s="7">
        <v>898</v>
      </c>
      <c r="G958" s="8">
        <f t="shared" si="58"/>
        <v>1.3213484849653867E-12</v>
      </c>
      <c r="H958" s="9">
        <f t="shared" si="59"/>
        <v>3.9640454548969524E-14</v>
      </c>
      <c r="I958" s="10">
        <f>SUM($H$3:H958)</f>
        <v>0.99944462181289295</v>
      </c>
      <c r="J958" s="23">
        <v>2.4799999999999999E-2</v>
      </c>
      <c r="Q958" s="7">
        <f t="shared" si="57"/>
        <v>2.8227000000000023E-2</v>
      </c>
      <c r="R958" s="7">
        <f t="shared" si="56"/>
        <v>2.5830367924533179E-2</v>
      </c>
    </row>
    <row r="959" spans="1:18" x14ac:dyDescent="0.25">
      <c r="A959" s="22">
        <v>45974</v>
      </c>
      <c r="B959" s="12">
        <v>292.39</v>
      </c>
      <c r="C959" s="13">
        <v>-1.1000000000000001E-3</v>
      </c>
      <c r="D959" s="7">
        <v>3</v>
      </c>
      <c r="E959" s="7">
        <v>2.5000000000000001E-2</v>
      </c>
      <c r="F959" s="7">
        <v>870</v>
      </c>
      <c r="G959" s="8">
        <f t="shared" si="58"/>
        <v>3.1003363457423164E-12</v>
      </c>
      <c r="H959" s="9">
        <f t="shared" si="59"/>
        <v>9.3010090372288082E-14</v>
      </c>
      <c r="I959" s="10">
        <f>SUM($H$3:H959)</f>
        <v>0.99944462181298599</v>
      </c>
      <c r="J959" s="23">
        <v>2.5000000000000001E-2</v>
      </c>
      <c r="Q959" s="7">
        <f t="shared" si="57"/>
        <v>2.9100000000000025E-2</v>
      </c>
      <c r="R959" s="7">
        <f t="shared" si="56"/>
        <v>2.6629245283023899E-2</v>
      </c>
    </row>
    <row r="960" spans="1:18" x14ac:dyDescent="0.25">
      <c r="A960" s="22">
        <v>45975</v>
      </c>
      <c r="B960" s="12">
        <v>292.83</v>
      </c>
      <c r="C960" s="13">
        <v>1.5E-3</v>
      </c>
      <c r="D960" s="7">
        <v>2</v>
      </c>
      <c r="E960" s="7">
        <v>2.7400000000000001E-2</v>
      </c>
      <c r="F960" s="7">
        <v>930</v>
      </c>
      <c r="G960" s="8">
        <f t="shared" si="58"/>
        <v>4.9855476060534942E-13</v>
      </c>
      <c r="H960" s="9">
        <f t="shared" si="59"/>
        <v>1.4956642818163474E-14</v>
      </c>
      <c r="I960" s="10">
        <f>SUM($H$3:H960)</f>
        <v>0.99944462181300098</v>
      </c>
      <c r="J960" s="23">
        <v>2.7400000000000001E-2</v>
      </c>
      <c r="Q960" s="7">
        <f t="shared" si="57"/>
        <v>3.0000000000000027E-2</v>
      </c>
      <c r="R960" s="7">
        <f t="shared" si="56"/>
        <v>2.7452830188684434E-2</v>
      </c>
    </row>
    <row r="961" spans="1:18" x14ac:dyDescent="0.25">
      <c r="A961" s="22">
        <v>45978</v>
      </c>
      <c r="B961" s="12">
        <v>293.97000000000003</v>
      </c>
      <c r="C961" s="13">
        <v>3.8999999999999998E-3</v>
      </c>
      <c r="D961" s="7">
        <v>1</v>
      </c>
      <c r="E961" s="7">
        <v>2.7799999999999998E-2</v>
      </c>
      <c r="F961" s="7">
        <v>363</v>
      </c>
      <c r="G961" s="8">
        <f t="shared" si="58"/>
        <v>1.5781182370220366E-5</v>
      </c>
      <c r="H961" s="9">
        <f t="shared" si="59"/>
        <v>4.7343547110670558E-7</v>
      </c>
      <c r="I961" s="10">
        <f>SUM($H$3:H961)</f>
        <v>0.99944509524847214</v>
      </c>
      <c r="J961" s="23">
        <v>2.7799999999999998E-2</v>
      </c>
      <c r="Q961" s="7">
        <f t="shared" si="57"/>
        <v>3.0927835051546424E-2</v>
      </c>
      <c r="R961" s="7">
        <f t="shared" si="56"/>
        <v>2.8301886792458181E-2</v>
      </c>
    </row>
    <row r="962" spans="1:18" ht="15.75" thickBot="1" x14ac:dyDescent="0.3">
      <c r="A962" s="24">
        <v>45979</v>
      </c>
      <c r="B962" s="25">
        <v>292.97000000000003</v>
      </c>
      <c r="C962" s="26">
        <v>-3.3999999999999998E-3</v>
      </c>
      <c r="D962" s="27">
        <v>0</v>
      </c>
      <c r="E962" s="27">
        <v>3.8899999999999997E-2</v>
      </c>
      <c r="F962" s="27">
        <v>131</v>
      </c>
      <c r="G962" s="28">
        <f t="shared" si="58"/>
        <v>1.8496825050890949E-2</v>
      </c>
      <c r="H962" s="29">
        <f t="shared" si="59"/>
        <v>5.549047515268394E-4</v>
      </c>
      <c r="I962" s="30">
        <f>SUM($H$3:H962)</f>
        <v>0.999999999999999</v>
      </c>
      <c r="J962" s="31">
        <v>3.8899999999999997E-2</v>
      </c>
      <c r="Q962" s="7">
        <f t="shared" si="57"/>
        <v>3.0927835051546424E-2</v>
      </c>
      <c r="R962" s="7">
        <f t="shared" ref="R962:R1025" si="60">Q962/$U$2</f>
        <v>2.8301886792458181E-2</v>
      </c>
    </row>
    <row r="963" spans="1:18" x14ac:dyDescent="0.25">
      <c r="Q963" s="7">
        <f t="shared" ref="Q963" si="61">(1-$N$3) * $N$3^(D964-1)</f>
        <v>3.0927835051546424E-2</v>
      </c>
      <c r="R963" s="7">
        <f t="shared" si="60"/>
        <v>2.8301886792458181E-2</v>
      </c>
    </row>
  </sheetData>
  <mergeCells count="2">
    <mergeCell ref="M14:O14"/>
    <mergeCell ref="M15:O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5164-FC37-4C22-B5AA-7ABBF5A33822}">
  <dimension ref="A1:I962"/>
  <sheetViews>
    <sheetView workbookViewId="0">
      <selection activeCell="C12" sqref="C12"/>
    </sheetView>
  </sheetViews>
  <sheetFormatPr defaultRowHeight="15" x14ac:dyDescent="0.25"/>
  <cols>
    <col min="1" max="1" width="22.5703125" bestFit="1" customWidth="1"/>
    <col min="2" max="2" width="20.140625" bestFit="1" customWidth="1"/>
    <col min="6" max="6" width="10.140625" bestFit="1" customWidth="1"/>
    <col min="7" max="7" width="6.85546875" bestFit="1" customWidth="1"/>
    <col min="8" max="8" width="11" bestFit="1" customWidth="1"/>
    <col min="9" max="9" width="7.5703125" bestFit="1" customWidth="1"/>
  </cols>
  <sheetData>
    <row r="1" spans="1:9" x14ac:dyDescent="0.25">
      <c r="F1" s="6"/>
      <c r="G1" s="6"/>
      <c r="H1" s="6"/>
      <c r="I1" s="6"/>
    </row>
    <row r="2" spans="1:9" x14ac:dyDescent="0.25">
      <c r="A2" s="48"/>
      <c r="B2" s="48"/>
      <c r="F2" s="4"/>
      <c r="G2" s="3"/>
      <c r="H2" s="5"/>
    </row>
    <row r="3" spans="1:9" x14ac:dyDescent="0.25">
      <c r="A3" s="49"/>
      <c r="B3" s="49"/>
      <c r="F3" s="4"/>
      <c r="G3" s="3"/>
      <c r="H3" s="5"/>
    </row>
    <row r="4" spans="1:9" x14ac:dyDescent="0.25">
      <c r="A4" s="49"/>
      <c r="B4" s="49"/>
      <c r="F4" s="4"/>
      <c r="G4" s="3"/>
      <c r="H4" s="5"/>
    </row>
    <row r="5" spans="1:9" x14ac:dyDescent="0.25">
      <c r="F5" s="4"/>
      <c r="G5" s="3"/>
      <c r="H5" s="5"/>
    </row>
    <row r="6" spans="1:9" x14ac:dyDescent="0.25">
      <c r="F6" s="4"/>
      <c r="G6" s="3"/>
      <c r="H6" s="5"/>
    </row>
    <row r="7" spans="1:9" x14ac:dyDescent="0.25">
      <c r="F7" s="4"/>
      <c r="G7" s="3"/>
      <c r="H7" s="5"/>
    </row>
    <row r="8" spans="1:9" x14ac:dyDescent="0.25">
      <c r="F8" s="4"/>
      <c r="G8" s="3"/>
      <c r="H8" s="5"/>
    </row>
    <row r="9" spans="1:9" x14ac:dyDescent="0.25">
      <c r="F9" s="4"/>
      <c r="G9" s="3"/>
      <c r="H9" s="5"/>
    </row>
    <row r="10" spans="1:9" x14ac:dyDescent="0.25">
      <c r="F10" s="4"/>
      <c r="G10" s="3"/>
      <c r="H10" s="5"/>
    </row>
    <row r="11" spans="1:9" x14ac:dyDescent="0.25">
      <c r="F11" s="4"/>
      <c r="G11" s="3"/>
      <c r="H11" s="5"/>
    </row>
    <row r="12" spans="1:9" x14ac:dyDescent="0.25">
      <c r="F12" s="4"/>
      <c r="G12" s="3"/>
      <c r="H12" s="5"/>
    </row>
    <row r="13" spans="1:9" x14ac:dyDescent="0.25">
      <c r="F13" s="4"/>
      <c r="G13" s="3"/>
      <c r="H13" s="5"/>
    </row>
    <row r="14" spans="1:9" x14ac:dyDescent="0.25">
      <c r="F14" s="4"/>
      <c r="G14" s="3"/>
      <c r="H14" s="5"/>
    </row>
    <row r="15" spans="1:9" x14ac:dyDescent="0.25">
      <c r="F15" s="4"/>
      <c r="G15" s="3"/>
      <c r="H15" s="5"/>
    </row>
    <row r="16" spans="1:9" x14ac:dyDescent="0.25">
      <c r="F16" s="4"/>
      <c r="G16" s="3"/>
      <c r="H16" s="5"/>
    </row>
    <row r="17" spans="6:8" x14ac:dyDescent="0.25">
      <c r="F17" s="4"/>
      <c r="G17" s="3"/>
      <c r="H17" s="5"/>
    </row>
    <row r="18" spans="6:8" x14ac:dyDescent="0.25">
      <c r="F18" s="4"/>
      <c r="G18" s="3"/>
      <c r="H18" s="5"/>
    </row>
    <row r="19" spans="6:8" x14ac:dyDescent="0.25">
      <c r="F19" s="4"/>
      <c r="G19" s="3"/>
      <c r="H19" s="5"/>
    </row>
    <row r="20" spans="6:8" x14ac:dyDescent="0.25">
      <c r="F20" s="4"/>
      <c r="G20" s="3"/>
      <c r="H20" s="5"/>
    </row>
    <row r="21" spans="6:8" x14ac:dyDescent="0.25">
      <c r="F21" s="4"/>
      <c r="G21" s="3"/>
      <c r="H21" s="5"/>
    </row>
    <row r="22" spans="6:8" x14ac:dyDescent="0.25">
      <c r="F22" s="4"/>
      <c r="G22" s="3"/>
      <c r="H22" s="5"/>
    </row>
    <row r="23" spans="6:8" x14ac:dyDescent="0.25">
      <c r="F23" s="4"/>
      <c r="G23" s="3"/>
      <c r="H23" s="5"/>
    </row>
    <row r="24" spans="6:8" x14ac:dyDescent="0.25">
      <c r="F24" s="4"/>
      <c r="G24" s="3"/>
      <c r="H24" s="5"/>
    </row>
    <row r="25" spans="6:8" x14ac:dyDescent="0.25">
      <c r="F25" s="4"/>
      <c r="G25" s="3"/>
      <c r="H25" s="5"/>
    </row>
    <row r="26" spans="6:8" x14ac:dyDescent="0.25">
      <c r="F26" s="4"/>
      <c r="G26" s="3"/>
      <c r="H26" s="5"/>
    </row>
    <row r="27" spans="6:8" x14ac:dyDescent="0.25">
      <c r="F27" s="4"/>
      <c r="G27" s="3"/>
      <c r="H27" s="5"/>
    </row>
    <row r="28" spans="6:8" x14ac:dyDescent="0.25">
      <c r="F28" s="4"/>
      <c r="G28" s="3"/>
      <c r="H28" s="5"/>
    </row>
    <row r="29" spans="6:8" x14ac:dyDescent="0.25">
      <c r="F29" s="4"/>
      <c r="G29" s="3"/>
      <c r="H29" s="5"/>
    </row>
    <row r="30" spans="6:8" x14ac:dyDescent="0.25">
      <c r="F30" s="4"/>
      <c r="G30" s="3"/>
      <c r="H30" s="5"/>
    </row>
    <row r="31" spans="6:8" x14ac:dyDescent="0.25">
      <c r="F31" s="4"/>
      <c r="G31" s="3"/>
      <c r="H31" s="5"/>
    </row>
    <row r="32" spans="6:8" x14ac:dyDescent="0.25">
      <c r="F32" s="4"/>
      <c r="G32" s="3"/>
      <c r="H32" s="5"/>
    </row>
    <row r="33" spans="6:8" x14ac:dyDescent="0.25">
      <c r="F33" s="4"/>
      <c r="G33" s="3"/>
      <c r="H33" s="5"/>
    </row>
    <row r="34" spans="6:8" x14ac:dyDescent="0.25">
      <c r="F34" s="4"/>
      <c r="G34" s="3"/>
      <c r="H34" s="5"/>
    </row>
    <row r="35" spans="6:8" x14ac:dyDescent="0.25">
      <c r="F35" s="4"/>
      <c r="G35" s="3"/>
      <c r="H35" s="5"/>
    </row>
    <row r="36" spans="6:8" x14ac:dyDescent="0.25">
      <c r="F36" s="4"/>
      <c r="G36" s="3"/>
      <c r="H36" s="5"/>
    </row>
    <row r="37" spans="6:8" x14ac:dyDescent="0.25">
      <c r="F37" s="4"/>
      <c r="G37" s="3"/>
      <c r="H37" s="5"/>
    </row>
    <row r="38" spans="6:8" x14ac:dyDescent="0.25">
      <c r="F38" s="4"/>
      <c r="G38" s="3"/>
      <c r="H38" s="5"/>
    </row>
    <row r="39" spans="6:8" x14ac:dyDescent="0.25">
      <c r="F39" s="4"/>
      <c r="G39" s="3"/>
      <c r="H39" s="5"/>
    </row>
    <row r="40" spans="6:8" x14ac:dyDescent="0.25">
      <c r="F40" s="4"/>
      <c r="G40" s="3"/>
      <c r="H40" s="5"/>
    </row>
    <row r="41" spans="6:8" x14ac:dyDescent="0.25">
      <c r="F41" s="4"/>
      <c r="G41" s="3"/>
      <c r="H41" s="5"/>
    </row>
    <row r="42" spans="6:8" x14ac:dyDescent="0.25">
      <c r="F42" s="4"/>
      <c r="G42" s="3"/>
      <c r="H42" s="5"/>
    </row>
    <row r="43" spans="6:8" x14ac:dyDescent="0.25">
      <c r="F43" s="4"/>
      <c r="G43" s="3"/>
      <c r="H43" s="5"/>
    </row>
    <row r="44" spans="6:8" x14ac:dyDescent="0.25">
      <c r="F44" s="4"/>
      <c r="G44" s="3"/>
      <c r="H44" s="5"/>
    </row>
    <row r="45" spans="6:8" x14ac:dyDescent="0.25">
      <c r="F45" s="4"/>
      <c r="G45" s="3"/>
      <c r="H45" s="5"/>
    </row>
    <row r="46" spans="6:8" x14ac:dyDescent="0.25">
      <c r="F46" s="4"/>
      <c r="G46" s="3"/>
      <c r="H46" s="5"/>
    </row>
    <row r="47" spans="6:8" x14ac:dyDescent="0.25">
      <c r="F47" s="4"/>
      <c r="G47" s="3"/>
      <c r="H47" s="5"/>
    </row>
    <row r="48" spans="6:8" x14ac:dyDescent="0.25">
      <c r="F48" s="4"/>
      <c r="G48" s="3"/>
      <c r="H48" s="5"/>
    </row>
    <row r="49" spans="6:8" x14ac:dyDescent="0.25">
      <c r="F49" s="4"/>
      <c r="G49" s="3"/>
      <c r="H49" s="5"/>
    </row>
    <row r="50" spans="6:8" x14ac:dyDescent="0.25">
      <c r="F50" s="4"/>
      <c r="G50" s="3"/>
      <c r="H50" s="5"/>
    </row>
    <row r="51" spans="6:8" x14ac:dyDescent="0.25">
      <c r="F51" s="4"/>
      <c r="G51" s="3"/>
      <c r="H51" s="5"/>
    </row>
    <row r="52" spans="6:8" x14ac:dyDescent="0.25">
      <c r="F52" s="4"/>
      <c r="G52" s="3"/>
      <c r="H52" s="5"/>
    </row>
    <row r="53" spans="6:8" x14ac:dyDescent="0.25">
      <c r="F53" s="4"/>
      <c r="G53" s="3"/>
      <c r="H53" s="5"/>
    </row>
    <row r="54" spans="6:8" x14ac:dyDescent="0.25">
      <c r="F54" s="4"/>
      <c r="G54" s="3"/>
      <c r="H54" s="5"/>
    </row>
    <row r="55" spans="6:8" x14ac:dyDescent="0.25">
      <c r="F55" s="4"/>
      <c r="G55" s="3"/>
      <c r="H55" s="5"/>
    </row>
    <row r="56" spans="6:8" x14ac:dyDescent="0.25">
      <c r="F56" s="4"/>
      <c r="G56" s="3"/>
      <c r="H56" s="5"/>
    </row>
    <row r="57" spans="6:8" x14ac:dyDescent="0.25">
      <c r="F57" s="4"/>
      <c r="G57" s="3"/>
      <c r="H57" s="5"/>
    </row>
    <row r="58" spans="6:8" x14ac:dyDescent="0.25">
      <c r="F58" s="4"/>
      <c r="G58" s="3"/>
      <c r="H58" s="5"/>
    </row>
    <row r="59" spans="6:8" x14ac:dyDescent="0.25">
      <c r="F59" s="4"/>
      <c r="G59" s="3"/>
      <c r="H59" s="5"/>
    </row>
    <row r="60" spans="6:8" x14ac:dyDescent="0.25">
      <c r="F60" s="4"/>
      <c r="G60" s="3"/>
      <c r="H60" s="5"/>
    </row>
    <row r="61" spans="6:8" x14ac:dyDescent="0.25">
      <c r="F61" s="4"/>
      <c r="G61" s="3"/>
      <c r="H61" s="5"/>
    </row>
    <row r="62" spans="6:8" x14ac:dyDescent="0.25">
      <c r="F62" s="4"/>
      <c r="G62" s="3"/>
      <c r="H62" s="5"/>
    </row>
    <row r="63" spans="6:8" x14ac:dyDescent="0.25">
      <c r="F63" s="4"/>
      <c r="G63" s="3"/>
      <c r="H63" s="5"/>
    </row>
    <row r="64" spans="6:8" x14ac:dyDescent="0.25">
      <c r="F64" s="4"/>
      <c r="G64" s="3"/>
      <c r="H64" s="5"/>
    </row>
    <row r="65" spans="6:8" x14ac:dyDescent="0.25">
      <c r="F65" s="4"/>
      <c r="G65" s="3"/>
      <c r="H65" s="5"/>
    </row>
    <row r="66" spans="6:8" x14ac:dyDescent="0.25">
      <c r="F66" s="4"/>
      <c r="G66" s="3"/>
      <c r="H66" s="5"/>
    </row>
    <row r="67" spans="6:8" x14ac:dyDescent="0.25">
      <c r="F67" s="4"/>
      <c r="G67" s="3"/>
      <c r="H67" s="5"/>
    </row>
    <row r="68" spans="6:8" x14ac:dyDescent="0.25">
      <c r="F68" s="4"/>
      <c r="G68" s="3"/>
      <c r="H68" s="5"/>
    </row>
    <row r="69" spans="6:8" x14ac:dyDescent="0.25">
      <c r="F69" s="4"/>
      <c r="G69" s="3"/>
      <c r="H69" s="5"/>
    </row>
    <row r="70" spans="6:8" x14ac:dyDescent="0.25">
      <c r="F70" s="4"/>
      <c r="G70" s="3"/>
      <c r="H70" s="5"/>
    </row>
    <row r="71" spans="6:8" x14ac:dyDescent="0.25">
      <c r="F71" s="4"/>
      <c r="G71" s="3"/>
      <c r="H71" s="5"/>
    </row>
    <row r="72" spans="6:8" x14ac:dyDescent="0.25">
      <c r="F72" s="4"/>
      <c r="G72" s="3"/>
      <c r="H72" s="5"/>
    </row>
    <row r="73" spans="6:8" x14ac:dyDescent="0.25">
      <c r="F73" s="4"/>
      <c r="G73" s="3"/>
      <c r="H73" s="5"/>
    </row>
    <row r="74" spans="6:8" x14ac:dyDescent="0.25">
      <c r="F74" s="4"/>
      <c r="G74" s="3"/>
      <c r="H74" s="5"/>
    </row>
    <row r="75" spans="6:8" x14ac:dyDescent="0.25">
      <c r="F75" s="4"/>
      <c r="G75" s="3"/>
      <c r="H75" s="5"/>
    </row>
    <row r="76" spans="6:8" x14ac:dyDescent="0.25">
      <c r="F76" s="4"/>
      <c r="G76" s="3"/>
      <c r="H76" s="5"/>
    </row>
    <row r="77" spans="6:8" x14ac:dyDescent="0.25">
      <c r="F77" s="4"/>
      <c r="G77" s="3"/>
      <c r="H77" s="5"/>
    </row>
    <row r="78" spans="6:8" x14ac:dyDescent="0.25">
      <c r="F78" s="4"/>
      <c r="G78" s="3"/>
      <c r="H78" s="5"/>
    </row>
    <row r="79" spans="6:8" x14ac:dyDescent="0.25">
      <c r="F79" s="4"/>
      <c r="G79" s="3"/>
      <c r="H79" s="5"/>
    </row>
    <row r="80" spans="6:8" x14ac:dyDescent="0.25">
      <c r="F80" s="4"/>
      <c r="G80" s="3"/>
      <c r="H80" s="5"/>
    </row>
    <row r="81" spans="6:8" x14ac:dyDescent="0.25">
      <c r="F81" s="4"/>
      <c r="G81" s="3"/>
      <c r="H81" s="5"/>
    </row>
    <row r="82" spans="6:8" x14ac:dyDescent="0.25">
      <c r="F82" s="4"/>
      <c r="G82" s="3"/>
      <c r="H82" s="5"/>
    </row>
    <row r="83" spans="6:8" x14ac:dyDescent="0.25">
      <c r="F83" s="4"/>
      <c r="G83" s="3"/>
      <c r="H83" s="5"/>
    </row>
    <row r="84" spans="6:8" x14ac:dyDescent="0.25">
      <c r="F84" s="4"/>
      <c r="G84" s="3"/>
      <c r="H84" s="5"/>
    </row>
    <row r="85" spans="6:8" x14ac:dyDescent="0.25">
      <c r="F85" s="4"/>
      <c r="G85" s="3"/>
      <c r="H85" s="5"/>
    </row>
    <row r="86" spans="6:8" x14ac:dyDescent="0.25">
      <c r="F86" s="4"/>
      <c r="G86" s="3"/>
      <c r="H86" s="5"/>
    </row>
    <row r="87" spans="6:8" x14ac:dyDescent="0.25">
      <c r="F87" s="4"/>
      <c r="G87" s="3"/>
      <c r="H87" s="5"/>
    </row>
    <row r="88" spans="6:8" x14ac:dyDescent="0.25">
      <c r="F88" s="4"/>
      <c r="G88" s="3"/>
      <c r="H88" s="5"/>
    </row>
    <row r="89" spans="6:8" x14ac:dyDescent="0.25">
      <c r="F89" s="4"/>
      <c r="G89" s="3"/>
      <c r="H89" s="5"/>
    </row>
    <row r="90" spans="6:8" x14ac:dyDescent="0.25">
      <c r="F90" s="4"/>
      <c r="G90" s="3"/>
      <c r="H90" s="5"/>
    </row>
    <row r="91" spans="6:8" x14ac:dyDescent="0.25">
      <c r="F91" s="4"/>
      <c r="G91" s="3"/>
      <c r="H91" s="5"/>
    </row>
    <row r="92" spans="6:8" x14ac:dyDescent="0.25">
      <c r="F92" s="4"/>
      <c r="G92" s="3"/>
      <c r="H92" s="5"/>
    </row>
    <row r="93" spans="6:8" x14ac:dyDescent="0.25">
      <c r="F93" s="4"/>
      <c r="G93" s="3"/>
      <c r="H93" s="5"/>
    </row>
    <row r="94" spans="6:8" x14ac:dyDescent="0.25">
      <c r="F94" s="4"/>
      <c r="G94" s="3"/>
      <c r="H94" s="5"/>
    </row>
    <row r="95" spans="6:8" x14ac:dyDescent="0.25">
      <c r="F95" s="4"/>
      <c r="G95" s="3"/>
      <c r="H95" s="5"/>
    </row>
    <row r="96" spans="6:8" x14ac:dyDescent="0.25">
      <c r="F96" s="4"/>
      <c r="G96" s="3"/>
      <c r="H96" s="5"/>
    </row>
    <row r="97" spans="6:8" x14ac:dyDescent="0.25">
      <c r="F97" s="4"/>
      <c r="G97" s="3"/>
      <c r="H97" s="5"/>
    </row>
    <row r="98" spans="6:8" x14ac:dyDescent="0.25">
      <c r="F98" s="4"/>
      <c r="G98" s="3"/>
      <c r="H98" s="5"/>
    </row>
    <row r="99" spans="6:8" x14ac:dyDescent="0.25">
      <c r="F99" s="4"/>
      <c r="G99" s="3"/>
      <c r="H99" s="5"/>
    </row>
    <row r="100" spans="6:8" x14ac:dyDescent="0.25">
      <c r="F100" s="4"/>
      <c r="G100" s="3"/>
      <c r="H100" s="5"/>
    </row>
    <row r="101" spans="6:8" x14ac:dyDescent="0.25">
      <c r="F101" s="4"/>
      <c r="G101" s="3"/>
      <c r="H101" s="5"/>
    </row>
    <row r="102" spans="6:8" x14ac:dyDescent="0.25">
      <c r="F102" s="4"/>
      <c r="G102" s="3"/>
      <c r="H102" s="5"/>
    </row>
    <row r="103" spans="6:8" x14ac:dyDescent="0.25">
      <c r="F103" s="4"/>
      <c r="G103" s="3"/>
      <c r="H103" s="5"/>
    </row>
    <row r="104" spans="6:8" x14ac:dyDescent="0.25">
      <c r="F104" s="4"/>
      <c r="G104" s="3"/>
      <c r="H104" s="5"/>
    </row>
    <row r="105" spans="6:8" x14ac:dyDescent="0.25">
      <c r="F105" s="4"/>
      <c r="G105" s="3"/>
      <c r="H105" s="5"/>
    </row>
    <row r="106" spans="6:8" x14ac:dyDescent="0.25">
      <c r="F106" s="4"/>
      <c r="G106" s="3"/>
      <c r="H106" s="5"/>
    </row>
    <row r="107" spans="6:8" x14ac:dyDescent="0.25">
      <c r="F107" s="4"/>
      <c r="G107" s="3"/>
      <c r="H107" s="5"/>
    </row>
    <row r="108" spans="6:8" x14ac:dyDescent="0.25">
      <c r="F108" s="4"/>
      <c r="G108" s="3"/>
      <c r="H108" s="5"/>
    </row>
    <row r="109" spans="6:8" x14ac:dyDescent="0.25">
      <c r="F109" s="4"/>
      <c r="G109" s="3"/>
      <c r="H109" s="5"/>
    </row>
    <row r="110" spans="6:8" x14ac:dyDescent="0.25">
      <c r="F110" s="4"/>
      <c r="G110" s="3"/>
      <c r="H110" s="5"/>
    </row>
    <row r="111" spans="6:8" x14ac:dyDescent="0.25">
      <c r="F111" s="4"/>
      <c r="G111" s="3"/>
      <c r="H111" s="5"/>
    </row>
    <row r="112" spans="6:8" x14ac:dyDescent="0.25">
      <c r="F112" s="4"/>
      <c r="G112" s="3"/>
      <c r="H112" s="5"/>
    </row>
    <row r="113" spans="6:8" x14ac:dyDescent="0.25">
      <c r="F113" s="4"/>
      <c r="G113" s="3"/>
      <c r="H113" s="5"/>
    </row>
    <row r="114" spans="6:8" x14ac:dyDescent="0.25">
      <c r="F114" s="4"/>
      <c r="G114" s="3"/>
      <c r="H114" s="5"/>
    </row>
    <row r="115" spans="6:8" x14ac:dyDescent="0.25">
      <c r="F115" s="4"/>
      <c r="G115" s="3"/>
      <c r="H115" s="5"/>
    </row>
    <row r="116" spans="6:8" x14ac:dyDescent="0.25">
      <c r="F116" s="4"/>
      <c r="G116" s="3"/>
      <c r="H116" s="5"/>
    </row>
    <row r="117" spans="6:8" x14ac:dyDescent="0.25">
      <c r="F117" s="4"/>
      <c r="G117" s="3"/>
      <c r="H117" s="5"/>
    </row>
    <row r="118" spans="6:8" x14ac:dyDescent="0.25">
      <c r="F118" s="4"/>
      <c r="G118" s="3"/>
      <c r="H118" s="5"/>
    </row>
    <row r="119" spans="6:8" x14ac:dyDescent="0.25">
      <c r="F119" s="4"/>
      <c r="G119" s="3"/>
      <c r="H119" s="5"/>
    </row>
    <row r="120" spans="6:8" x14ac:dyDescent="0.25">
      <c r="F120" s="4"/>
      <c r="G120" s="3"/>
      <c r="H120" s="5"/>
    </row>
    <row r="121" spans="6:8" x14ac:dyDescent="0.25">
      <c r="F121" s="4"/>
      <c r="G121" s="3"/>
      <c r="H121" s="5"/>
    </row>
    <row r="122" spans="6:8" x14ac:dyDescent="0.25">
      <c r="F122" s="4"/>
      <c r="G122" s="3"/>
      <c r="H122" s="5"/>
    </row>
    <row r="123" spans="6:8" x14ac:dyDescent="0.25">
      <c r="F123" s="4"/>
      <c r="G123" s="3"/>
      <c r="H123" s="5"/>
    </row>
    <row r="124" spans="6:8" x14ac:dyDescent="0.25">
      <c r="F124" s="4"/>
      <c r="G124" s="3"/>
      <c r="H124" s="5"/>
    </row>
    <row r="125" spans="6:8" x14ac:dyDescent="0.25">
      <c r="F125" s="4"/>
      <c r="G125" s="3"/>
      <c r="H125" s="5"/>
    </row>
    <row r="126" spans="6:8" x14ac:dyDescent="0.25">
      <c r="F126" s="4"/>
      <c r="G126" s="3"/>
      <c r="H126" s="5"/>
    </row>
    <row r="127" spans="6:8" x14ac:dyDescent="0.25">
      <c r="F127" s="4"/>
      <c r="G127" s="3"/>
      <c r="H127" s="5"/>
    </row>
    <row r="128" spans="6:8" x14ac:dyDescent="0.25">
      <c r="F128" s="4"/>
      <c r="G128" s="3"/>
      <c r="H128" s="5"/>
    </row>
    <row r="129" spans="6:8" x14ac:dyDescent="0.25">
      <c r="F129" s="4"/>
      <c r="G129" s="3"/>
      <c r="H129" s="5"/>
    </row>
    <row r="130" spans="6:8" x14ac:dyDescent="0.25">
      <c r="F130" s="4"/>
      <c r="G130" s="3"/>
      <c r="H130" s="5"/>
    </row>
    <row r="131" spans="6:8" x14ac:dyDescent="0.25">
      <c r="F131" s="4"/>
      <c r="G131" s="3"/>
      <c r="H131" s="5"/>
    </row>
    <row r="132" spans="6:8" x14ac:dyDescent="0.25">
      <c r="F132" s="4"/>
      <c r="G132" s="3"/>
      <c r="H132" s="5"/>
    </row>
    <row r="133" spans="6:8" x14ac:dyDescent="0.25">
      <c r="F133" s="4"/>
      <c r="G133" s="3"/>
      <c r="H133" s="5"/>
    </row>
    <row r="134" spans="6:8" x14ac:dyDescent="0.25">
      <c r="F134" s="4"/>
      <c r="G134" s="3"/>
      <c r="H134" s="5"/>
    </row>
    <row r="135" spans="6:8" x14ac:dyDescent="0.25">
      <c r="F135" s="4"/>
      <c r="G135" s="3"/>
      <c r="H135" s="5"/>
    </row>
    <row r="136" spans="6:8" x14ac:dyDescent="0.25">
      <c r="F136" s="4"/>
      <c r="G136" s="3"/>
      <c r="H136" s="5"/>
    </row>
    <row r="137" spans="6:8" x14ac:dyDescent="0.25">
      <c r="F137" s="4"/>
      <c r="G137" s="3"/>
      <c r="H137" s="5"/>
    </row>
    <row r="138" spans="6:8" x14ac:dyDescent="0.25">
      <c r="F138" s="4"/>
      <c r="G138" s="3"/>
      <c r="H138" s="5"/>
    </row>
    <row r="139" spans="6:8" x14ac:dyDescent="0.25">
      <c r="F139" s="4"/>
      <c r="G139" s="3"/>
      <c r="H139" s="5"/>
    </row>
    <row r="140" spans="6:8" x14ac:dyDescent="0.25">
      <c r="F140" s="4"/>
      <c r="G140" s="3"/>
      <c r="H140" s="5"/>
    </row>
    <row r="141" spans="6:8" x14ac:dyDescent="0.25">
      <c r="F141" s="4"/>
      <c r="G141" s="3"/>
      <c r="H141" s="5"/>
    </row>
    <row r="142" spans="6:8" x14ac:dyDescent="0.25">
      <c r="F142" s="4"/>
      <c r="G142" s="3"/>
      <c r="H142" s="5"/>
    </row>
    <row r="143" spans="6:8" x14ac:dyDescent="0.25">
      <c r="F143" s="4"/>
      <c r="G143" s="3"/>
      <c r="H143" s="5"/>
    </row>
    <row r="144" spans="6:8" x14ac:dyDescent="0.25">
      <c r="F144" s="4"/>
      <c r="G144" s="3"/>
      <c r="H144" s="5"/>
    </row>
    <row r="145" spans="6:8" x14ac:dyDescent="0.25">
      <c r="F145" s="4"/>
      <c r="G145" s="3"/>
      <c r="H145" s="5"/>
    </row>
    <row r="146" spans="6:8" x14ac:dyDescent="0.25">
      <c r="F146" s="4"/>
      <c r="G146" s="3"/>
      <c r="H146" s="5"/>
    </row>
    <row r="147" spans="6:8" x14ac:dyDescent="0.25">
      <c r="F147" s="4"/>
      <c r="G147" s="3"/>
      <c r="H147" s="5"/>
    </row>
    <row r="148" spans="6:8" x14ac:dyDescent="0.25">
      <c r="F148" s="4"/>
      <c r="G148" s="3"/>
      <c r="H148" s="5"/>
    </row>
    <row r="149" spans="6:8" x14ac:dyDescent="0.25">
      <c r="F149" s="4"/>
      <c r="G149" s="3"/>
      <c r="H149" s="5"/>
    </row>
    <row r="150" spans="6:8" x14ac:dyDescent="0.25">
      <c r="F150" s="4"/>
      <c r="G150" s="3"/>
      <c r="H150" s="5"/>
    </row>
    <row r="151" spans="6:8" x14ac:dyDescent="0.25">
      <c r="F151" s="4"/>
      <c r="G151" s="3"/>
      <c r="H151" s="5"/>
    </row>
    <row r="152" spans="6:8" x14ac:dyDescent="0.25">
      <c r="F152" s="4"/>
      <c r="G152" s="3"/>
      <c r="H152" s="5"/>
    </row>
    <row r="153" spans="6:8" x14ac:dyDescent="0.25">
      <c r="F153" s="4"/>
      <c r="G153" s="3"/>
      <c r="H153" s="5"/>
    </row>
    <row r="154" spans="6:8" x14ac:dyDescent="0.25">
      <c r="F154" s="4"/>
      <c r="G154" s="3"/>
      <c r="H154" s="5"/>
    </row>
    <row r="155" spans="6:8" x14ac:dyDescent="0.25">
      <c r="F155" s="4"/>
      <c r="G155" s="3"/>
      <c r="H155" s="5"/>
    </row>
    <row r="156" spans="6:8" x14ac:dyDescent="0.25">
      <c r="F156" s="4"/>
      <c r="G156" s="3"/>
      <c r="H156" s="5"/>
    </row>
    <row r="157" spans="6:8" x14ac:dyDescent="0.25">
      <c r="F157" s="4"/>
      <c r="G157" s="3"/>
      <c r="H157" s="5"/>
    </row>
    <row r="158" spans="6:8" x14ac:dyDescent="0.25">
      <c r="F158" s="4"/>
      <c r="G158" s="3"/>
      <c r="H158" s="5"/>
    </row>
    <row r="159" spans="6:8" x14ac:dyDescent="0.25">
      <c r="F159" s="4"/>
      <c r="G159" s="3"/>
      <c r="H159" s="5"/>
    </row>
    <row r="160" spans="6:8" x14ac:dyDescent="0.25">
      <c r="F160" s="4"/>
      <c r="G160" s="3"/>
      <c r="H160" s="5"/>
    </row>
    <row r="161" spans="6:8" x14ac:dyDescent="0.25">
      <c r="F161" s="4"/>
      <c r="G161" s="3"/>
      <c r="H161" s="5"/>
    </row>
    <row r="162" spans="6:8" x14ac:dyDescent="0.25">
      <c r="F162" s="4"/>
      <c r="G162" s="3"/>
      <c r="H162" s="5"/>
    </row>
    <row r="163" spans="6:8" x14ac:dyDescent="0.25">
      <c r="F163" s="4"/>
      <c r="G163" s="3"/>
      <c r="H163" s="5"/>
    </row>
    <row r="164" spans="6:8" x14ac:dyDescent="0.25">
      <c r="F164" s="4"/>
      <c r="G164" s="3"/>
      <c r="H164" s="5"/>
    </row>
    <row r="165" spans="6:8" x14ac:dyDescent="0.25">
      <c r="F165" s="4"/>
      <c r="G165" s="3"/>
      <c r="H165" s="5"/>
    </row>
    <row r="166" spans="6:8" x14ac:dyDescent="0.25">
      <c r="F166" s="4"/>
      <c r="G166" s="3"/>
      <c r="H166" s="5"/>
    </row>
    <row r="167" spans="6:8" x14ac:dyDescent="0.25">
      <c r="F167" s="4"/>
      <c r="G167" s="3"/>
      <c r="H167" s="5"/>
    </row>
    <row r="168" spans="6:8" x14ac:dyDescent="0.25">
      <c r="F168" s="4"/>
      <c r="G168" s="3"/>
      <c r="H168" s="5"/>
    </row>
    <row r="169" spans="6:8" x14ac:dyDescent="0.25">
      <c r="F169" s="4"/>
      <c r="G169" s="3"/>
      <c r="H169" s="5"/>
    </row>
    <row r="170" spans="6:8" x14ac:dyDescent="0.25">
      <c r="F170" s="4"/>
      <c r="G170" s="3"/>
      <c r="H170" s="5"/>
    </row>
    <row r="171" spans="6:8" x14ac:dyDescent="0.25">
      <c r="F171" s="4"/>
      <c r="G171" s="3"/>
      <c r="H171" s="5"/>
    </row>
    <row r="172" spans="6:8" x14ac:dyDescent="0.25">
      <c r="F172" s="4"/>
      <c r="G172" s="3"/>
      <c r="H172" s="5"/>
    </row>
    <row r="173" spans="6:8" x14ac:dyDescent="0.25">
      <c r="F173" s="4"/>
      <c r="G173" s="3"/>
      <c r="H173" s="5"/>
    </row>
    <row r="174" spans="6:8" x14ac:dyDescent="0.25">
      <c r="F174" s="4"/>
      <c r="G174" s="3"/>
      <c r="H174" s="5"/>
    </row>
    <row r="175" spans="6:8" x14ac:dyDescent="0.25">
      <c r="F175" s="4"/>
      <c r="G175" s="3"/>
      <c r="H175" s="5"/>
    </row>
    <row r="176" spans="6:8" x14ac:dyDescent="0.25">
      <c r="F176" s="4"/>
      <c r="G176" s="3"/>
      <c r="H176" s="5"/>
    </row>
    <row r="177" spans="6:8" x14ac:dyDescent="0.25">
      <c r="F177" s="4"/>
      <c r="G177" s="3"/>
      <c r="H177" s="5"/>
    </row>
    <row r="178" spans="6:8" x14ac:dyDescent="0.25">
      <c r="F178" s="4"/>
      <c r="G178" s="3"/>
      <c r="H178" s="5"/>
    </row>
    <row r="179" spans="6:8" x14ac:dyDescent="0.25">
      <c r="F179" s="4"/>
      <c r="G179" s="3"/>
      <c r="H179" s="5"/>
    </row>
    <row r="180" spans="6:8" x14ac:dyDescent="0.25">
      <c r="F180" s="4"/>
      <c r="G180" s="3"/>
      <c r="H180" s="5"/>
    </row>
    <row r="181" spans="6:8" x14ac:dyDescent="0.25">
      <c r="F181" s="4"/>
      <c r="G181" s="3"/>
      <c r="H181" s="5"/>
    </row>
    <row r="182" spans="6:8" x14ac:dyDescent="0.25">
      <c r="F182" s="4"/>
      <c r="G182" s="3"/>
      <c r="H182" s="5"/>
    </row>
    <row r="183" spans="6:8" x14ac:dyDescent="0.25">
      <c r="F183" s="4"/>
      <c r="G183" s="3"/>
      <c r="H183" s="5"/>
    </row>
    <row r="184" spans="6:8" x14ac:dyDescent="0.25">
      <c r="F184" s="4"/>
      <c r="G184" s="3"/>
      <c r="H184" s="5"/>
    </row>
    <row r="185" spans="6:8" x14ac:dyDescent="0.25">
      <c r="F185" s="4"/>
      <c r="G185" s="3"/>
      <c r="H185" s="5"/>
    </row>
    <row r="186" spans="6:8" x14ac:dyDescent="0.25">
      <c r="F186" s="4"/>
      <c r="G186" s="3"/>
      <c r="H186" s="5"/>
    </row>
    <row r="187" spans="6:8" x14ac:dyDescent="0.25">
      <c r="F187" s="4"/>
      <c r="G187" s="3"/>
      <c r="H187" s="5"/>
    </row>
    <row r="188" spans="6:8" x14ac:dyDescent="0.25">
      <c r="F188" s="4"/>
      <c r="G188" s="3"/>
      <c r="H188" s="5"/>
    </row>
    <row r="189" spans="6:8" x14ac:dyDescent="0.25">
      <c r="F189" s="4"/>
      <c r="G189" s="3"/>
      <c r="H189" s="5"/>
    </row>
    <row r="190" spans="6:8" x14ac:dyDescent="0.25">
      <c r="F190" s="4"/>
      <c r="G190" s="3"/>
      <c r="H190" s="5"/>
    </row>
    <row r="191" spans="6:8" x14ac:dyDescent="0.25">
      <c r="F191" s="4"/>
      <c r="G191" s="3"/>
      <c r="H191" s="5"/>
    </row>
    <row r="192" spans="6:8" x14ac:dyDescent="0.25">
      <c r="F192" s="4"/>
      <c r="G192" s="3"/>
      <c r="H192" s="5"/>
    </row>
    <row r="193" spans="6:8" x14ac:dyDescent="0.25">
      <c r="F193" s="4"/>
      <c r="G193" s="3"/>
      <c r="H193" s="5"/>
    </row>
    <row r="194" spans="6:8" x14ac:dyDescent="0.25">
      <c r="F194" s="4"/>
      <c r="G194" s="3"/>
      <c r="H194" s="5"/>
    </row>
    <row r="195" spans="6:8" x14ac:dyDescent="0.25">
      <c r="F195" s="4"/>
      <c r="G195" s="3"/>
      <c r="H195" s="5"/>
    </row>
    <row r="196" spans="6:8" x14ac:dyDescent="0.25">
      <c r="F196" s="4"/>
      <c r="G196" s="3"/>
      <c r="H196" s="5"/>
    </row>
    <row r="197" spans="6:8" x14ac:dyDescent="0.25">
      <c r="F197" s="4"/>
      <c r="G197" s="3"/>
      <c r="H197" s="5"/>
    </row>
    <row r="198" spans="6:8" x14ac:dyDescent="0.25">
      <c r="F198" s="4"/>
      <c r="G198" s="3"/>
      <c r="H198" s="5"/>
    </row>
    <row r="199" spans="6:8" x14ac:dyDescent="0.25">
      <c r="F199" s="4"/>
      <c r="G199" s="3"/>
      <c r="H199" s="5"/>
    </row>
    <row r="200" spans="6:8" x14ac:dyDescent="0.25">
      <c r="F200" s="4"/>
      <c r="G200" s="3"/>
      <c r="H200" s="5"/>
    </row>
    <row r="201" spans="6:8" x14ac:dyDescent="0.25">
      <c r="F201" s="4"/>
      <c r="G201" s="3"/>
      <c r="H201" s="5"/>
    </row>
    <row r="202" spans="6:8" x14ac:dyDescent="0.25">
      <c r="F202" s="4"/>
      <c r="G202" s="3"/>
      <c r="H202" s="5"/>
    </row>
    <row r="203" spans="6:8" x14ac:dyDescent="0.25">
      <c r="F203" s="4"/>
      <c r="G203" s="3"/>
      <c r="H203" s="5"/>
    </row>
    <row r="204" spans="6:8" x14ac:dyDescent="0.25">
      <c r="F204" s="4"/>
      <c r="G204" s="3"/>
      <c r="H204" s="5"/>
    </row>
    <row r="205" spans="6:8" x14ac:dyDescent="0.25">
      <c r="F205" s="4"/>
      <c r="G205" s="3"/>
      <c r="H205" s="5"/>
    </row>
    <row r="206" spans="6:8" x14ac:dyDescent="0.25">
      <c r="F206" s="4"/>
      <c r="G206" s="3"/>
      <c r="H206" s="5"/>
    </row>
    <row r="207" spans="6:8" x14ac:dyDescent="0.25">
      <c r="F207" s="4"/>
      <c r="G207" s="3"/>
      <c r="H207" s="5"/>
    </row>
    <row r="208" spans="6:8" x14ac:dyDescent="0.25">
      <c r="F208" s="4"/>
      <c r="G208" s="3"/>
      <c r="H208" s="5"/>
    </row>
    <row r="209" spans="6:8" x14ac:dyDescent="0.25">
      <c r="F209" s="4"/>
      <c r="G209" s="3"/>
      <c r="H209" s="5"/>
    </row>
    <row r="210" spans="6:8" x14ac:dyDescent="0.25">
      <c r="F210" s="4"/>
      <c r="G210" s="3"/>
      <c r="H210" s="5"/>
    </row>
    <row r="211" spans="6:8" x14ac:dyDescent="0.25">
      <c r="F211" s="4"/>
      <c r="G211" s="3"/>
      <c r="H211" s="5"/>
    </row>
    <row r="212" spans="6:8" x14ac:dyDescent="0.25">
      <c r="F212" s="4"/>
      <c r="G212" s="3"/>
      <c r="H212" s="5"/>
    </row>
    <row r="213" spans="6:8" x14ac:dyDescent="0.25">
      <c r="F213" s="4"/>
      <c r="G213" s="3"/>
      <c r="H213" s="5"/>
    </row>
    <row r="214" spans="6:8" x14ac:dyDescent="0.25">
      <c r="F214" s="4"/>
      <c r="G214" s="3"/>
      <c r="H214" s="5"/>
    </row>
    <row r="215" spans="6:8" x14ac:dyDescent="0.25">
      <c r="F215" s="4"/>
      <c r="G215" s="3"/>
      <c r="H215" s="5"/>
    </row>
    <row r="216" spans="6:8" x14ac:dyDescent="0.25">
      <c r="F216" s="4"/>
      <c r="G216" s="3"/>
      <c r="H216" s="5"/>
    </row>
    <row r="217" spans="6:8" x14ac:dyDescent="0.25">
      <c r="F217" s="4"/>
      <c r="G217" s="3"/>
      <c r="H217" s="5"/>
    </row>
    <row r="218" spans="6:8" x14ac:dyDescent="0.25">
      <c r="F218" s="4"/>
      <c r="G218" s="3"/>
      <c r="H218" s="5"/>
    </row>
    <row r="219" spans="6:8" x14ac:dyDescent="0.25">
      <c r="F219" s="4"/>
      <c r="G219" s="3"/>
      <c r="H219" s="5"/>
    </row>
    <row r="220" spans="6:8" x14ac:dyDescent="0.25">
      <c r="F220" s="4"/>
      <c r="G220" s="3"/>
      <c r="H220" s="5"/>
    </row>
    <row r="221" spans="6:8" x14ac:dyDescent="0.25">
      <c r="F221" s="4"/>
      <c r="G221" s="3"/>
      <c r="H221" s="5"/>
    </row>
    <row r="222" spans="6:8" x14ac:dyDescent="0.25">
      <c r="F222" s="4"/>
      <c r="G222" s="3"/>
      <c r="H222" s="5"/>
    </row>
    <row r="223" spans="6:8" x14ac:dyDescent="0.25">
      <c r="F223" s="4"/>
      <c r="G223" s="3"/>
      <c r="H223" s="5"/>
    </row>
    <row r="224" spans="6:8" x14ac:dyDescent="0.25">
      <c r="F224" s="4"/>
      <c r="G224" s="3"/>
      <c r="H224" s="5"/>
    </row>
    <row r="225" spans="6:8" x14ac:dyDescent="0.25">
      <c r="F225" s="4"/>
      <c r="G225" s="3"/>
      <c r="H225" s="5"/>
    </row>
    <row r="226" spans="6:8" x14ac:dyDescent="0.25">
      <c r="F226" s="4"/>
      <c r="G226" s="3"/>
      <c r="H226" s="5"/>
    </row>
    <row r="227" spans="6:8" x14ac:dyDescent="0.25">
      <c r="F227" s="4"/>
      <c r="G227" s="3"/>
      <c r="H227" s="5"/>
    </row>
    <row r="228" spans="6:8" x14ac:dyDescent="0.25">
      <c r="F228" s="4"/>
      <c r="G228" s="3"/>
      <c r="H228" s="5"/>
    </row>
    <row r="229" spans="6:8" x14ac:dyDescent="0.25">
      <c r="F229" s="4"/>
      <c r="G229" s="3"/>
      <c r="H229" s="5"/>
    </row>
    <row r="230" spans="6:8" x14ac:dyDescent="0.25">
      <c r="F230" s="4"/>
      <c r="G230" s="3"/>
      <c r="H230" s="5"/>
    </row>
    <row r="231" spans="6:8" x14ac:dyDescent="0.25">
      <c r="F231" s="4"/>
      <c r="G231" s="3"/>
      <c r="H231" s="5"/>
    </row>
    <row r="232" spans="6:8" x14ac:dyDescent="0.25">
      <c r="F232" s="4"/>
      <c r="G232" s="3"/>
      <c r="H232" s="5"/>
    </row>
    <row r="233" spans="6:8" x14ac:dyDescent="0.25">
      <c r="F233" s="4"/>
      <c r="G233" s="3"/>
      <c r="H233" s="5"/>
    </row>
    <row r="234" spans="6:8" x14ac:dyDescent="0.25">
      <c r="F234" s="4"/>
      <c r="G234" s="3"/>
      <c r="H234" s="5"/>
    </row>
    <row r="235" spans="6:8" x14ac:dyDescent="0.25">
      <c r="F235" s="4"/>
      <c r="G235" s="3"/>
      <c r="H235" s="5"/>
    </row>
    <row r="236" spans="6:8" x14ac:dyDescent="0.25">
      <c r="F236" s="4"/>
      <c r="G236" s="3"/>
      <c r="H236" s="5"/>
    </row>
    <row r="237" spans="6:8" x14ac:dyDescent="0.25">
      <c r="F237" s="4"/>
      <c r="G237" s="3"/>
      <c r="H237" s="5"/>
    </row>
    <row r="238" spans="6:8" x14ac:dyDescent="0.25">
      <c r="F238" s="4"/>
      <c r="G238" s="3"/>
      <c r="H238" s="5"/>
    </row>
    <row r="239" spans="6:8" x14ac:dyDescent="0.25">
      <c r="F239" s="4"/>
      <c r="G239" s="3"/>
      <c r="H239" s="5"/>
    </row>
    <row r="240" spans="6:8" x14ac:dyDescent="0.25">
      <c r="F240" s="4"/>
      <c r="G240" s="3"/>
      <c r="H240" s="5"/>
    </row>
    <row r="241" spans="6:8" x14ac:dyDescent="0.25">
      <c r="F241" s="4"/>
      <c r="G241" s="3"/>
      <c r="H241" s="5"/>
    </row>
    <row r="242" spans="6:8" x14ac:dyDescent="0.25">
      <c r="F242" s="4"/>
      <c r="G242" s="3"/>
      <c r="H242" s="5"/>
    </row>
    <row r="243" spans="6:8" x14ac:dyDescent="0.25">
      <c r="F243" s="4"/>
      <c r="G243" s="3"/>
      <c r="H243" s="5"/>
    </row>
    <row r="244" spans="6:8" x14ac:dyDescent="0.25">
      <c r="F244" s="4"/>
      <c r="G244" s="3"/>
      <c r="H244" s="5"/>
    </row>
    <row r="245" spans="6:8" x14ac:dyDescent="0.25">
      <c r="F245" s="4"/>
      <c r="G245" s="3"/>
      <c r="H245" s="5"/>
    </row>
    <row r="246" spans="6:8" x14ac:dyDescent="0.25">
      <c r="F246" s="4"/>
      <c r="G246" s="3"/>
      <c r="H246" s="5"/>
    </row>
    <row r="247" spans="6:8" x14ac:dyDescent="0.25">
      <c r="F247" s="4"/>
      <c r="G247" s="3"/>
      <c r="H247" s="5"/>
    </row>
    <row r="248" spans="6:8" x14ac:dyDescent="0.25">
      <c r="F248" s="4"/>
      <c r="G248" s="3"/>
      <c r="H248" s="5"/>
    </row>
    <row r="249" spans="6:8" x14ac:dyDescent="0.25">
      <c r="F249" s="4"/>
      <c r="G249" s="3"/>
      <c r="H249" s="5"/>
    </row>
    <row r="250" spans="6:8" x14ac:dyDescent="0.25">
      <c r="F250" s="4"/>
      <c r="G250" s="3"/>
      <c r="H250" s="5"/>
    </row>
    <row r="251" spans="6:8" x14ac:dyDescent="0.25">
      <c r="F251" s="4"/>
      <c r="G251" s="3"/>
      <c r="H251" s="5"/>
    </row>
    <row r="252" spans="6:8" x14ac:dyDescent="0.25">
      <c r="F252" s="4"/>
      <c r="G252" s="3"/>
      <c r="H252" s="5"/>
    </row>
    <row r="253" spans="6:8" x14ac:dyDescent="0.25">
      <c r="F253" s="4"/>
      <c r="G253" s="3"/>
      <c r="H253" s="5"/>
    </row>
    <row r="254" spans="6:8" x14ac:dyDescent="0.25">
      <c r="F254" s="4"/>
      <c r="G254" s="3"/>
      <c r="H254" s="5"/>
    </row>
    <row r="255" spans="6:8" x14ac:dyDescent="0.25">
      <c r="F255" s="4"/>
      <c r="G255" s="3"/>
      <c r="H255" s="5"/>
    </row>
    <row r="256" spans="6:8" x14ac:dyDescent="0.25">
      <c r="F256" s="4"/>
      <c r="G256" s="3"/>
      <c r="H256" s="5"/>
    </row>
    <row r="257" spans="6:8" x14ac:dyDescent="0.25">
      <c r="F257" s="4"/>
      <c r="G257" s="3"/>
      <c r="H257" s="5"/>
    </row>
    <row r="258" spans="6:8" x14ac:dyDescent="0.25">
      <c r="F258" s="4"/>
      <c r="G258" s="3"/>
      <c r="H258" s="5"/>
    </row>
    <row r="259" spans="6:8" x14ac:dyDescent="0.25">
      <c r="F259" s="4"/>
      <c r="G259" s="3"/>
      <c r="H259" s="5"/>
    </row>
    <row r="260" spans="6:8" x14ac:dyDescent="0.25">
      <c r="F260" s="4"/>
      <c r="G260" s="3"/>
      <c r="H260" s="5"/>
    </row>
    <row r="261" spans="6:8" x14ac:dyDescent="0.25">
      <c r="F261" s="4"/>
      <c r="G261" s="3"/>
      <c r="H261" s="5"/>
    </row>
    <row r="262" spans="6:8" x14ac:dyDescent="0.25">
      <c r="F262" s="4"/>
      <c r="G262" s="3"/>
      <c r="H262" s="5"/>
    </row>
    <row r="263" spans="6:8" x14ac:dyDescent="0.25">
      <c r="F263" s="4"/>
      <c r="G263" s="3"/>
      <c r="H263" s="5"/>
    </row>
    <row r="264" spans="6:8" x14ac:dyDescent="0.25">
      <c r="F264" s="4"/>
      <c r="G264" s="3"/>
      <c r="H264" s="5"/>
    </row>
    <row r="265" spans="6:8" x14ac:dyDescent="0.25">
      <c r="F265" s="4"/>
      <c r="G265" s="3"/>
      <c r="H265" s="5"/>
    </row>
    <row r="266" spans="6:8" x14ac:dyDescent="0.25">
      <c r="F266" s="4"/>
      <c r="G266" s="3"/>
      <c r="H266" s="5"/>
    </row>
    <row r="267" spans="6:8" x14ac:dyDescent="0.25">
      <c r="F267" s="4"/>
      <c r="G267" s="3"/>
      <c r="H267" s="5"/>
    </row>
    <row r="268" spans="6:8" x14ac:dyDescent="0.25">
      <c r="F268" s="4"/>
      <c r="G268" s="3"/>
      <c r="H268" s="5"/>
    </row>
    <row r="269" spans="6:8" x14ac:dyDescent="0.25">
      <c r="F269" s="4"/>
      <c r="G269" s="3"/>
      <c r="H269" s="5"/>
    </row>
    <row r="270" spans="6:8" x14ac:dyDescent="0.25">
      <c r="F270" s="4"/>
      <c r="G270" s="3"/>
      <c r="H270" s="5"/>
    </row>
    <row r="271" spans="6:8" x14ac:dyDescent="0.25">
      <c r="F271" s="4"/>
      <c r="G271" s="3"/>
      <c r="H271" s="5"/>
    </row>
    <row r="272" spans="6:8" x14ac:dyDescent="0.25">
      <c r="F272" s="4"/>
      <c r="G272" s="3"/>
      <c r="H272" s="5"/>
    </row>
    <row r="273" spans="6:8" x14ac:dyDescent="0.25">
      <c r="F273" s="4"/>
      <c r="G273" s="3"/>
      <c r="H273" s="5"/>
    </row>
    <row r="274" spans="6:8" x14ac:dyDescent="0.25">
      <c r="F274" s="4"/>
      <c r="G274" s="3"/>
      <c r="H274" s="5"/>
    </row>
    <row r="275" spans="6:8" x14ac:dyDescent="0.25">
      <c r="F275" s="4"/>
      <c r="G275" s="3"/>
      <c r="H275" s="5"/>
    </row>
    <row r="276" spans="6:8" x14ac:dyDescent="0.25">
      <c r="F276" s="4"/>
      <c r="G276" s="3"/>
      <c r="H276" s="5"/>
    </row>
    <row r="277" spans="6:8" x14ac:dyDescent="0.25">
      <c r="F277" s="4"/>
      <c r="G277" s="3"/>
      <c r="H277" s="5"/>
    </row>
    <row r="278" spans="6:8" x14ac:dyDescent="0.25">
      <c r="F278" s="4"/>
      <c r="G278" s="3"/>
      <c r="H278" s="5"/>
    </row>
    <row r="279" spans="6:8" x14ac:dyDescent="0.25">
      <c r="F279" s="4"/>
      <c r="G279" s="3"/>
      <c r="H279" s="5"/>
    </row>
    <row r="280" spans="6:8" x14ac:dyDescent="0.25">
      <c r="F280" s="4"/>
      <c r="G280" s="3"/>
      <c r="H280" s="5"/>
    </row>
    <row r="281" spans="6:8" x14ac:dyDescent="0.25">
      <c r="F281" s="4"/>
      <c r="G281" s="3"/>
      <c r="H281" s="5"/>
    </row>
    <row r="282" spans="6:8" x14ac:dyDescent="0.25">
      <c r="F282" s="4"/>
      <c r="G282" s="3"/>
      <c r="H282" s="5"/>
    </row>
    <row r="283" spans="6:8" x14ac:dyDescent="0.25">
      <c r="F283" s="4"/>
      <c r="G283" s="3"/>
      <c r="H283" s="5"/>
    </row>
    <row r="284" spans="6:8" x14ac:dyDescent="0.25">
      <c r="F284" s="4"/>
      <c r="G284" s="3"/>
      <c r="H284" s="5"/>
    </row>
    <row r="285" spans="6:8" x14ac:dyDescent="0.25">
      <c r="F285" s="4"/>
      <c r="G285" s="3"/>
      <c r="H285" s="5"/>
    </row>
    <row r="286" spans="6:8" x14ac:dyDescent="0.25">
      <c r="F286" s="4"/>
      <c r="G286" s="3"/>
      <c r="H286" s="5"/>
    </row>
    <row r="287" spans="6:8" x14ac:dyDescent="0.25">
      <c r="F287" s="4"/>
      <c r="G287" s="3"/>
      <c r="H287" s="5"/>
    </row>
    <row r="288" spans="6:8" x14ac:dyDescent="0.25">
      <c r="F288" s="4"/>
      <c r="G288" s="3"/>
      <c r="H288" s="5"/>
    </row>
    <row r="289" spans="6:8" x14ac:dyDescent="0.25">
      <c r="F289" s="4"/>
      <c r="G289" s="3"/>
      <c r="H289" s="5"/>
    </row>
    <row r="290" spans="6:8" x14ac:dyDescent="0.25">
      <c r="F290" s="4"/>
      <c r="G290" s="3"/>
      <c r="H290" s="5"/>
    </row>
    <row r="291" spans="6:8" x14ac:dyDescent="0.25">
      <c r="F291" s="4"/>
      <c r="G291" s="3"/>
      <c r="H291" s="5"/>
    </row>
    <row r="292" spans="6:8" x14ac:dyDescent="0.25">
      <c r="F292" s="4"/>
      <c r="G292" s="3"/>
      <c r="H292" s="5"/>
    </row>
    <row r="293" spans="6:8" x14ac:dyDescent="0.25">
      <c r="F293" s="4"/>
      <c r="G293" s="3"/>
      <c r="H293" s="5"/>
    </row>
    <row r="294" spans="6:8" x14ac:dyDescent="0.25">
      <c r="F294" s="4"/>
      <c r="G294" s="3"/>
      <c r="H294" s="5"/>
    </row>
    <row r="295" spans="6:8" x14ac:dyDescent="0.25">
      <c r="F295" s="4"/>
      <c r="G295" s="3"/>
      <c r="H295" s="5"/>
    </row>
    <row r="296" spans="6:8" x14ac:dyDescent="0.25">
      <c r="F296" s="4"/>
      <c r="G296" s="3"/>
      <c r="H296" s="5"/>
    </row>
    <row r="297" spans="6:8" x14ac:dyDescent="0.25">
      <c r="F297" s="4"/>
      <c r="G297" s="3"/>
      <c r="H297" s="5"/>
    </row>
    <row r="298" spans="6:8" x14ac:dyDescent="0.25">
      <c r="F298" s="4"/>
      <c r="G298" s="3"/>
      <c r="H298" s="5"/>
    </row>
    <row r="299" spans="6:8" x14ac:dyDescent="0.25">
      <c r="F299" s="4"/>
      <c r="G299" s="3"/>
      <c r="H299" s="5"/>
    </row>
    <row r="300" spans="6:8" x14ac:dyDescent="0.25">
      <c r="F300" s="4"/>
      <c r="G300" s="3"/>
      <c r="H300" s="5"/>
    </row>
    <row r="301" spans="6:8" x14ac:dyDescent="0.25">
      <c r="F301" s="4"/>
      <c r="G301" s="3"/>
      <c r="H301" s="5"/>
    </row>
    <row r="302" spans="6:8" x14ac:dyDescent="0.25">
      <c r="F302" s="4"/>
      <c r="G302" s="3"/>
      <c r="H302" s="5"/>
    </row>
    <row r="303" spans="6:8" x14ac:dyDescent="0.25">
      <c r="F303" s="4"/>
      <c r="G303" s="3"/>
      <c r="H303" s="5"/>
    </row>
    <row r="304" spans="6:8" x14ac:dyDescent="0.25">
      <c r="F304" s="4"/>
      <c r="G304" s="3"/>
      <c r="H304" s="5"/>
    </row>
    <row r="305" spans="6:8" x14ac:dyDescent="0.25">
      <c r="F305" s="4"/>
      <c r="G305" s="3"/>
      <c r="H305" s="5"/>
    </row>
    <row r="306" spans="6:8" x14ac:dyDescent="0.25">
      <c r="F306" s="4"/>
      <c r="G306" s="3"/>
      <c r="H306" s="5"/>
    </row>
    <row r="307" spans="6:8" x14ac:dyDescent="0.25">
      <c r="F307" s="4"/>
      <c r="G307" s="3"/>
      <c r="H307" s="5"/>
    </row>
    <row r="308" spans="6:8" x14ac:dyDescent="0.25">
      <c r="F308" s="4"/>
      <c r="G308" s="3"/>
      <c r="H308" s="5"/>
    </row>
    <row r="309" spans="6:8" x14ac:dyDescent="0.25">
      <c r="F309" s="4"/>
      <c r="G309" s="3"/>
      <c r="H309" s="5"/>
    </row>
    <row r="310" spans="6:8" x14ac:dyDescent="0.25">
      <c r="F310" s="4"/>
      <c r="G310" s="3"/>
      <c r="H310" s="5"/>
    </row>
    <row r="311" spans="6:8" x14ac:dyDescent="0.25">
      <c r="F311" s="4"/>
      <c r="G311" s="3"/>
      <c r="H311" s="5"/>
    </row>
    <row r="312" spans="6:8" x14ac:dyDescent="0.25">
      <c r="F312" s="4"/>
      <c r="G312" s="3"/>
      <c r="H312" s="5"/>
    </row>
    <row r="313" spans="6:8" x14ac:dyDescent="0.25">
      <c r="F313" s="4"/>
      <c r="G313" s="3"/>
      <c r="H313" s="5"/>
    </row>
    <row r="314" spans="6:8" x14ac:dyDescent="0.25">
      <c r="F314" s="4"/>
      <c r="G314" s="3"/>
      <c r="H314" s="5"/>
    </row>
    <row r="315" spans="6:8" x14ac:dyDescent="0.25">
      <c r="F315" s="4"/>
      <c r="G315" s="3"/>
      <c r="H315" s="5"/>
    </row>
    <row r="316" spans="6:8" x14ac:dyDescent="0.25">
      <c r="F316" s="4"/>
      <c r="G316" s="3"/>
      <c r="H316" s="5"/>
    </row>
    <row r="317" spans="6:8" x14ac:dyDescent="0.25">
      <c r="F317" s="4"/>
      <c r="G317" s="3"/>
      <c r="H317" s="5"/>
    </row>
    <row r="318" spans="6:8" x14ac:dyDescent="0.25">
      <c r="F318" s="4"/>
      <c r="G318" s="3"/>
      <c r="H318" s="5"/>
    </row>
    <row r="319" spans="6:8" x14ac:dyDescent="0.25">
      <c r="F319" s="4"/>
      <c r="G319" s="3"/>
      <c r="H319" s="5"/>
    </row>
    <row r="320" spans="6:8" x14ac:dyDescent="0.25">
      <c r="F320" s="4"/>
      <c r="G320" s="3"/>
      <c r="H320" s="5"/>
    </row>
    <row r="321" spans="6:8" x14ac:dyDescent="0.25">
      <c r="F321" s="4"/>
      <c r="G321" s="3"/>
      <c r="H321" s="5"/>
    </row>
    <row r="322" spans="6:8" x14ac:dyDescent="0.25">
      <c r="F322" s="4"/>
      <c r="G322" s="3"/>
      <c r="H322" s="5"/>
    </row>
    <row r="323" spans="6:8" x14ac:dyDescent="0.25">
      <c r="F323" s="4"/>
      <c r="G323" s="3"/>
      <c r="H323" s="5"/>
    </row>
    <row r="324" spans="6:8" x14ac:dyDescent="0.25">
      <c r="F324" s="4"/>
      <c r="G324" s="3"/>
      <c r="H324" s="5"/>
    </row>
    <row r="325" spans="6:8" x14ac:dyDescent="0.25">
      <c r="F325" s="4"/>
      <c r="G325" s="3"/>
      <c r="H325" s="5"/>
    </row>
    <row r="326" spans="6:8" x14ac:dyDescent="0.25">
      <c r="F326" s="4"/>
      <c r="G326" s="3"/>
      <c r="H326" s="5"/>
    </row>
    <row r="327" spans="6:8" x14ac:dyDescent="0.25">
      <c r="F327" s="4"/>
      <c r="G327" s="3"/>
      <c r="H327" s="5"/>
    </row>
    <row r="328" spans="6:8" x14ac:dyDescent="0.25">
      <c r="F328" s="4"/>
      <c r="G328" s="3"/>
      <c r="H328" s="5"/>
    </row>
    <row r="329" spans="6:8" x14ac:dyDescent="0.25">
      <c r="F329" s="4"/>
      <c r="G329" s="3"/>
      <c r="H329" s="5"/>
    </row>
    <row r="330" spans="6:8" x14ac:dyDescent="0.25">
      <c r="F330" s="4"/>
      <c r="G330" s="3"/>
      <c r="H330" s="5"/>
    </row>
    <row r="331" spans="6:8" x14ac:dyDescent="0.25">
      <c r="F331" s="4"/>
      <c r="G331" s="3"/>
      <c r="H331" s="5"/>
    </row>
    <row r="332" spans="6:8" x14ac:dyDescent="0.25">
      <c r="F332" s="4"/>
      <c r="G332" s="3"/>
      <c r="H332" s="5"/>
    </row>
    <row r="333" spans="6:8" x14ac:dyDescent="0.25">
      <c r="F333" s="4"/>
      <c r="G333" s="3"/>
      <c r="H333" s="5"/>
    </row>
    <row r="334" spans="6:8" x14ac:dyDescent="0.25">
      <c r="F334" s="4"/>
      <c r="G334" s="3"/>
      <c r="H334" s="5"/>
    </row>
    <row r="335" spans="6:8" x14ac:dyDescent="0.25">
      <c r="F335" s="4"/>
      <c r="G335" s="3"/>
      <c r="H335" s="5"/>
    </row>
    <row r="336" spans="6:8" x14ac:dyDescent="0.25">
      <c r="F336" s="4"/>
      <c r="G336" s="3"/>
      <c r="H336" s="5"/>
    </row>
    <row r="337" spans="6:8" x14ac:dyDescent="0.25">
      <c r="F337" s="4"/>
      <c r="G337" s="3"/>
      <c r="H337" s="5"/>
    </row>
    <row r="338" spans="6:8" x14ac:dyDescent="0.25">
      <c r="F338" s="4"/>
      <c r="G338" s="3"/>
      <c r="H338" s="5"/>
    </row>
    <row r="339" spans="6:8" x14ac:dyDescent="0.25">
      <c r="F339" s="4"/>
      <c r="G339" s="3"/>
      <c r="H339" s="5"/>
    </row>
    <row r="340" spans="6:8" x14ac:dyDescent="0.25">
      <c r="F340" s="4"/>
      <c r="G340" s="3"/>
      <c r="H340" s="5"/>
    </row>
    <row r="341" spans="6:8" x14ac:dyDescent="0.25">
      <c r="F341" s="4"/>
      <c r="G341" s="3"/>
      <c r="H341" s="5"/>
    </row>
    <row r="342" spans="6:8" x14ac:dyDescent="0.25">
      <c r="F342" s="4"/>
      <c r="G342" s="3"/>
      <c r="H342" s="5"/>
    </row>
    <row r="343" spans="6:8" x14ac:dyDescent="0.25">
      <c r="F343" s="4"/>
      <c r="G343" s="3"/>
      <c r="H343" s="5"/>
    </row>
    <row r="344" spans="6:8" x14ac:dyDescent="0.25">
      <c r="F344" s="4"/>
      <c r="G344" s="3"/>
      <c r="H344" s="5"/>
    </row>
    <row r="345" spans="6:8" x14ac:dyDescent="0.25">
      <c r="F345" s="4"/>
      <c r="G345" s="3"/>
      <c r="H345" s="5"/>
    </row>
    <row r="346" spans="6:8" x14ac:dyDescent="0.25">
      <c r="F346" s="4"/>
      <c r="G346" s="3"/>
      <c r="H346" s="5"/>
    </row>
    <row r="347" spans="6:8" x14ac:dyDescent="0.25">
      <c r="F347" s="4"/>
      <c r="G347" s="3"/>
      <c r="H347" s="5"/>
    </row>
    <row r="348" spans="6:8" x14ac:dyDescent="0.25">
      <c r="F348" s="4"/>
      <c r="G348" s="3"/>
      <c r="H348" s="5"/>
    </row>
    <row r="349" spans="6:8" x14ac:dyDescent="0.25">
      <c r="F349" s="4"/>
      <c r="G349" s="3"/>
      <c r="H349" s="5"/>
    </row>
    <row r="350" spans="6:8" x14ac:dyDescent="0.25">
      <c r="F350" s="4"/>
      <c r="G350" s="3"/>
      <c r="H350" s="5"/>
    </row>
    <row r="351" spans="6:8" x14ac:dyDescent="0.25">
      <c r="F351" s="4"/>
      <c r="G351" s="3"/>
      <c r="H351" s="5"/>
    </row>
    <row r="352" spans="6:8" x14ac:dyDescent="0.25">
      <c r="F352" s="4"/>
      <c r="G352" s="3"/>
      <c r="H352" s="5"/>
    </row>
    <row r="353" spans="6:8" x14ac:dyDescent="0.25">
      <c r="F353" s="4"/>
      <c r="G353" s="3"/>
      <c r="H353" s="5"/>
    </row>
    <row r="354" spans="6:8" x14ac:dyDescent="0.25">
      <c r="F354" s="4"/>
      <c r="G354" s="3"/>
      <c r="H354" s="5"/>
    </row>
    <row r="355" spans="6:8" x14ac:dyDescent="0.25">
      <c r="F355" s="4"/>
      <c r="G355" s="3"/>
      <c r="H355" s="5"/>
    </row>
    <row r="356" spans="6:8" x14ac:dyDescent="0.25">
      <c r="F356" s="4"/>
      <c r="G356" s="3"/>
      <c r="H356" s="5"/>
    </row>
    <row r="357" spans="6:8" x14ac:dyDescent="0.25">
      <c r="F357" s="4"/>
      <c r="G357" s="3"/>
      <c r="H357" s="5"/>
    </row>
    <row r="358" spans="6:8" x14ac:dyDescent="0.25">
      <c r="F358" s="4"/>
      <c r="G358" s="3"/>
      <c r="H358" s="5"/>
    </row>
    <row r="359" spans="6:8" x14ac:dyDescent="0.25">
      <c r="F359" s="4"/>
      <c r="G359" s="3"/>
      <c r="H359" s="5"/>
    </row>
    <row r="360" spans="6:8" x14ac:dyDescent="0.25">
      <c r="F360" s="4"/>
      <c r="G360" s="3"/>
      <c r="H360" s="5"/>
    </row>
    <row r="361" spans="6:8" x14ac:dyDescent="0.25">
      <c r="F361" s="4"/>
      <c r="G361" s="3"/>
      <c r="H361" s="5"/>
    </row>
    <row r="362" spans="6:8" x14ac:dyDescent="0.25">
      <c r="F362" s="4"/>
      <c r="G362" s="3"/>
      <c r="H362" s="5"/>
    </row>
    <row r="363" spans="6:8" x14ac:dyDescent="0.25">
      <c r="F363" s="4"/>
      <c r="G363" s="3"/>
      <c r="H363" s="5"/>
    </row>
    <row r="364" spans="6:8" x14ac:dyDescent="0.25">
      <c r="F364" s="4"/>
      <c r="G364" s="3"/>
      <c r="H364" s="5"/>
    </row>
    <row r="365" spans="6:8" x14ac:dyDescent="0.25">
      <c r="F365" s="4"/>
      <c r="G365" s="3"/>
      <c r="H365" s="5"/>
    </row>
    <row r="366" spans="6:8" x14ac:dyDescent="0.25">
      <c r="F366" s="4"/>
      <c r="G366" s="3"/>
      <c r="H366" s="5"/>
    </row>
    <row r="367" spans="6:8" x14ac:dyDescent="0.25">
      <c r="F367" s="4"/>
      <c r="G367" s="3"/>
      <c r="H367" s="5"/>
    </row>
    <row r="368" spans="6:8" x14ac:dyDescent="0.25">
      <c r="F368" s="4"/>
      <c r="G368" s="3"/>
      <c r="H368" s="5"/>
    </row>
    <row r="369" spans="6:8" x14ac:dyDescent="0.25">
      <c r="F369" s="4"/>
      <c r="G369" s="3"/>
      <c r="H369" s="5"/>
    </row>
    <row r="370" spans="6:8" x14ac:dyDescent="0.25">
      <c r="F370" s="4"/>
      <c r="G370" s="3"/>
      <c r="H370" s="5"/>
    </row>
    <row r="371" spans="6:8" x14ac:dyDescent="0.25">
      <c r="F371" s="4"/>
      <c r="G371" s="3"/>
      <c r="H371" s="5"/>
    </row>
    <row r="372" spans="6:8" x14ac:dyDescent="0.25">
      <c r="F372" s="4"/>
      <c r="G372" s="3"/>
      <c r="H372" s="5"/>
    </row>
    <row r="373" spans="6:8" x14ac:dyDescent="0.25">
      <c r="F373" s="4"/>
      <c r="G373" s="3"/>
      <c r="H373" s="5"/>
    </row>
    <row r="374" spans="6:8" x14ac:dyDescent="0.25">
      <c r="F374" s="4"/>
      <c r="G374" s="3"/>
      <c r="H374" s="5"/>
    </row>
    <row r="375" spans="6:8" x14ac:dyDescent="0.25">
      <c r="F375" s="4"/>
      <c r="G375" s="3"/>
      <c r="H375" s="5"/>
    </row>
    <row r="376" spans="6:8" x14ac:dyDescent="0.25">
      <c r="F376" s="4"/>
      <c r="G376" s="3"/>
      <c r="H376" s="5"/>
    </row>
    <row r="377" spans="6:8" x14ac:dyDescent="0.25">
      <c r="F377" s="4"/>
      <c r="G377" s="3"/>
      <c r="H377" s="5"/>
    </row>
    <row r="378" spans="6:8" x14ac:dyDescent="0.25">
      <c r="F378" s="4"/>
      <c r="G378" s="3"/>
      <c r="H378" s="5"/>
    </row>
    <row r="379" spans="6:8" x14ac:dyDescent="0.25">
      <c r="F379" s="4"/>
      <c r="G379" s="3"/>
      <c r="H379" s="5"/>
    </row>
    <row r="380" spans="6:8" x14ac:dyDescent="0.25">
      <c r="F380" s="4"/>
      <c r="G380" s="3"/>
      <c r="H380" s="5"/>
    </row>
    <row r="381" spans="6:8" x14ac:dyDescent="0.25">
      <c r="F381" s="4"/>
      <c r="G381" s="3"/>
      <c r="H381" s="5"/>
    </row>
    <row r="382" spans="6:8" x14ac:dyDescent="0.25">
      <c r="F382" s="4"/>
      <c r="G382" s="3"/>
      <c r="H382" s="5"/>
    </row>
    <row r="383" spans="6:8" x14ac:dyDescent="0.25">
      <c r="F383" s="4"/>
      <c r="G383" s="3"/>
      <c r="H383" s="5"/>
    </row>
    <row r="384" spans="6:8" x14ac:dyDescent="0.25">
      <c r="F384" s="4"/>
      <c r="G384" s="3"/>
      <c r="H384" s="5"/>
    </row>
    <row r="385" spans="6:8" x14ac:dyDescent="0.25">
      <c r="F385" s="4"/>
      <c r="G385" s="3"/>
      <c r="H385" s="5"/>
    </row>
    <row r="386" spans="6:8" x14ac:dyDescent="0.25">
      <c r="F386" s="4"/>
      <c r="G386" s="3"/>
      <c r="H386" s="5"/>
    </row>
    <row r="387" spans="6:8" x14ac:dyDescent="0.25">
      <c r="F387" s="4"/>
      <c r="G387" s="3"/>
      <c r="H387" s="5"/>
    </row>
    <row r="388" spans="6:8" x14ac:dyDescent="0.25">
      <c r="F388" s="4"/>
      <c r="G388" s="3"/>
      <c r="H388" s="5"/>
    </row>
    <row r="389" spans="6:8" x14ac:dyDescent="0.25">
      <c r="F389" s="4"/>
      <c r="G389" s="3"/>
      <c r="H389" s="5"/>
    </row>
    <row r="390" spans="6:8" x14ac:dyDescent="0.25">
      <c r="F390" s="4"/>
      <c r="G390" s="3"/>
      <c r="H390" s="5"/>
    </row>
    <row r="391" spans="6:8" x14ac:dyDescent="0.25">
      <c r="F391" s="4"/>
      <c r="G391" s="3"/>
      <c r="H391" s="5"/>
    </row>
    <row r="392" spans="6:8" x14ac:dyDescent="0.25">
      <c r="F392" s="4"/>
      <c r="G392" s="3"/>
      <c r="H392" s="5"/>
    </row>
    <row r="393" spans="6:8" x14ac:dyDescent="0.25">
      <c r="F393" s="4"/>
      <c r="G393" s="3"/>
      <c r="H393" s="5"/>
    </row>
    <row r="394" spans="6:8" x14ac:dyDescent="0.25">
      <c r="F394" s="4"/>
      <c r="G394" s="3"/>
      <c r="H394" s="5"/>
    </row>
    <row r="395" spans="6:8" x14ac:dyDescent="0.25">
      <c r="F395" s="4"/>
      <c r="G395" s="3"/>
      <c r="H395" s="5"/>
    </row>
    <row r="396" spans="6:8" x14ac:dyDescent="0.25">
      <c r="F396" s="4"/>
      <c r="G396" s="3"/>
      <c r="H396" s="5"/>
    </row>
    <row r="397" spans="6:8" x14ac:dyDescent="0.25">
      <c r="F397" s="4"/>
      <c r="G397" s="3"/>
      <c r="H397" s="5"/>
    </row>
    <row r="398" spans="6:8" x14ac:dyDescent="0.25">
      <c r="F398" s="4"/>
      <c r="G398" s="3"/>
      <c r="H398" s="5"/>
    </row>
    <row r="399" spans="6:8" x14ac:dyDescent="0.25">
      <c r="F399" s="4"/>
      <c r="G399" s="3"/>
      <c r="H399" s="5"/>
    </row>
    <row r="400" spans="6:8" x14ac:dyDescent="0.25">
      <c r="F400" s="4"/>
      <c r="G400" s="3"/>
      <c r="H400" s="5"/>
    </row>
    <row r="401" spans="6:8" x14ac:dyDescent="0.25">
      <c r="F401" s="4"/>
      <c r="G401" s="3"/>
      <c r="H401" s="5"/>
    </row>
    <row r="402" spans="6:8" x14ac:dyDescent="0.25">
      <c r="F402" s="4"/>
      <c r="G402" s="3"/>
      <c r="H402" s="5"/>
    </row>
    <row r="403" spans="6:8" x14ac:dyDescent="0.25">
      <c r="F403" s="4"/>
      <c r="G403" s="3"/>
      <c r="H403" s="5"/>
    </row>
    <row r="404" spans="6:8" x14ac:dyDescent="0.25">
      <c r="F404" s="4"/>
      <c r="G404" s="3"/>
      <c r="H404" s="5"/>
    </row>
    <row r="405" spans="6:8" x14ac:dyDescent="0.25">
      <c r="F405" s="4"/>
      <c r="G405" s="3"/>
      <c r="H405" s="5"/>
    </row>
    <row r="406" spans="6:8" x14ac:dyDescent="0.25">
      <c r="F406" s="4"/>
      <c r="G406" s="3"/>
      <c r="H406" s="5"/>
    </row>
    <row r="407" spans="6:8" x14ac:dyDescent="0.25">
      <c r="F407" s="4"/>
      <c r="G407" s="3"/>
      <c r="H407" s="5"/>
    </row>
    <row r="408" spans="6:8" x14ac:dyDescent="0.25">
      <c r="F408" s="4"/>
      <c r="G408" s="3"/>
      <c r="H408" s="5"/>
    </row>
    <row r="409" spans="6:8" x14ac:dyDescent="0.25">
      <c r="F409" s="4"/>
      <c r="G409" s="3"/>
      <c r="H409" s="5"/>
    </row>
    <row r="410" spans="6:8" x14ac:dyDescent="0.25">
      <c r="F410" s="4"/>
      <c r="G410" s="3"/>
      <c r="H410" s="5"/>
    </row>
    <row r="411" spans="6:8" x14ac:dyDescent="0.25">
      <c r="F411" s="4"/>
      <c r="G411" s="3"/>
      <c r="H411" s="5"/>
    </row>
    <row r="412" spans="6:8" x14ac:dyDescent="0.25">
      <c r="F412" s="4"/>
      <c r="G412" s="3"/>
      <c r="H412" s="5"/>
    </row>
    <row r="413" spans="6:8" x14ac:dyDescent="0.25">
      <c r="F413" s="4"/>
      <c r="G413" s="3"/>
      <c r="H413" s="5"/>
    </row>
    <row r="414" spans="6:8" x14ac:dyDescent="0.25">
      <c r="F414" s="4"/>
      <c r="G414" s="3"/>
      <c r="H414" s="5"/>
    </row>
    <row r="415" spans="6:8" x14ac:dyDescent="0.25">
      <c r="F415" s="4"/>
      <c r="G415" s="3"/>
      <c r="H415" s="5"/>
    </row>
    <row r="416" spans="6:8" x14ac:dyDescent="0.25">
      <c r="F416" s="4"/>
      <c r="G416" s="3"/>
      <c r="H416" s="5"/>
    </row>
    <row r="417" spans="6:8" x14ac:dyDescent="0.25">
      <c r="F417" s="4"/>
      <c r="G417" s="3"/>
      <c r="H417" s="5"/>
    </row>
    <row r="418" spans="6:8" x14ac:dyDescent="0.25">
      <c r="F418" s="4"/>
      <c r="G418" s="3"/>
      <c r="H418" s="5"/>
    </row>
    <row r="419" spans="6:8" x14ac:dyDescent="0.25">
      <c r="F419" s="4"/>
      <c r="G419" s="3"/>
      <c r="H419" s="5"/>
    </row>
    <row r="420" spans="6:8" x14ac:dyDescent="0.25">
      <c r="F420" s="4"/>
      <c r="G420" s="3"/>
      <c r="H420" s="5"/>
    </row>
    <row r="421" spans="6:8" x14ac:dyDescent="0.25">
      <c r="F421" s="4"/>
      <c r="G421" s="3"/>
      <c r="H421" s="5"/>
    </row>
    <row r="422" spans="6:8" x14ac:dyDescent="0.25">
      <c r="F422" s="4"/>
      <c r="G422" s="3"/>
      <c r="H422" s="5"/>
    </row>
    <row r="423" spans="6:8" x14ac:dyDescent="0.25">
      <c r="F423" s="4"/>
      <c r="G423" s="3"/>
      <c r="H423" s="5"/>
    </row>
    <row r="424" spans="6:8" x14ac:dyDescent="0.25">
      <c r="F424" s="4"/>
      <c r="G424" s="3"/>
      <c r="H424" s="5"/>
    </row>
    <row r="425" spans="6:8" x14ac:dyDescent="0.25">
      <c r="F425" s="4"/>
      <c r="G425" s="3"/>
      <c r="H425" s="5"/>
    </row>
    <row r="426" spans="6:8" x14ac:dyDescent="0.25">
      <c r="F426" s="4"/>
      <c r="G426" s="3"/>
      <c r="H426" s="5"/>
    </row>
    <row r="427" spans="6:8" x14ac:dyDescent="0.25">
      <c r="F427" s="4"/>
      <c r="G427" s="3"/>
      <c r="H427" s="5"/>
    </row>
    <row r="428" spans="6:8" x14ac:dyDescent="0.25">
      <c r="F428" s="4"/>
      <c r="G428" s="3"/>
      <c r="H428" s="5"/>
    </row>
    <row r="429" spans="6:8" x14ac:dyDescent="0.25">
      <c r="F429" s="4"/>
      <c r="G429" s="3"/>
      <c r="H429" s="5"/>
    </row>
    <row r="430" spans="6:8" x14ac:dyDescent="0.25">
      <c r="F430" s="4"/>
      <c r="G430" s="3"/>
      <c r="H430" s="5"/>
    </row>
    <row r="431" spans="6:8" x14ac:dyDescent="0.25">
      <c r="F431" s="4"/>
      <c r="G431" s="3"/>
      <c r="H431" s="5"/>
    </row>
    <row r="432" spans="6:8" x14ac:dyDescent="0.25">
      <c r="F432" s="4"/>
      <c r="G432" s="3"/>
      <c r="H432" s="5"/>
    </row>
    <row r="433" spans="6:8" x14ac:dyDescent="0.25">
      <c r="F433" s="4"/>
      <c r="G433" s="3"/>
      <c r="H433" s="5"/>
    </row>
    <row r="434" spans="6:8" x14ac:dyDescent="0.25">
      <c r="F434" s="4"/>
      <c r="G434" s="3"/>
      <c r="H434" s="5"/>
    </row>
    <row r="435" spans="6:8" x14ac:dyDescent="0.25">
      <c r="F435" s="4"/>
      <c r="G435" s="3"/>
      <c r="H435" s="5"/>
    </row>
    <row r="436" spans="6:8" x14ac:dyDescent="0.25">
      <c r="F436" s="4"/>
      <c r="G436" s="3"/>
      <c r="H436" s="5"/>
    </row>
    <row r="437" spans="6:8" x14ac:dyDescent="0.25">
      <c r="F437" s="4"/>
      <c r="G437" s="3"/>
      <c r="H437" s="5"/>
    </row>
    <row r="438" spans="6:8" x14ac:dyDescent="0.25">
      <c r="F438" s="4"/>
      <c r="G438" s="3"/>
      <c r="H438" s="5"/>
    </row>
    <row r="439" spans="6:8" x14ac:dyDescent="0.25">
      <c r="F439" s="4"/>
      <c r="G439" s="3"/>
      <c r="H439" s="5"/>
    </row>
    <row r="440" spans="6:8" x14ac:dyDescent="0.25">
      <c r="F440" s="4"/>
      <c r="G440" s="3"/>
      <c r="H440" s="5"/>
    </row>
    <row r="441" spans="6:8" x14ac:dyDescent="0.25">
      <c r="F441" s="4"/>
      <c r="G441" s="3"/>
      <c r="H441" s="5"/>
    </row>
    <row r="442" spans="6:8" x14ac:dyDescent="0.25">
      <c r="F442" s="4"/>
      <c r="G442" s="3"/>
      <c r="H442" s="5"/>
    </row>
    <row r="443" spans="6:8" x14ac:dyDescent="0.25">
      <c r="F443" s="4"/>
      <c r="G443" s="3"/>
      <c r="H443" s="5"/>
    </row>
    <row r="444" spans="6:8" x14ac:dyDescent="0.25">
      <c r="F444" s="4"/>
      <c r="G444" s="3"/>
      <c r="H444" s="5"/>
    </row>
    <row r="445" spans="6:8" x14ac:dyDescent="0.25">
      <c r="F445" s="4"/>
      <c r="G445" s="3"/>
      <c r="H445" s="5"/>
    </row>
    <row r="446" spans="6:8" x14ac:dyDescent="0.25">
      <c r="F446" s="4"/>
      <c r="G446" s="3"/>
      <c r="H446" s="5"/>
    </row>
    <row r="447" spans="6:8" x14ac:dyDescent="0.25">
      <c r="F447" s="4"/>
      <c r="G447" s="3"/>
      <c r="H447" s="5"/>
    </row>
    <row r="448" spans="6:8" x14ac:dyDescent="0.25">
      <c r="F448" s="4"/>
      <c r="G448" s="3"/>
      <c r="H448" s="5"/>
    </row>
    <row r="449" spans="6:8" x14ac:dyDescent="0.25">
      <c r="F449" s="4"/>
      <c r="G449" s="3"/>
      <c r="H449" s="5"/>
    </row>
    <row r="450" spans="6:8" x14ac:dyDescent="0.25">
      <c r="F450" s="4"/>
      <c r="G450" s="3"/>
      <c r="H450" s="5"/>
    </row>
    <row r="451" spans="6:8" x14ac:dyDescent="0.25">
      <c r="F451" s="4"/>
      <c r="G451" s="3"/>
      <c r="H451" s="5"/>
    </row>
    <row r="452" spans="6:8" x14ac:dyDescent="0.25">
      <c r="F452" s="4"/>
      <c r="G452" s="3"/>
      <c r="H452" s="5"/>
    </row>
    <row r="453" spans="6:8" x14ac:dyDescent="0.25">
      <c r="F453" s="4"/>
      <c r="G453" s="3"/>
      <c r="H453" s="5"/>
    </row>
    <row r="454" spans="6:8" x14ac:dyDescent="0.25">
      <c r="F454" s="4"/>
      <c r="G454" s="3"/>
      <c r="H454" s="5"/>
    </row>
    <row r="455" spans="6:8" x14ac:dyDescent="0.25">
      <c r="F455" s="4"/>
      <c r="G455" s="3"/>
      <c r="H455" s="5"/>
    </row>
    <row r="456" spans="6:8" x14ac:dyDescent="0.25">
      <c r="F456" s="4"/>
      <c r="G456" s="3"/>
      <c r="H456" s="5"/>
    </row>
    <row r="457" spans="6:8" x14ac:dyDescent="0.25">
      <c r="F457" s="4"/>
      <c r="G457" s="3"/>
      <c r="H457" s="5"/>
    </row>
    <row r="458" spans="6:8" x14ac:dyDescent="0.25">
      <c r="F458" s="4"/>
      <c r="G458" s="3"/>
      <c r="H458" s="5"/>
    </row>
    <row r="459" spans="6:8" x14ac:dyDescent="0.25">
      <c r="F459" s="4"/>
      <c r="G459" s="3"/>
      <c r="H459" s="5"/>
    </row>
    <row r="460" spans="6:8" x14ac:dyDescent="0.25">
      <c r="F460" s="4"/>
      <c r="G460" s="3"/>
      <c r="H460" s="5"/>
    </row>
    <row r="461" spans="6:8" x14ac:dyDescent="0.25">
      <c r="F461" s="4"/>
      <c r="G461" s="3"/>
      <c r="H461" s="5"/>
    </row>
    <row r="462" spans="6:8" x14ac:dyDescent="0.25">
      <c r="F462" s="4"/>
      <c r="G462" s="3"/>
      <c r="H462" s="5"/>
    </row>
    <row r="463" spans="6:8" x14ac:dyDescent="0.25">
      <c r="F463" s="4"/>
      <c r="G463" s="3"/>
      <c r="H463" s="5"/>
    </row>
    <row r="464" spans="6:8" x14ac:dyDescent="0.25">
      <c r="F464" s="4"/>
      <c r="G464" s="3"/>
      <c r="H464" s="5"/>
    </row>
    <row r="465" spans="6:8" x14ac:dyDescent="0.25">
      <c r="F465" s="4"/>
      <c r="G465" s="3"/>
      <c r="H465" s="5"/>
    </row>
    <row r="466" spans="6:8" x14ac:dyDescent="0.25">
      <c r="F466" s="4"/>
      <c r="G466" s="3"/>
      <c r="H466" s="5"/>
    </row>
    <row r="467" spans="6:8" x14ac:dyDescent="0.25">
      <c r="F467" s="4"/>
      <c r="G467" s="3"/>
      <c r="H467" s="5"/>
    </row>
    <row r="468" spans="6:8" x14ac:dyDescent="0.25">
      <c r="F468" s="4"/>
      <c r="G468" s="3"/>
      <c r="H468" s="5"/>
    </row>
    <row r="469" spans="6:8" x14ac:dyDescent="0.25">
      <c r="F469" s="4"/>
      <c r="G469" s="3"/>
      <c r="H469" s="5"/>
    </row>
    <row r="470" spans="6:8" x14ac:dyDescent="0.25">
      <c r="F470" s="4"/>
      <c r="G470" s="3"/>
      <c r="H470" s="5"/>
    </row>
    <row r="471" spans="6:8" x14ac:dyDescent="0.25">
      <c r="F471" s="4"/>
      <c r="G471" s="3"/>
      <c r="H471" s="5"/>
    </row>
    <row r="472" spans="6:8" x14ac:dyDescent="0.25">
      <c r="F472" s="4"/>
      <c r="G472" s="3"/>
      <c r="H472" s="5"/>
    </row>
    <row r="473" spans="6:8" x14ac:dyDescent="0.25">
      <c r="F473" s="4"/>
      <c r="G473" s="3"/>
      <c r="H473" s="5"/>
    </row>
    <row r="474" spans="6:8" x14ac:dyDescent="0.25">
      <c r="F474" s="4"/>
      <c r="G474" s="3"/>
      <c r="H474" s="5"/>
    </row>
    <row r="475" spans="6:8" x14ac:dyDescent="0.25">
      <c r="F475" s="4"/>
      <c r="G475" s="3"/>
      <c r="H475" s="5"/>
    </row>
    <row r="476" spans="6:8" x14ac:dyDescent="0.25">
      <c r="F476" s="4"/>
      <c r="G476" s="3"/>
      <c r="H476" s="5"/>
    </row>
    <row r="477" spans="6:8" x14ac:dyDescent="0.25">
      <c r="F477" s="4"/>
      <c r="G477" s="3"/>
      <c r="H477" s="5"/>
    </row>
    <row r="478" spans="6:8" x14ac:dyDescent="0.25">
      <c r="F478" s="4"/>
      <c r="G478" s="3"/>
      <c r="H478" s="5"/>
    </row>
    <row r="479" spans="6:8" x14ac:dyDescent="0.25">
      <c r="F479" s="4"/>
      <c r="G479" s="3"/>
      <c r="H479" s="5"/>
    </row>
    <row r="480" spans="6:8" x14ac:dyDescent="0.25">
      <c r="F480" s="4"/>
      <c r="G480" s="3"/>
      <c r="H480" s="5"/>
    </row>
    <row r="481" spans="6:8" x14ac:dyDescent="0.25">
      <c r="F481" s="4"/>
      <c r="G481" s="3"/>
      <c r="H481" s="5"/>
    </row>
    <row r="482" spans="6:8" x14ac:dyDescent="0.25">
      <c r="F482" s="4"/>
      <c r="G482" s="3"/>
      <c r="H482" s="5"/>
    </row>
    <row r="483" spans="6:8" x14ac:dyDescent="0.25">
      <c r="F483" s="4"/>
      <c r="G483" s="3"/>
      <c r="H483" s="5"/>
    </row>
    <row r="484" spans="6:8" x14ac:dyDescent="0.25">
      <c r="F484" s="4"/>
      <c r="G484" s="3"/>
      <c r="H484" s="5"/>
    </row>
    <row r="485" spans="6:8" x14ac:dyDescent="0.25">
      <c r="F485" s="4"/>
      <c r="G485" s="3"/>
      <c r="H485" s="5"/>
    </row>
    <row r="486" spans="6:8" x14ac:dyDescent="0.25">
      <c r="F486" s="4"/>
      <c r="G486" s="3"/>
      <c r="H486" s="5"/>
    </row>
    <row r="487" spans="6:8" x14ac:dyDescent="0.25">
      <c r="F487" s="4"/>
      <c r="G487" s="3"/>
      <c r="H487" s="5"/>
    </row>
    <row r="488" spans="6:8" x14ac:dyDescent="0.25">
      <c r="F488" s="4"/>
      <c r="G488" s="3"/>
      <c r="H488" s="5"/>
    </row>
    <row r="489" spans="6:8" x14ac:dyDescent="0.25">
      <c r="F489" s="4"/>
      <c r="G489" s="3"/>
      <c r="H489" s="5"/>
    </row>
    <row r="490" spans="6:8" x14ac:dyDescent="0.25">
      <c r="F490" s="4"/>
      <c r="G490" s="3"/>
      <c r="H490" s="5"/>
    </row>
    <row r="491" spans="6:8" x14ac:dyDescent="0.25">
      <c r="F491" s="4"/>
      <c r="G491" s="3"/>
      <c r="H491" s="5"/>
    </row>
    <row r="492" spans="6:8" x14ac:dyDescent="0.25">
      <c r="F492" s="4"/>
      <c r="G492" s="3"/>
      <c r="H492" s="5"/>
    </row>
    <row r="493" spans="6:8" x14ac:dyDescent="0.25">
      <c r="F493" s="4"/>
      <c r="G493" s="3"/>
      <c r="H493" s="5"/>
    </row>
    <row r="494" spans="6:8" x14ac:dyDescent="0.25">
      <c r="F494" s="4"/>
      <c r="G494" s="3"/>
      <c r="H494" s="5"/>
    </row>
    <row r="495" spans="6:8" x14ac:dyDescent="0.25">
      <c r="F495" s="4"/>
      <c r="G495" s="3"/>
      <c r="H495" s="5"/>
    </row>
    <row r="496" spans="6:8" x14ac:dyDescent="0.25">
      <c r="F496" s="4"/>
      <c r="G496" s="3"/>
      <c r="H496" s="5"/>
    </row>
    <row r="497" spans="6:8" x14ac:dyDescent="0.25">
      <c r="F497" s="4"/>
      <c r="G497" s="3"/>
      <c r="H497" s="5"/>
    </row>
    <row r="498" spans="6:8" x14ac:dyDescent="0.25">
      <c r="F498" s="4"/>
      <c r="G498" s="3"/>
      <c r="H498" s="5"/>
    </row>
    <row r="499" spans="6:8" x14ac:dyDescent="0.25">
      <c r="F499" s="4"/>
      <c r="G499" s="3"/>
      <c r="H499" s="5"/>
    </row>
    <row r="500" spans="6:8" x14ac:dyDescent="0.25">
      <c r="F500" s="4"/>
      <c r="G500" s="3"/>
      <c r="H500" s="5"/>
    </row>
    <row r="501" spans="6:8" x14ac:dyDescent="0.25">
      <c r="F501" s="4"/>
      <c r="G501" s="3"/>
      <c r="H501" s="5"/>
    </row>
    <row r="502" spans="6:8" x14ac:dyDescent="0.25">
      <c r="F502" s="4"/>
      <c r="G502" s="3"/>
      <c r="H502" s="5"/>
    </row>
    <row r="503" spans="6:8" x14ac:dyDescent="0.25">
      <c r="F503" s="4"/>
      <c r="G503" s="3"/>
      <c r="H503" s="5"/>
    </row>
    <row r="504" spans="6:8" x14ac:dyDescent="0.25">
      <c r="F504" s="4"/>
      <c r="G504" s="3"/>
      <c r="H504" s="5"/>
    </row>
    <row r="505" spans="6:8" x14ac:dyDescent="0.25">
      <c r="F505" s="4"/>
      <c r="G505" s="3"/>
      <c r="H505" s="5"/>
    </row>
    <row r="506" spans="6:8" x14ac:dyDescent="0.25">
      <c r="F506" s="4"/>
      <c r="G506" s="3"/>
      <c r="H506" s="5"/>
    </row>
    <row r="507" spans="6:8" x14ac:dyDescent="0.25">
      <c r="F507" s="4"/>
      <c r="G507" s="3"/>
      <c r="H507" s="5"/>
    </row>
    <row r="508" spans="6:8" x14ac:dyDescent="0.25">
      <c r="F508" s="4"/>
      <c r="G508" s="3"/>
      <c r="H508" s="5"/>
    </row>
    <row r="509" spans="6:8" x14ac:dyDescent="0.25">
      <c r="F509" s="4"/>
      <c r="G509" s="3"/>
      <c r="H509" s="5"/>
    </row>
    <row r="510" spans="6:8" x14ac:dyDescent="0.25">
      <c r="F510" s="4"/>
      <c r="G510" s="3"/>
      <c r="H510" s="5"/>
    </row>
    <row r="511" spans="6:8" x14ac:dyDescent="0.25">
      <c r="F511" s="4"/>
      <c r="G511" s="3"/>
      <c r="H511" s="5"/>
    </row>
    <row r="512" spans="6:8" x14ac:dyDescent="0.25">
      <c r="F512" s="4"/>
      <c r="G512" s="3"/>
      <c r="H512" s="5"/>
    </row>
    <row r="513" spans="6:8" x14ac:dyDescent="0.25">
      <c r="F513" s="4"/>
      <c r="G513" s="3"/>
      <c r="H513" s="5"/>
    </row>
    <row r="514" spans="6:8" x14ac:dyDescent="0.25">
      <c r="F514" s="4"/>
      <c r="G514" s="3"/>
      <c r="H514" s="5"/>
    </row>
    <row r="515" spans="6:8" x14ac:dyDescent="0.25">
      <c r="F515" s="4"/>
      <c r="G515" s="3"/>
      <c r="H515" s="5"/>
    </row>
    <row r="516" spans="6:8" x14ac:dyDescent="0.25">
      <c r="F516" s="4"/>
      <c r="G516" s="3"/>
      <c r="H516" s="5"/>
    </row>
    <row r="517" spans="6:8" x14ac:dyDescent="0.25">
      <c r="F517" s="4"/>
      <c r="G517" s="3"/>
      <c r="H517" s="5"/>
    </row>
    <row r="518" spans="6:8" x14ac:dyDescent="0.25">
      <c r="F518" s="4"/>
      <c r="G518" s="3"/>
      <c r="H518" s="5"/>
    </row>
    <row r="519" spans="6:8" x14ac:dyDescent="0.25">
      <c r="F519" s="4"/>
      <c r="G519" s="3"/>
      <c r="H519" s="5"/>
    </row>
    <row r="520" spans="6:8" x14ac:dyDescent="0.25">
      <c r="F520" s="4"/>
      <c r="G520" s="3"/>
      <c r="H520" s="5"/>
    </row>
    <row r="521" spans="6:8" x14ac:dyDescent="0.25">
      <c r="F521" s="4"/>
      <c r="G521" s="3"/>
      <c r="H521" s="5"/>
    </row>
    <row r="522" spans="6:8" x14ac:dyDescent="0.25">
      <c r="F522" s="4"/>
      <c r="G522" s="3"/>
      <c r="H522" s="5"/>
    </row>
    <row r="523" spans="6:8" x14ac:dyDescent="0.25">
      <c r="F523" s="4"/>
      <c r="G523" s="3"/>
      <c r="H523" s="5"/>
    </row>
    <row r="524" spans="6:8" x14ac:dyDescent="0.25">
      <c r="F524" s="4"/>
      <c r="G524" s="3"/>
      <c r="H524" s="5"/>
    </row>
    <row r="525" spans="6:8" x14ac:dyDescent="0.25">
      <c r="F525" s="4"/>
      <c r="G525" s="3"/>
      <c r="H525" s="5"/>
    </row>
    <row r="526" spans="6:8" x14ac:dyDescent="0.25">
      <c r="F526" s="4"/>
      <c r="G526" s="3"/>
      <c r="H526" s="5"/>
    </row>
    <row r="527" spans="6:8" x14ac:dyDescent="0.25">
      <c r="F527" s="4"/>
      <c r="G527" s="3"/>
      <c r="H527" s="5"/>
    </row>
    <row r="528" spans="6:8" x14ac:dyDescent="0.25">
      <c r="F528" s="4"/>
      <c r="G528" s="3"/>
      <c r="H528" s="5"/>
    </row>
    <row r="529" spans="6:8" x14ac:dyDescent="0.25">
      <c r="F529" s="4"/>
      <c r="G529" s="3"/>
      <c r="H529" s="5"/>
    </row>
    <row r="530" spans="6:8" x14ac:dyDescent="0.25">
      <c r="F530" s="4"/>
      <c r="G530" s="3"/>
      <c r="H530" s="5"/>
    </row>
    <row r="531" spans="6:8" x14ac:dyDescent="0.25">
      <c r="F531" s="4"/>
      <c r="G531" s="3"/>
      <c r="H531" s="5"/>
    </row>
    <row r="532" spans="6:8" x14ac:dyDescent="0.25">
      <c r="F532" s="4"/>
      <c r="G532" s="3"/>
      <c r="H532" s="5"/>
    </row>
    <row r="533" spans="6:8" x14ac:dyDescent="0.25">
      <c r="F533" s="4"/>
      <c r="G533" s="3"/>
      <c r="H533" s="5"/>
    </row>
    <row r="534" spans="6:8" x14ac:dyDescent="0.25">
      <c r="F534" s="4"/>
      <c r="G534" s="3"/>
      <c r="H534" s="5"/>
    </row>
    <row r="535" spans="6:8" x14ac:dyDescent="0.25">
      <c r="F535" s="4"/>
      <c r="G535" s="3"/>
      <c r="H535" s="5"/>
    </row>
    <row r="536" spans="6:8" x14ac:dyDescent="0.25">
      <c r="F536" s="4"/>
      <c r="G536" s="3"/>
      <c r="H536" s="5"/>
    </row>
    <row r="537" spans="6:8" x14ac:dyDescent="0.25">
      <c r="F537" s="4"/>
      <c r="G537" s="3"/>
      <c r="H537" s="5"/>
    </row>
    <row r="538" spans="6:8" x14ac:dyDescent="0.25">
      <c r="F538" s="4"/>
      <c r="G538" s="3"/>
      <c r="H538" s="5"/>
    </row>
    <row r="539" spans="6:8" x14ac:dyDescent="0.25">
      <c r="F539" s="4"/>
      <c r="G539" s="3"/>
      <c r="H539" s="5"/>
    </row>
    <row r="540" spans="6:8" x14ac:dyDescent="0.25">
      <c r="F540" s="4"/>
      <c r="G540" s="3"/>
      <c r="H540" s="5"/>
    </row>
    <row r="541" spans="6:8" x14ac:dyDescent="0.25">
      <c r="F541" s="4"/>
      <c r="G541" s="3"/>
      <c r="H541" s="5"/>
    </row>
    <row r="542" spans="6:8" x14ac:dyDescent="0.25">
      <c r="F542" s="4"/>
      <c r="G542" s="3"/>
      <c r="H542" s="5"/>
    </row>
    <row r="543" spans="6:8" x14ac:dyDescent="0.25">
      <c r="F543" s="4"/>
      <c r="G543" s="3"/>
      <c r="H543" s="5"/>
    </row>
    <row r="544" spans="6:8" x14ac:dyDescent="0.25">
      <c r="F544" s="4"/>
      <c r="G544" s="3"/>
      <c r="H544" s="5"/>
    </row>
    <row r="545" spans="6:8" x14ac:dyDescent="0.25">
      <c r="F545" s="4"/>
      <c r="G545" s="3"/>
      <c r="H545" s="5"/>
    </row>
    <row r="546" spans="6:8" x14ac:dyDescent="0.25">
      <c r="F546" s="4"/>
      <c r="G546" s="3"/>
      <c r="H546" s="5"/>
    </row>
    <row r="547" spans="6:8" x14ac:dyDescent="0.25">
      <c r="F547" s="4"/>
      <c r="G547" s="3"/>
      <c r="H547" s="5"/>
    </row>
    <row r="548" spans="6:8" x14ac:dyDescent="0.25">
      <c r="F548" s="4"/>
      <c r="G548" s="3"/>
      <c r="H548" s="5"/>
    </row>
    <row r="549" spans="6:8" x14ac:dyDescent="0.25">
      <c r="F549" s="4"/>
      <c r="G549" s="3"/>
      <c r="H549" s="5"/>
    </row>
    <row r="550" spans="6:8" x14ac:dyDescent="0.25">
      <c r="F550" s="4"/>
      <c r="G550" s="3"/>
      <c r="H550" s="5"/>
    </row>
    <row r="551" spans="6:8" x14ac:dyDescent="0.25">
      <c r="F551" s="4"/>
      <c r="G551" s="3"/>
      <c r="H551" s="5"/>
    </row>
    <row r="552" spans="6:8" x14ac:dyDescent="0.25">
      <c r="F552" s="4"/>
      <c r="G552" s="3"/>
      <c r="H552" s="5"/>
    </row>
    <row r="553" spans="6:8" x14ac:dyDescent="0.25">
      <c r="F553" s="4"/>
      <c r="G553" s="3"/>
      <c r="H553" s="5"/>
    </row>
    <row r="554" spans="6:8" x14ac:dyDescent="0.25">
      <c r="F554" s="4"/>
      <c r="G554" s="3"/>
      <c r="H554" s="5"/>
    </row>
    <row r="555" spans="6:8" x14ac:dyDescent="0.25">
      <c r="F555" s="4"/>
      <c r="G555" s="3"/>
      <c r="H555" s="5"/>
    </row>
    <row r="556" spans="6:8" x14ac:dyDescent="0.25">
      <c r="F556" s="4"/>
      <c r="G556" s="3"/>
      <c r="H556" s="5"/>
    </row>
    <row r="557" spans="6:8" x14ac:dyDescent="0.25">
      <c r="F557" s="4"/>
      <c r="G557" s="3"/>
      <c r="H557" s="5"/>
    </row>
    <row r="558" spans="6:8" x14ac:dyDescent="0.25">
      <c r="F558" s="4"/>
      <c r="G558" s="3"/>
      <c r="H558" s="5"/>
    </row>
    <row r="559" spans="6:8" x14ac:dyDescent="0.25">
      <c r="F559" s="4"/>
      <c r="G559" s="3"/>
      <c r="H559" s="5"/>
    </row>
    <row r="560" spans="6:8" x14ac:dyDescent="0.25">
      <c r="F560" s="4"/>
      <c r="G560" s="3"/>
      <c r="H560" s="5"/>
    </row>
    <row r="561" spans="6:8" x14ac:dyDescent="0.25">
      <c r="F561" s="4"/>
      <c r="G561" s="3"/>
      <c r="H561" s="5"/>
    </row>
    <row r="562" spans="6:8" x14ac:dyDescent="0.25">
      <c r="F562" s="4"/>
      <c r="G562" s="3"/>
      <c r="H562" s="5"/>
    </row>
    <row r="563" spans="6:8" x14ac:dyDescent="0.25">
      <c r="F563" s="4"/>
      <c r="G563" s="3"/>
      <c r="H563" s="5"/>
    </row>
    <row r="564" spans="6:8" x14ac:dyDescent="0.25">
      <c r="F564" s="4"/>
      <c r="G564" s="3"/>
      <c r="H564" s="5"/>
    </row>
    <row r="565" spans="6:8" x14ac:dyDescent="0.25">
      <c r="F565" s="4"/>
      <c r="G565" s="3"/>
      <c r="H565" s="5"/>
    </row>
    <row r="566" spans="6:8" x14ac:dyDescent="0.25">
      <c r="F566" s="4"/>
      <c r="G566" s="3"/>
      <c r="H566" s="5"/>
    </row>
    <row r="567" spans="6:8" x14ac:dyDescent="0.25">
      <c r="F567" s="4"/>
      <c r="G567" s="3"/>
      <c r="H567" s="5"/>
    </row>
    <row r="568" spans="6:8" x14ac:dyDescent="0.25">
      <c r="F568" s="4"/>
      <c r="G568" s="3"/>
      <c r="H568" s="5"/>
    </row>
    <row r="569" spans="6:8" x14ac:dyDescent="0.25">
      <c r="F569" s="4"/>
      <c r="G569" s="3"/>
      <c r="H569" s="5"/>
    </row>
    <row r="570" spans="6:8" x14ac:dyDescent="0.25">
      <c r="F570" s="4"/>
      <c r="G570" s="3"/>
      <c r="H570" s="5"/>
    </row>
    <row r="571" spans="6:8" x14ac:dyDescent="0.25">
      <c r="F571" s="4"/>
      <c r="G571" s="3"/>
      <c r="H571" s="5"/>
    </row>
    <row r="572" spans="6:8" x14ac:dyDescent="0.25">
      <c r="F572" s="4"/>
      <c r="G572" s="3"/>
      <c r="H572" s="5"/>
    </row>
    <row r="573" spans="6:8" x14ac:dyDescent="0.25">
      <c r="F573" s="4"/>
      <c r="G573" s="3"/>
      <c r="H573" s="5"/>
    </row>
    <row r="574" spans="6:8" x14ac:dyDescent="0.25">
      <c r="F574" s="4"/>
      <c r="G574" s="3"/>
      <c r="H574" s="5"/>
    </row>
    <row r="575" spans="6:8" x14ac:dyDescent="0.25">
      <c r="F575" s="4"/>
      <c r="G575" s="3"/>
      <c r="H575" s="5"/>
    </row>
    <row r="576" spans="6:8" x14ac:dyDescent="0.25">
      <c r="F576" s="4"/>
      <c r="G576" s="3"/>
      <c r="H576" s="5"/>
    </row>
    <row r="577" spans="6:8" x14ac:dyDescent="0.25">
      <c r="F577" s="4"/>
      <c r="G577" s="3"/>
      <c r="H577" s="5"/>
    </row>
    <row r="578" spans="6:8" x14ac:dyDescent="0.25">
      <c r="F578" s="4"/>
      <c r="G578" s="3"/>
      <c r="H578" s="5"/>
    </row>
    <row r="579" spans="6:8" x14ac:dyDescent="0.25">
      <c r="F579" s="4"/>
      <c r="G579" s="3"/>
      <c r="H579" s="5"/>
    </row>
    <row r="580" spans="6:8" x14ac:dyDescent="0.25">
      <c r="F580" s="4"/>
      <c r="G580" s="3"/>
      <c r="H580" s="5"/>
    </row>
    <row r="581" spans="6:8" x14ac:dyDescent="0.25">
      <c r="F581" s="4"/>
      <c r="G581" s="3"/>
      <c r="H581" s="5"/>
    </row>
    <row r="582" spans="6:8" x14ac:dyDescent="0.25">
      <c r="F582" s="4"/>
      <c r="G582" s="3"/>
      <c r="H582" s="5"/>
    </row>
    <row r="583" spans="6:8" x14ac:dyDescent="0.25">
      <c r="F583" s="4"/>
      <c r="G583" s="3"/>
      <c r="H583" s="5"/>
    </row>
    <row r="584" spans="6:8" x14ac:dyDescent="0.25">
      <c r="F584" s="4"/>
      <c r="G584" s="3"/>
      <c r="H584" s="5"/>
    </row>
    <row r="585" spans="6:8" x14ac:dyDescent="0.25">
      <c r="F585" s="4"/>
      <c r="G585" s="3"/>
      <c r="H585" s="5"/>
    </row>
    <row r="586" spans="6:8" x14ac:dyDescent="0.25">
      <c r="F586" s="4"/>
      <c r="G586" s="3"/>
      <c r="H586" s="5"/>
    </row>
    <row r="587" spans="6:8" x14ac:dyDescent="0.25">
      <c r="F587" s="4"/>
      <c r="G587" s="3"/>
      <c r="H587" s="5"/>
    </row>
    <row r="588" spans="6:8" x14ac:dyDescent="0.25">
      <c r="F588" s="4"/>
      <c r="G588" s="3"/>
      <c r="H588" s="5"/>
    </row>
    <row r="589" spans="6:8" x14ac:dyDescent="0.25">
      <c r="F589" s="4"/>
      <c r="G589" s="3"/>
      <c r="H589" s="5"/>
    </row>
    <row r="590" spans="6:8" x14ac:dyDescent="0.25">
      <c r="F590" s="4"/>
      <c r="G590" s="3"/>
      <c r="H590" s="5"/>
    </row>
    <row r="591" spans="6:8" x14ac:dyDescent="0.25">
      <c r="F591" s="4"/>
      <c r="G591" s="3"/>
      <c r="H591" s="5"/>
    </row>
    <row r="592" spans="6:8" x14ac:dyDescent="0.25">
      <c r="F592" s="4"/>
      <c r="G592" s="3"/>
      <c r="H592" s="5"/>
    </row>
    <row r="593" spans="6:8" x14ac:dyDescent="0.25">
      <c r="F593" s="4"/>
      <c r="G593" s="3"/>
      <c r="H593" s="5"/>
    </row>
    <row r="594" spans="6:8" x14ac:dyDescent="0.25">
      <c r="F594" s="4"/>
      <c r="G594" s="3"/>
      <c r="H594" s="5"/>
    </row>
    <row r="595" spans="6:8" x14ac:dyDescent="0.25">
      <c r="F595" s="4"/>
      <c r="G595" s="3"/>
      <c r="H595" s="5"/>
    </row>
    <row r="596" spans="6:8" x14ac:dyDescent="0.25">
      <c r="F596" s="4"/>
      <c r="G596" s="3"/>
      <c r="H596" s="5"/>
    </row>
    <row r="597" spans="6:8" x14ac:dyDescent="0.25">
      <c r="F597" s="4"/>
      <c r="G597" s="3"/>
      <c r="H597" s="5"/>
    </row>
    <row r="598" spans="6:8" x14ac:dyDescent="0.25">
      <c r="F598" s="4"/>
      <c r="G598" s="3"/>
      <c r="H598" s="5"/>
    </row>
    <row r="599" spans="6:8" x14ac:dyDescent="0.25">
      <c r="F599" s="4"/>
      <c r="G599" s="3"/>
      <c r="H599" s="5"/>
    </row>
    <row r="600" spans="6:8" x14ac:dyDescent="0.25">
      <c r="F600" s="4"/>
      <c r="G600" s="3"/>
      <c r="H600" s="5"/>
    </row>
    <row r="601" spans="6:8" x14ac:dyDescent="0.25">
      <c r="F601" s="4"/>
      <c r="G601" s="3"/>
      <c r="H601" s="5"/>
    </row>
    <row r="602" spans="6:8" x14ac:dyDescent="0.25">
      <c r="F602" s="4"/>
      <c r="G602" s="3"/>
      <c r="H602" s="5"/>
    </row>
    <row r="603" spans="6:8" x14ac:dyDescent="0.25">
      <c r="F603" s="4"/>
      <c r="G603" s="3"/>
      <c r="H603" s="5"/>
    </row>
    <row r="604" spans="6:8" x14ac:dyDescent="0.25">
      <c r="F604" s="4"/>
      <c r="G604" s="3"/>
      <c r="H604" s="5"/>
    </row>
    <row r="605" spans="6:8" x14ac:dyDescent="0.25">
      <c r="F605" s="4"/>
      <c r="G605" s="3"/>
      <c r="H605" s="5"/>
    </row>
    <row r="606" spans="6:8" x14ac:dyDescent="0.25">
      <c r="F606" s="4"/>
      <c r="G606" s="3"/>
      <c r="H606" s="5"/>
    </row>
    <row r="607" spans="6:8" x14ac:dyDescent="0.25">
      <c r="F607" s="4"/>
      <c r="G607" s="3"/>
      <c r="H607" s="5"/>
    </row>
    <row r="608" spans="6:8" x14ac:dyDescent="0.25">
      <c r="F608" s="4"/>
      <c r="G608" s="3"/>
      <c r="H608" s="5"/>
    </row>
    <row r="609" spans="6:8" x14ac:dyDescent="0.25">
      <c r="F609" s="4"/>
      <c r="G609" s="3"/>
      <c r="H609" s="5"/>
    </row>
    <row r="610" spans="6:8" x14ac:dyDescent="0.25">
      <c r="F610" s="4"/>
      <c r="G610" s="3"/>
      <c r="H610" s="5"/>
    </row>
    <row r="611" spans="6:8" x14ac:dyDescent="0.25">
      <c r="F611" s="4"/>
      <c r="G611" s="3"/>
      <c r="H611" s="5"/>
    </row>
    <row r="612" spans="6:8" x14ac:dyDescent="0.25">
      <c r="F612" s="4"/>
      <c r="G612" s="3"/>
      <c r="H612" s="5"/>
    </row>
    <row r="613" spans="6:8" x14ac:dyDescent="0.25">
      <c r="F613" s="4"/>
      <c r="G613" s="3"/>
      <c r="H613" s="5"/>
    </row>
    <row r="614" spans="6:8" x14ac:dyDescent="0.25">
      <c r="F614" s="4"/>
      <c r="G614" s="3"/>
      <c r="H614" s="5"/>
    </row>
    <row r="615" spans="6:8" x14ac:dyDescent="0.25">
      <c r="F615" s="4"/>
      <c r="G615" s="3"/>
      <c r="H615" s="5"/>
    </row>
    <row r="616" spans="6:8" x14ac:dyDescent="0.25">
      <c r="F616" s="4"/>
      <c r="G616" s="3"/>
      <c r="H616" s="5"/>
    </row>
    <row r="617" spans="6:8" x14ac:dyDescent="0.25">
      <c r="F617" s="4"/>
      <c r="G617" s="3"/>
      <c r="H617" s="5"/>
    </row>
    <row r="618" spans="6:8" x14ac:dyDescent="0.25">
      <c r="F618" s="4"/>
      <c r="G618" s="3"/>
      <c r="H618" s="5"/>
    </row>
    <row r="619" spans="6:8" x14ac:dyDescent="0.25">
      <c r="F619" s="4"/>
      <c r="G619" s="3"/>
      <c r="H619" s="5"/>
    </row>
    <row r="620" spans="6:8" x14ac:dyDescent="0.25">
      <c r="F620" s="4"/>
      <c r="G620" s="3"/>
      <c r="H620" s="5"/>
    </row>
    <row r="621" spans="6:8" x14ac:dyDescent="0.25">
      <c r="F621" s="4"/>
      <c r="G621" s="3"/>
      <c r="H621" s="5"/>
    </row>
    <row r="622" spans="6:8" x14ac:dyDescent="0.25">
      <c r="F622" s="4"/>
      <c r="G622" s="3"/>
      <c r="H622" s="5"/>
    </row>
    <row r="623" spans="6:8" x14ac:dyDescent="0.25">
      <c r="F623" s="4"/>
      <c r="G623" s="3"/>
      <c r="H623" s="5"/>
    </row>
    <row r="624" spans="6:8" x14ac:dyDescent="0.25">
      <c r="F624" s="4"/>
      <c r="G624" s="3"/>
      <c r="H624" s="5"/>
    </row>
    <row r="625" spans="6:8" x14ac:dyDescent="0.25">
      <c r="F625" s="4"/>
      <c r="G625" s="3"/>
      <c r="H625" s="5"/>
    </row>
    <row r="626" spans="6:8" x14ac:dyDescent="0.25">
      <c r="F626" s="4"/>
      <c r="G626" s="3"/>
      <c r="H626" s="5"/>
    </row>
    <row r="627" spans="6:8" x14ac:dyDescent="0.25">
      <c r="F627" s="4"/>
      <c r="G627" s="3"/>
      <c r="H627" s="5"/>
    </row>
    <row r="628" spans="6:8" x14ac:dyDescent="0.25">
      <c r="F628" s="4"/>
      <c r="G628" s="3"/>
      <c r="H628" s="5"/>
    </row>
    <row r="629" spans="6:8" x14ac:dyDescent="0.25">
      <c r="F629" s="4"/>
      <c r="G629" s="3"/>
      <c r="H629" s="5"/>
    </row>
    <row r="630" spans="6:8" x14ac:dyDescent="0.25">
      <c r="F630" s="4"/>
      <c r="G630" s="3"/>
      <c r="H630" s="5"/>
    </row>
    <row r="631" spans="6:8" x14ac:dyDescent="0.25">
      <c r="F631" s="4"/>
      <c r="G631" s="3"/>
      <c r="H631" s="5"/>
    </row>
    <row r="632" spans="6:8" x14ac:dyDescent="0.25">
      <c r="F632" s="4"/>
      <c r="G632" s="3"/>
      <c r="H632" s="5"/>
    </row>
    <row r="633" spans="6:8" x14ac:dyDescent="0.25">
      <c r="F633" s="4"/>
      <c r="G633" s="3"/>
      <c r="H633" s="5"/>
    </row>
    <row r="634" spans="6:8" x14ac:dyDescent="0.25">
      <c r="F634" s="4"/>
      <c r="G634" s="3"/>
      <c r="H634" s="5"/>
    </row>
    <row r="635" spans="6:8" x14ac:dyDescent="0.25">
      <c r="F635" s="4"/>
      <c r="G635" s="3"/>
      <c r="H635" s="5"/>
    </row>
    <row r="636" spans="6:8" x14ac:dyDescent="0.25">
      <c r="F636" s="4"/>
      <c r="G636" s="3"/>
      <c r="H636" s="5"/>
    </row>
    <row r="637" spans="6:8" x14ac:dyDescent="0.25">
      <c r="F637" s="4"/>
      <c r="G637" s="3"/>
      <c r="H637" s="5"/>
    </row>
    <row r="638" spans="6:8" x14ac:dyDescent="0.25">
      <c r="F638" s="4"/>
      <c r="G638" s="3"/>
      <c r="H638" s="5"/>
    </row>
    <row r="639" spans="6:8" x14ac:dyDescent="0.25">
      <c r="F639" s="4"/>
      <c r="G639" s="3"/>
      <c r="H639" s="5"/>
    </row>
    <row r="640" spans="6:8" x14ac:dyDescent="0.25">
      <c r="F640" s="4"/>
      <c r="G640" s="3"/>
      <c r="H640" s="5"/>
    </row>
    <row r="641" spans="6:8" x14ac:dyDescent="0.25">
      <c r="F641" s="4"/>
      <c r="G641" s="3"/>
      <c r="H641" s="5"/>
    </row>
    <row r="642" spans="6:8" x14ac:dyDescent="0.25">
      <c r="F642" s="4"/>
      <c r="G642" s="3"/>
      <c r="H642" s="5"/>
    </row>
    <row r="643" spans="6:8" x14ac:dyDescent="0.25">
      <c r="F643" s="4"/>
      <c r="G643" s="3"/>
      <c r="H643" s="5"/>
    </row>
    <row r="644" spans="6:8" x14ac:dyDescent="0.25">
      <c r="F644" s="4"/>
      <c r="G644" s="3"/>
      <c r="H644" s="5"/>
    </row>
    <row r="645" spans="6:8" x14ac:dyDescent="0.25">
      <c r="F645" s="4"/>
      <c r="G645" s="3"/>
      <c r="H645" s="5"/>
    </row>
    <row r="646" spans="6:8" x14ac:dyDescent="0.25">
      <c r="F646" s="4"/>
      <c r="G646" s="3"/>
      <c r="H646" s="5"/>
    </row>
    <row r="647" spans="6:8" x14ac:dyDescent="0.25">
      <c r="F647" s="4"/>
      <c r="G647" s="3"/>
      <c r="H647" s="5"/>
    </row>
    <row r="648" spans="6:8" x14ac:dyDescent="0.25">
      <c r="F648" s="4"/>
      <c r="G648" s="3"/>
      <c r="H648" s="5"/>
    </row>
    <row r="649" spans="6:8" x14ac:dyDescent="0.25">
      <c r="F649" s="4"/>
      <c r="G649" s="3"/>
      <c r="H649" s="5"/>
    </row>
    <row r="650" spans="6:8" x14ac:dyDescent="0.25">
      <c r="F650" s="4"/>
      <c r="G650" s="3"/>
      <c r="H650" s="5"/>
    </row>
    <row r="651" spans="6:8" x14ac:dyDescent="0.25">
      <c r="F651" s="4"/>
      <c r="G651" s="3"/>
      <c r="H651" s="5"/>
    </row>
    <row r="652" spans="6:8" x14ac:dyDescent="0.25">
      <c r="F652" s="4"/>
      <c r="G652" s="3"/>
      <c r="H652" s="5"/>
    </row>
    <row r="653" spans="6:8" x14ac:dyDescent="0.25">
      <c r="F653" s="4"/>
      <c r="G653" s="3"/>
      <c r="H653" s="5"/>
    </row>
    <row r="654" spans="6:8" x14ac:dyDescent="0.25">
      <c r="F654" s="4"/>
      <c r="G654" s="3"/>
      <c r="H654" s="5"/>
    </row>
    <row r="655" spans="6:8" x14ac:dyDescent="0.25">
      <c r="F655" s="4"/>
      <c r="G655" s="3"/>
      <c r="H655" s="5"/>
    </row>
    <row r="656" spans="6:8" x14ac:dyDescent="0.25">
      <c r="F656" s="4"/>
      <c r="G656" s="3"/>
      <c r="H656" s="5"/>
    </row>
    <row r="657" spans="6:8" x14ac:dyDescent="0.25">
      <c r="F657" s="4"/>
      <c r="G657" s="3"/>
      <c r="H657" s="5"/>
    </row>
    <row r="658" spans="6:8" x14ac:dyDescent="0.25">
      <c r="F658" s="4"/>
      <c r="G658" s="3"/>
      <c r="H658" s="5"/>
    </row>
    <row r="659" spans="6:8" x14ac:dyDescent="0.25">
      <c r="F659" s="4"/>
      <c r="G659" s="3"/>
      <c r="H659" s="5"/>
    </row>
    <row r="660" spans="6:8" x14ac:dyDescent="0.25">
      <c r="F660" s="4"/>
      <c r="G660" s="3"/>
      <c r="H660" s="5"/>
    </row>
    <row r="661" spans="6:8" x14ac:dyDescent="0.25">
      <c r="F661" s="4"/>
      <c r="G661" s="3"/>
      <c r="H661" s="5"/>
    </row>
    <row r="662" spans="6:8" x14ac:dyDescent="0.25">
      <c r="F662" s="4"/>
      <c r="G662" s="3"/>
      <c r="H662" s="5"/>
    </row>
    <row r="663" spans="6:8" x14ac:dyDescent="0.25">
      <c r="F663" s="4"/>
      <c r="G663" s="3"/>
      <c r="H663" s="5"/>
    </row>
    <row r="664" spans="6:8" x14ac:dyDescent="0.25">
      <c r="F664" s="4"/>
      <c r="G664" s="3"/>
      <c r="H664" s="5"/>
    </row>
    <row r="665" spans="6:8" x14ac:dyDescent="0.25">
      <c r="F665" s="4"/>
      <c r="G665" s="3"/>
      <c r="H665" s="5"/>
    </row>
    <row r="666" spans="6:8" x14ac:dyDescent="0.25">
      <c r="F666" s="4"/>
      <c r="G666" s="3"/>
      <c r="H666" s="5"/>
    </row>
    <row r="667" spans="6:8" x14ac:dyDescent="0.25">
      <c r="F667" s="4"/>
      <c r="G667" s="3"/>
      <c r="H667" s="5"/>
    </row>
    <row r="668" spans="6:8" x14ac:dyDescent="0.25">
      <c r="F668" s="4"/>
      <c r="G668" s="3"/>
      <c r="H668" s="5"/>
    </row>
    <row r="669" spans="6:8" x14ac:dyDescent="0.25">
      <c r="F669" s="4"/>
      <c r="G669" s="3"/>
      <c r="H669" s="5"/>
    </row>
    <row r="670" spans="6:8" x14ac:dyDescent="0.25">
      <c r="F670" s="4"/>
      <c r="G670" s="3"/>
      <c r="H670" s="5"/>
    </row>
    <row r="671" spans="6:8" x14ac:dyDescent="0.25">
      <c r="F671" s="4"/>
      <c r="G671" s="3"/>
      <c r="H671" s="5"/>
    </row>
    <row r="672" spans="6:8" x14ac:dyDescent="0.25">
      <c r="F672" s="4"/>
      <c r="G672" s="3"/>
      <c r="H672" s="5"/>
    </row>
    <row r="673" spans="6:8" x14ac:dyDescent="0.25">
      <c r="F673" s="4"/>
      <c r="G673" s="3"/>
      <c r="H673" s="5"/>
    </row>
    <row r="674" spans="6:8" x14ac:dyDescent="0.25">
      <c r="F674" s="4"/>
      <c r="G674" s="3"/>
      <c r="H674" s="5"/>
    </row>
    <row r="675" spans="6:8" x14ac:dyDescent="0.25">
      <c r="F675" s="4"/>
      <c r="G675" s="3"/>
      <c r="H675" s="5"/>
    </row>
    <row r="676" spans="6:8" x14ac:dyDescent="0.25">
      <c r="F676" s="4"/>
      <c r="G676" s="3"/>
      <c r="H676" s="5"/>
    </row>
    <row r="677" spans="6:8" x14ac:dyDescent="0.25">
      <c r="F677" s="4"/>
      <c r="G677" s="3"/>
      <c r="H677" s="5"/>
    </row>
    <row r="678" spans="6:8" x14ac:dyDescent="0.25">
      <c r="F678" s="4"/>
      <c r="G678" s="3"/>
      <c r="H678" s="5"/>
    </row>
    <row r="679" spans="6:8" x14ac:dyDescent="0.25">
      <c r="F679" s="4"/>
      <c r="G679" s="3"/>
      <c r="H679" s="5"/>
    </row>
    <row r="680" spans="6:8" x14ac:dyDescent="0.25">
      <c r="F680" s="4"/>
      <c r="G680" s="3"/>
      <c r="H680" s="5"/>
    </row>
    <row r="681" spans="6:8" x14ac:dyDescent="0.25">
      <c r="F681" s="4"/>
      <c r="G681" s="3"/>
      <c r="H681" s="5"/>
    </row>
    <row r="682" spans="6:8" x14ac:dyDescent="0.25">
      <c r="F682" s="4"/>
      <c r="G682" s="3"/>
      <c r="H682" s="5"/>
    </row>
    <row r="683" spans="6:8" x14ac:dyDescent="0.25">
      <c r="F683" s="4"/>
      <c r="G683" s="3"/>
      <c r="H683" s="5"/>
    </row>
    <row r="684" spans="6:8" x14ac:dyDescent="0.25">
      <c r="F684" s="4"/>
      <c r="G684" s="3"/>
      <c r="H684" s="5"/>
    </row>
    <row r="685" spans="6:8" x14ac:dyDescent="0.25">
      <c r="F685" s="4"/>
      <c r="G685" s="3"/>
      <c r="H685" s="5"/>
    </row>
    <row r="686" spans="6:8" x14ac:dyDescent="0.25">
      <c r="F686" s="4"/>
      <c r="G686" s="3"/>
      <c r="H686" s="5"/>
    </row>
    <row r="687" spans="6:8" x14ac:dyDescent="0.25">
      <c r="F687" s="4"/>
      <c r="G687" s="3"/>
      <c r="H687" s="5"/>
    </row>
    <row r="688" spans="6:8" x14ac:dyDescent="0.25">
      <c r="F688" s="4"/>
      <c r="G688" s="3"/>
      <c r="H688" s="5"/>
    </row>
    <row r="689" spans="6:8" x14ac:dyDescent="0.25">
      <c r="F689" s="4"/>
      <c r="G689" s="3"/>
      <c r="H689" s="5"/>
    </row>
    <row r="690" spans="6:8" x14ac:dyDescent="0.25">
      <c r="F690" s="4"/>
      <c r="G690" s="3"/>
      <c r="H690" s="5"/>
    </row>
    <row r="691" spans="6:8" x14ac:dyDescent="0.25">
      <c r="F691" s="4"/>
      <c r="G691" s="3"/>
      <c r="H691" s="5"/>
    </row>
    <row r="692" spans="6:8" x14ac:dyDescent="0.25">
      <c r="F692" s="4"/>
      <c r="G692" s="3"/>
      <c r="H692" s="5"/>
    </row>
    <row r="693" spans="6:8" x14ac:dyDescent="0.25">
      <c r="F693" s="4"/>
      <c r="G693" s="3"/>
      <c r="H693" s="5"/>
    </row>
    <row r="694" spans="6:8" x14ac:dyDescent="0.25">
      <c r="F694" s="4"/>
      <c r="G694" s="3"/>
      <c r="H694" s="5"/>
    </row>
    <row r="695" spans="6:8" x14ac:dyDescent="0.25">
      <c r="F695" s="4"/>
      <c r="G695" s="3"/>
      <c r="H695" s="5"/>
    </row>
    <row r="696" spans="6:8" x14ac:dyDescent="0.25">
      <c r="F696" s="4"/>
      <c r="G696" s="3"/>
      <c r="H696" s="5"/>
    </row>
    <row r="697" spans="6:8" x14ac:dyDescent="0.25">
      <c r="F697" s="4"/>
      <c r="G697" s="3"/>
      <c r="H697" s="5"/>
    </row>
    <row r="698" spans="6:8" x14ac:dyDescent="0.25">
      <c r="F698" s="4"/>
      <c r="G698" s="3"/>
      <c r="H698" s="5"/>
    </row>
    <row r="699" spans="6:8" x14ac:dyDescent="0.25">
      <c r="F699" s="4"/>
      <c r="G699" s="3"/>
      <c r="H699" s="5"/>
    </row>
    <row r="700" spans="6:8" x14ac:dyDescent="0.25">
      <c r="F700" s="4"/>
      <c r="G700" s="3"/>
      <c r="H700" s="5"/>
    </row>
    <row r="701" spans="6:8" x14ac:dyDescent="0.25">
      <c r="F701" s="4"/>
      <c r="G701" s="3"/>
      <c r="H701" s="5"/>
    </row>
    <row r="702" spans="6:8" x14ac:dyDescent="0.25">
      <c r="F702" s="4"/>
      <c r="G702" s="3"/>
      <c r="H702" s="5"/>
    </row>
    <row r="703" spans="6:8" x14ac:dyDescent="0.25">
      <c r="F703" s="4"/>
      <c r="G703" s="3"/>
      <c r="H703" s="5"/>
    </row>
    <row r="704" spans="6:8" x14ac:dyDescent="0.25">
      <c r="F704" s="4"/>
      <c r="G704" s="3"/>
      <c r="H704" s="5"/>
    </row>
    <row r="705" spans="6:8" x14ac:dyDescent="0.25">
      <c r="F705" s="4"/>
      <c r="G705" s="3"/>
      <c r="H705" s="5"/>
    </row>
    <row r="706" spans="6:8" x14ac:dyDescent="0.25">
      <c r="F706" s="4"/>
      <c r="G706" s="3"/>
      <c r="H706" s="5"/>
    </row>
    <row r="707" spans="6:8" x14ac:dyDescent="0.25">
      <c r="F707" s="4"/>
      <c r="G707" s="3"/>
      <c r="H707" s="5"/>
    </row>
    <row r="708" spans="6:8" x14ac:dyDescent="0.25">
      <c r="F708" s="4"/>
      <c r="G708" s="3"/>
      <c r="H708" s="5"/>
    </row>
    <row r="709" spans="6:8" x14ac:dyDescent="0.25">
      <c r="F709" s="4"/>
      <c r="G709" s="3"/>
      <c r="H709" s="5"/>
    </row>
    <row r="710" spans="6:8" x14ac:dyDescent="0.25">
      <c r="F710" s="4"/>
      <c r="G710" s="3"/>
      <c r="H710" s="5"/>
    </row>
    <row r="711" spans="6:8" x14ac:dyDescent="0.25">
      <c r="F711" s="4"/>
      <c r="G711" s="3"/>
      <c r="H711" s="5"/>
    </row>
    <row r="712" spans="6:8" x14ac:dyDescent="0.25">
      <c r="F712" s="4"/>
      <c r="G712" s="3"/>
      <c r="H712" s="5"/>
    </row>
    <row r="713" spans="6:8" x14ac:dyDescent="0.25">
      <c r="F713" s="4"/>
      <c r="G713" s="3"/>
      <c r="H713" s="5"/>
    </row>
    <row r="714" spans="6:8" x14ac:dyDescent="0.25">
      <c r="F714" s="4"/>
      <c r="G714" s="3"/>
      <c r="H714" s="5"/>
    </row>
    <row r="715" spans="6:8" x14ac:dyDescent="0.25">
      <c r="F715" s="4"/>
      <c r="G715" s="3"/>
      <c r="H715" s="5"/>
    </row>
    <row r="716" spans="6:8" x14ac:dyDescent="0.25">
      <c r="F716" s="4"/>
      <c r="G716" s="3"/>
      <c r="H716" s="5"/>
    </row>
    <row r="717" spans="6:8" x14ac:dyDescent="0.25">
      <c r="F717" s="4"/>
      <c r="G717" s="3"/>
      <c r="H717" s="5"/>
    </row>
    <row r="718" spans="6:8" x14ac:dyDescent="0.25">
      <c r="F718" s="4"/>
      <c r="G718" s="3"/>
      <c r="H718" s="5"/>
    </row>
    <row r="719" spans="6:8" x14ac:dyDescent="0.25">
      <c r="F719" s="4"/>
      <c r="G719" s="3"/>
      <c r="H719" s="5"/>
    </row>
    <row r="720" spans="6:8" x14ac:dyDescent="0.25">
      <c r="F720" s="4"/>
      <c r="G720" s="3"/>
      <c r="H720" s="5"/>
    </row>
    <row r="721" spans="6:8" x14ac:dyDescent="0.25">
      <c r="F721" s="4"/>
      <c r="G721" s="3"/>
      <c r="H721" s="5"/>
    </row>
    <row r="722" spans="6:8" x14ac:dyDescent="0.25">
      <c r="F722" s="4"/>
      <c r="G722" s="3"/>
      <c r="H722" s="5"/>
    </row>
    <row r="723" spans="6:8" x14ac:dyDescent="0.25">
      <c r="F723" s="4"/>
      <c r="G723" s="3"/>
      <c r="H723" s="5"/>
    </row>
    <row r="724" spans="6:8" x14ac:dyDescent="0.25">
      <c r="F724" s="4"/>
      <c r="G724" s="3"/>
      <c r="H724" s="5"/>
    </row>
    <row r="725" spans="6:8" x14ac:dyDescent="0.25">
      <c r="F725" s="4"/>
      <c r="G725" s="3"/>
      <c r="H725" s="5"/>
    </row>
    <row r="726" spans="6:8" x14ac:dyDescent="0.25">
      <c r="F726" s="4"/>
      <c r="G726" s="3"/>
      <c r="H726" s="5"/>
    </row>
    <row r="727" spans="6:8" x14ac:dyDescent="0.25">
      <c r="F727" s="4"/>
      <c r="G727" s="3"/>
      <c r="H727" s="5"/>
    </row>
    <row r="728" spans="6:8" x14ac:dyDescent="0.25">
      <c r="F728" s="4"/>
      <c r="G728" s="3"/>
      <c r="H728" s="5"/>
    </row>
    <row r="729" spans="6:8" x14ac:dyDescent="0.25">
      <c r="F729" s="4"/>
      <c r="G729" s="3"/>
      <c r="H729" s="5"/>
    </row>
    <row r="730" spans="6:8" x14ac:dyDescent="0.25">
      <c r="F730" s="4"/>
      <c r="G730" s="3"/>
      <c r="H730" s="5"/>
    </row>
    <row r="731" spans="6:8" x14ac:dyDescent="0.25">
      <c r="F731" s="4"/>
      <c r="G731" s="3"/>
      <c r="H731" s="5"/>
    </row>
    <row r="732" spans="6:8" x14ac:dyDescent="0.25">
      <c r="F732" s="4"/>
      <c r="G732" s="3"/>
      <c r="H732" s="5"/>
    </row>
    <row r="733" spans="6:8" x14ac:dyDescent="0.25">
      <c r="F733" s="4"/>
      <c r="G733" s="3"/>
      <c r="H733" s="5"/>
    </row>
    <row r="734" spans="6:8" x14ac:dyDescent="0.25">
      <c r="F734" s="4"/>
      <c r="G734" s="3"/>
      <c r="H734" s="5"/>
    </row>
    <row r="735" spans="6:8" x14ac:dyDescent="0.25">
      <c r="F735" s="4"/>
      <c r="G735" s="3"/>
      <c r="H735" s="5"/>
    </row>
    <row r="736" spans="6:8" x14ac:dyDescent="0.25">
      <c r="F736" s="4"/>
      <c r="G736" s="3"/>
      <c r="H736" s="5"/>
    </row>
    <row r="737" spans="6:8" x14ac:dyDescent="0.25">
      <c r="F737" s="4"/>
      <c r="G737" s="3"/>
      <c r="H737" s="5"/>
    </row>
    <row r="738" spans="6:8" x14ac:dyDescent="0.25">
      <c r="F738" s="4"/>
      <c r="G738" s="3"/>
      <c r="H738" s="5"/>
    </row>
    <row r="739" spans="6:8" x14ac:dyDescent="0.25">
      <c r="F739" s="4"/>
      <c r="G739" s="3"/>
      <c r="H739" s="5"/>
    </row>
    <row r="740" spans="6:8" x14ac:dyDescent="0.25">
      <c r="F740" s="4"/>
      <c r="G740" s="3"/>
      <c r="H740" s="5"/>
    </row>
    <row r="741" spans="6:8" x14ac:dyDescent="0.25">
      <c r="F741" s="4"/>
      <c r="G741" s="3"/>
      <c r="H741" s="5"/>
    </row>
    <row r="742" spans="6:8" x14ac:dyDescent="0.25">
      <c r="F742" s="4"/>
      <c r="G742" s="3"/>
      <c r="H742" s="5"/>
    </row>
    <row r="743" spans="6:8" x14ac:dyDescent="0.25">
      <c r="F743" s="4"/>
      <c r="G743" s="3"/>
      <c r="H743" s="5"/>
    </row>
    <row r="744" spans="6:8" x14ac:dyDescent="0.25">
      <c r="F744" s="4"/>
      <c r="G744" s="3"/>
      <c r="H744" s="5"/>
    </row>
    <row r="745" spans="6:8" x14ac:dyDescent="0.25">
      <c r="F745" s="4"/>
      <c r="G745" s="3"/>
      <c r="H745" s="5"/>
    </row>
    <row r="746" spans="6:8" x14ac:dyDescent="0.25">
      <c r="F746" s="4"/>
      <c r="G746" s="3"/>
      <c r="H746" s="5"/>
    </row>
    <row r="747" spans="6:8" x14ac:dyDescent="0.25">
      <c r="F747" s="4"/>
      <c r="G747" s="3"/>
      <c r="H747" s="5"/>
    </row>
    <row r="748" spans="6:8" x14ac:dyDescent="0.25">
      <c r="F748" s="4"/>
      <c r="G748" s="3"/>
      <c r="H748" s="5"/>
    </row>
    <row r="749" spans="6:8" x14ac:dyDescent="0.25">
      <c r="F749" s="4"/>
      <c r="G749" s="3"/>
      <c r="H749" s="5"/>
    </row>
    <row r="750" spans="6:8" x14ac:dyDescent="0.25">
      <c r="F750" s="4"/>
      <c r="G750" s="3"/>
      <c r="H750" s="5"/>
    </row>
    <row r="751" spans="6:8" x14ac:dyDescent="0.25">
      <c r="F751" s="4"/>
      <c r="G751" s="3"/>
      <c r="H751" s="5"/>
    </row>
    <row r="752" spans="6:8" x14ac:dyDescent="0.25">
      <c r="F752" s="4"/>
      <c r="G752" s="3"/>
      <c r="H752" s="5"/>
    </row>
    <row r="753" spans="6:8" x14ac:dyDescent="0.25">
      <c r="F753" s="4"/>
      <c r="G753" s="3"/>
      <c r="H753" s="5"/>
    </row>
    <row r="754" spans="6:8" x14ac:dyDescent="0.25">
      <c r="F754" s="4"/>
      <c r="G754" s="3"/>
      <c r="H754" s="5"/>
    </row>
    <row r="755" spans="6:8" x14ac:dyDescent="0.25">
      <c r="F755" s="4"/>
      <c r="G755" s="3"/>
      <c r="H755" s="5"/>
    </row>
    <row r="756" spans="6:8" x14ac:dyDescent="0.25">
      <c r="F756" s="4"/>
      <c r="G756" s="3"/>
      <c r="H756" s="5"/>
    </row>
    <row r="757" spans="6:8" x14ac:dyDescent="0.25">
      <c r="F757" s="4"/>
      <c r="G757" s="3"/>
      <c r="H757" s="5"/>
    </row>
    <row r="758" spans="6:8" x14ac:dyDescent="0.25">
      <c r="F758" s="4"/>
      <c r="G758" s="3"/>
      <c r="H758" s="5"/>
    </row>
    <row r="759" spans="6:8" x14ac:dyDescent="0.25">
      <c r="F759" s="4"/>
      <c r="G759" s="3"/>
      <c r="H759" s="5"/>
    </row>
    <row r="760" spans="6:8" x14ac:dyDescent="0.25">
      <c r="F760" s="4"/>
      <c r="G760" s="3"/>
      <c r="H760" s="5"/>
    </row>
    <row r="761" spans="6:8" x14ac:dyDescent="0.25">
      <c r="F761" s="4"/>
      <c r="G761" s="3"/>
      <c r="H761" s="5"/>
    </row>
    <row r="762" spans="6:8" x14ac:dyDescent="0.25">
      <c r="F762" s="4"/>
      <c r="G762" s="3"/>
      <c r="H762" s="5"/>
    </row>
    <row r="763" spans="6:8" x14ac:dyDescent="0.25">
      <c r="F763" s="4"/>
      <c r="G763" s="3"/>
      <c r="H763" s="5"/>
    </row>
    <row r="764" spans="6:8" x14ac:dyDescent="0.25">
      <c r="F764" s="4"/>
      <c r="G764" s="3"/>
      <c r="H764" s="5"/>
    </row>
    <row r="765" spans="6:8" x14ac:dyDescent="0.25">
      <c r="F765" s="4"/>
      <c r="G765" s="3"/>
      <c r="H765" s="5"/>
    </row>
    <row r="766" spans="6:8" x14ac:dyDescent="0.25">
      <c r="F766" s="4"/>
      <c r="G766" s="3"/>
      <c r="H766" s="5"/>
    </row>
    <row r="767" spans="6:8" x14ac:dyDescent="0.25">
      <c r="F767" s="4"/>
      <c r="G767" s="3"/>
      <c r="H767" s="5"/>
    </row>
    <row r="768" spans="6:8" x14ac:dyDescent="0.25">
      <c r="F768" s="4"/>
      <c r="G768" s="3"/>
      <c r="H768" s="5"/>
    </row>
    <row r="769" spans="6:8" x14ac:dyDescent="0.25">
      <c r="F769" s="4"/>
      <c r="G769" s="3"/>
      <c r="H769" s="5"/>
    </row>
    <row r="770" spans="6:8" x14ac:dyDescent="0.25">
      <c r="F770" s="4"/>
      <c r="G770" s="3"/>
      <c r="H770" s="5"/>
    </row>
    <row r="771" spans="6:8" x14ac:dyDescent="0.25">
      <c r="F771" s="4"/>
      <c r="G771" s="3"/>
      <c r="H771" s="5"/>
    </row>
    <row r="772" spans="6:8" x14ac:dyDescent="0.25">
      <c r="F772" s="4"/>
      <c r="G772" s="3"/>
      <c r="H772" s="5"/>
    </row>
    <row r="773" spans="6:8" x14ac:dyDescent="0.25">
      <c r="F773" s="4"/>
      <c r="G773" s="3"/>
      <c r="H773" s="5"/>
    </row>
    <row r="774" spans="6:8" x14ac:dyDescent="0.25">
      <c r="F774" s="4"/>
      <c r="G774" s="3"/>
      <c r="H774" s="5"/>
    </row>
    <row r="775" spans="6:8" x14ac:dyDescent="0.25">
      <c r="F775" s="4"/>
      <c r="G775" s="3"/>
      <c r="H775" s="5"/>
    </row>
    <row r="776" spans="6:8" x14ac:dyDescent="0.25">
      <c r="F776" s="4"/>
      <c r="G776" s="3"/>
      <c r="H776" s="5"/>
    </row>
    <row r="777" spans="6:8" x14ac:dyDescent="0.25">
      <c r="F777" s="4"/>
      <c r="G777" s="3"/>
      <c r="H777" s="5"/>
    </row>
    <row r="778" spans="6:8" x14ac:dyDescent="0.25">
      <c r="F778" s="4"/>
      <c r="G778" s="3"/>
      <c r="H778" s="5"/>
    </row>
    <row r="779" spans="6:8" x14ac:dyDescent="0.25">
      <c r="F779" s="4"/>
      <c r="G779" s="3"/>
      <c r="H779" s="5"/>
    </row>
    <row r="780" spans="6:8" x14ac:dyDescent="0.25">
      <c r="F780" s="4"/>
      <c r="G780" s="3"/>
      <c r="H780" s="5"/>
    </row>
    <row r="781" spans="6:8" x14ac:dyDescent="0.25">
      <c r="F781" s="4"/>
      <c r="G781" s="3"/>
      <c r="H781" s="5"/>
    </row>
    <row r="782" spans="6:8" x14ac:dyDescent="0.25">
      <c r="F782" s="4"/>
      <c r="G782" s="3"/>
      <c r="H782" s="5"/>
    </row>
    <row r="783" spans="6:8" x14ac:dyDescent="0.25">
      <c r="F783" s="4"/>
      <c r="G783" s="3"/>
      <c r="H783" s="5"/>
    </row>
    <row r="784" spans="6:8" x14ac:dyDescent="0.25">
      <c r="F784" s="4"/>
      <c r="G784" s="3"/>
      <c r="H784" s="5"/>
    </row>
    <row r="785" spans="6:8" x14ac:dyDescent="0.25">
      <c r="F785" s="4"/>
      <c r="G785" s="3"/>
      <c r="H785" s="5"/>
    </row>
    <row r="786" spans="6:8" x14ac:dyDescent="0.25">
      <c r="F786" s="4"/>
      <c r="G786" s="3"/>
      <c r="H786" s="5"/>
    </row>
    <row r="787" spans="6:8" x14ac:dyDescent="0.25">
      <c r="F787" s="4"/>
      <c r="G787" s="3"/>
      <c r="H787" s="5"/>
    </row>
    <row r="788" spans="6:8" x14ac:dyDescent="0.25">
      <c r="F788" s="4"/>
      <c r="G788" s="3"/>
      <c r="H788" s="5"/>
    </row>
    <row r="789" spans="6:8" x14ac:dyDescent="0.25">
      <c r="F789" s="4"/>
      <c r="G789" s="3"/>
      <c r="H789" s="5"/>
    </row>
    <row r="790" spans="6:8" x14ac:dyDescent="0.25">
      <c r="F790" s="4"/>
      <c r="G790" s="3"/>
      <c r="H790" s="5"/>
    </row>
    <row r="791" spans="6:8" x14ac:dyDescent="0.25">
      <c r="F791" s="4"/>
      <c r="G791" s="3"/>
      <c r="H791" s="5"/>
    </row>
    <row r="792" spans="6:8" x14ac:dyDescent="0.25">
      <c r="F792" s="4"/>
      <c r="G792" s="3"/>
      <c r="H792" s="5"/>
    </row>
    <row r="793" spans="6:8" x14ac:dyDescent="0.25">
      <c r="F793" s="4"/>
      <c r="G793" s="3"/>
      <c r="H793" s="5"/>
    </row>
    <row r="794" spans="6:8" x14ac:dyDescent="0.25">
      <c r="F794" s="4"/>
      <c r="G794" s="3"/>
      <c r="H794" s="5"/>
    </row>
    <row r="795" spans="6:8" x14ac:dyDescent="0.25">
      <c r="F795" s="4"/>
      <c r="G795" s="3"/>
      <c r="H795" s="5"/>
    </row>
    <row r="796" spans="6:8" x14ac:dyDescent="0.25">
      <c r="F796" s="4"/>
      <c r="G796" s="3"/>
      <c r="H796" s="5"/>
    </row>
    <row r="797" spans="6:8" x14ac:dyDescent="0.25">
      <c r="F797" s="4"/>
      <c r="G797" s="3"/>
      <c r="H797" s="5"/>
    </row>
    <row r="798" spans="6:8" x14ac:dyDescent="0.25">
      <c r="F798" s="4"/>
      <c r="G798" s="3"/>
      <c r="H798" s="5"/>
    </row>
    <row r="799" spans="6:8" x14ac:dyDescent="0.25">
      <c r="F799" s="4"/>
      <c r="G799" s="3"/>
      <c r="H799" s="5"/>
    </row>
    <row r="800" spans="6:8" x14ac:dyDescent="0.25">
      <c r="F800" s="4"/>
      <c r="G800" s="3"/>
      <c r="H800" s="5"/>
    </row>
    <row r="801" spans="6:8" x14ac:dyDescent="0.25">
      <c r="F801" s="4"/>
      <c r="G801" s="3"/>
      <c r="H801" s="5"/>
    </row>
    <row r="802" spans="6:8" x14ac:dyDescent="0.25">
      <c r="F802" s="4"/>
      <c r="G802" s="3"/>
      <c r="H802" s="5"/>
    </row>
    <row r="803" spans="6:8" x14ac:dyDescent="0.25">
      <c r="F803" s="4"/>
      <c r="G803" s="3"/>
      <c r="H803" s="5"/>
    </row>
    <row r="804" spans="6:8" x14ac:dyDescent="0.25">
      <c r="F804" s="4"/>
      <c r="G804" s="3"/>
      <c r="H804" s="5"/>
    </row>
    <row r="805" spans="6:8" x14ac:dyDescent="0.25">
      <c r="F805" s="4"/>
      <c r="G805" s="3"/>
      <c r="H805" s="5"/>
    </row>
    <row r="806" spans="6:8" x14ac:dyDescent="0.25">
      <c r="F806" s="4"/>
      <c r="G806" s="3"/>
      <c r="H806" s="5"/>
    </row>
    <row r="807" spans="6:8" x14ac:dyDescent="0.25">
      <c r="F807" s="4"/>
      <c r="G807" s="3"/>
      <c r="H807" s="5"/>
    </row>
    <row r="808" spans="6:8" x14ac:dyDescent="0.25">
      <c r="F808" s="4"/>
      <c r="G808" s="3"/>
      <c r="H808" s="5"/>
    </row>
    <row r="809" spans="6:8" x14ac:dyDescent="0.25">
      <c r="F809" s="4"/>
      <c r="G809" s="3"/>
      <c r="H809" s="5"/>
    </row>
    <row r="810" spans="6:8" x14ac:dyDescent="0.25">
      <c r="F810" s="4"/>
      <c r="G810" s="3"/>
      <c r="H810" s="5"/>
    </row>
    <row r="811" spans="6:8" x14ac:dyDescent="0.25">
      <c r="F811" s="4"/>
      <c r="G811" s="3"/>
      <c r="H811" s="5"/>
    </row>
    <row r="812" spans="6:8" x14ac:dyDescent="0.25">
      <c r="F812" s="4"/>
      <c r="G812" s="3"/>
      <c r="H812" s="5"/>
    </row>
    <row r="813" spans="6:8" x14ac:dyDescent="0.25">
      <c r="F813" s="4"/>
      <c r="G813" s="3"/>
      <c r="H813" s="5"/>
    </row>
    <row r="814" spans="6:8" x14ac:dyDescent="0.25">
      <c r="F814" s="4"/>
      <c r="G814" s="3"/>
      <c r="H814" s="5"/>
    </row>
    <row r="815" spans="6:8" x14ac:dyDescent="0.25">
      <c r="F815" s="4"/>
      <c r="G815" s="3"/>
      <c r="H815" s="5"/>
    </row>
    <row r="816" spans="6:8" x14ac:dyDescent="0.25">
      <c r="F816" s="4"/>
      <c r="G816" s="3"/>
      <c r="H816" s="5"/>
    </row>
    <row r="817" spans="6:8" x14ac:dyDescent="0.25">
      <c r="F817" s="4"/>
      <c r="G817" s="3"/>
      <c r="H817" s="5"/>
    </row>
    <row r="818" spans="6:8" x14ac:dyDescent="0.25">
      <c r="F818" s="4"/>
      <c r="G818" s="3"/>
      <c r="H818" s="5"/>
    </row>
    <row r="819" spans="6:8" x14ac:dyDescent="0.25">
      <c r="F819" s="4"/>
      <c r="G819" s="3"/>
      <c r="H819" s="5"/>
    </row>
    <row r="820" spans="6:8" x14ac:dyDescent="0.25">
      <c r="F820" s="4"/>
      <c r="G820" s="3"/>
      <c r="H820" s="5"/>
    </row>
    <row r="821" spans="6:8" x14ac:dyDescent="0.25">
      <c r="F821" s="4"/>
      <c r="G821" s="3"/>
      <c r="H821" s="5"/>
    </row>
    <row r="822" spans="6:8" x14ac:dyDescent="0.25">
      <c r="F822" s="4"/>
      <c r="G822" s="3"/>
      <c r="H822" s="5"/>
    </row>
    <row r="823" spans="6:8" x14ac:dyDescent="0.25">
      <c r="F823" s="4"/>
      <c r="G823" s="3"/>
      <c r="H823" s="5"/>
    </row>
    <row r="824" spans="6:8" x14ac:dyDescent="0.25">
      <c r="F824" s="4"/>
      <c r="G824" s="3"/>
      <c r="H824" s="5"/>
    </row>
    <row r="825" spans="6:8" x14ac:dyDescent="0.25">
      <c r="F825" s="4"/>
      <c r="G825" s="3"/>
      <c r="H825" s="5"/>
    </row>
    <row r="826" spans="6:8" x14ac:dyDescent="0.25">
      <c r="F826" s="4"/>
      <c r="G826" s="3"/>
      <c r="H826" s="5"/>
    </row>
    <row r="827" spans="6:8" x14ac:dyDescent="0.25">
      <c r="F827" s="4"/>
      <c r="G827" s="3"/>
      <c r="H827" s="5"/>
    </row>
    <row r="828" spans="6:8" x14ac:dyDescent="0.25">
      <c r="F828" s="4"/>
      <c r="G828" s="3"/>
      <c r="H828" s="5"/>
    </row>
    <row r="829" spans="6:8" x14ac:dyDescent="0.25">
      <c r="F829" s="4"/>
      <c r="G829" s="3"/>
      <c r="H829" s="5"/>
    </row>
    <row r="830" spans="6:8" x14ac:dyDescent="0.25">
      <c r="F830" s="4"/>
      <c r="G830" s="3"/>
      <c r="H830" s="5"/>
    </row>
    <row r="831" spans="6:8" x14ac:dyDescent="0.25">
      <c r="F831" s="4"/>
      <c r="G831" s="3"/>
      <c r="H831" s="5"/>
    </row>
    <row r="832" spans="6:8" x14ac:dyDescent="0.25">
      <c r="F832" s="4"/>
      <c r="G832" s="3"/>
      <c r="H832" s="5"/>
    </row>
    <row r="833" spans="6:8" x14ac:dyDescent="0.25">
      <c r="F833" s="4"/>
      <c r="G833" s="3"/>
      <c r="H833" s="5"/>
    </row>
    <row r="834" spans="6:8" x14ac:dyDescent="0.25">
      <c r="F834" s="4"/>
      <c r="G834" s="3"/>
      <c r="H834" s="5"/>
    </row>
    <row r="835" spans="6:8" x14ac:dyDescent="0.25">
      <c r="F835" s="4"/>
      <c r="G835" s="3"/>
      <c r="H835" s="5"/>
    </row>
    <row r="836" spans="6:8" x14ac:dyDescent="0.25">
      <c r="F836" s="4"/>
      <c r="G836" s="3"/>
      <c r="H836" s="5"/>
    </row>
    <row r="837" spans="6:8" x14ac:dyDescent="0.25">
      <c r="F837" s="4"/>
      <c r="G837" s="3"/>
      <c r="H837" s="5"/>
    </row>
    <row r="838" spans="6:8" x14ac:dyDescent="0.25">
      <c r="F838" s="4"/>
      <c r="G838" s="3"/>
      <c r="H838" s="5"/>
    </row>
    <row r="839" spans="6:8" x14ac:dyDescent="0.25">
      <c r="F839" s="4"/>
      <c r="G839" s="3"/>
      <c r="H839" s="5"/>
    </row>
    <row r="840" spans="6:8" x14ac:dyDescent="0.25">
      <c r="F840" s="4"/>
      <c r="G840" s="3"/>
      <c r="H840" s="5"/>
    </row>
    <row r="841" spans="6:8" x14ac:dyDescent="0.25">
      <c r="F841" s="4"/>
      <c r="G841" s="3"/>
      <c r="H841" s="5"/>
    </row>
    <row r="842" spans="6:8" x14ac:dyDescent="0.25">
      <c r="F842" s="4"/>
      <c r="G842" s="3"/>
      <c r="H842" s="5"/>
    </row>
    <row r="843" spans="6:8" x14ac:dyDescent="0.25">
      <c r="F843" s="4"/>
      <c r="G843" s="3"/>
      <c r="H843" s="5"/>
    </row>
    <row r="844" spans="6:8" x14ac:dyDescent="0.25">
      <c r="F844" s="4"/>
      <c r="G844" s="3"/>
      <c r="H844" s="5"/>
    </row>
    <row r="845" spans="6:8" x14ac:dyDescent="0.25">
      <c r="F845" s="4"/>
      <c r="G845" s="3"/>
      <c r="H845" s="5"/>
    </row>
    <row r="846" spans="6:8" x14ac:dyDescent="0.25">
      <c r="F846" s="4"/>
      <c r="G846" s="3"/>
      <c r="H846" s="5"/>
    </row>
    <row r="847" spans="6:8" x14ac:dyDescent="0.25">
      <c r="F847" s="4"/>
      <c r="G847" s="3"/>
      <c r="H847" s="5"/>
    </row>
    <row r="848" spans="6:8" x14ac:dyDescent="0.25">
      <c r="F848" s="4"/>
      <c r="G848" s="3"/>
      <c r="H848" s="5"/>
    </row>
    <row r="849" spans="6:8" x14ac:dyDescent="0.25">
      <c r="F849" s="4"/>
      <c r="G849" s="3"/>
      <c r="H849" s="5"/>
    </row>
    <row r="850" spans="6:8" x14ac:dyDescent="0.25">
      <c r="F850" s="4"/>
      <c r="G850" s="3"/>
      <c r="H850" s="5"/>
    </row>
    <row r="851" spans="6:8" x14ac:dyDescent="0.25">
      <c r="F851" s="4"/>
      <c r="G851" s="3"/>
      <c r="H851" s="5"/>
    </row>
    <row r="852" spans="6:8" x14ac:dyDescent="0.25">
      <c r="F852" s="4"/>
      <c r="G852" s="3"/>
      <c r="H852" s="5"/>
    </row>
    <row r="853" spans="6:8" x14ac:dyDescent="0.25">
      <c r="F853" s="4"/>
      <c r="G853" s="3"/>
      <c r="H853" s="5"/>
    </row>
    <row r="854" spans="6:8" x14ac:dyDescent="0.25">
      <c r="F854" s="4"/>
      <c r="G854" s="3"/>
      <c r="H854" s="5"/>
    </row>
    <row r="855" spans="6:8" x14ac:dyDescent="0.25">
      <c r="F855" s="4"/>
      <c r="G855" s="3"/>
      <c r="H855" s="5"/>
    </row>
    <row r="856" spans="6:8" x14ac:dyDescent="0.25">
      <c r="F856" s="4"/>
      <c r="G856" s="3"/>
      <c r="H856" s="5"/>
    </row>
    <row r="857" spans="6:8" x14ac:dyDescent="0.25">
      <c r="F857" s="4"/>
      <c r="G857" s="3"/>
      <c r="H857" s="5"/>
    </row>
    <row r="858" spans="6:8" x14ac:dyDescent="0.25">
      <c r="F858" s="4"/>
      <c r="G858" s="3"/>
      <c r="H858" s="5"/>
    </row>
    <row r="859" spans="6:8" x14ac:dyDescent="0.25">
      <c r="F859" s="4"/>
      <c r="G859" s="3"/>
      <c r="H859" s="5"/>
    </row>
    <row r="860" spans="6:8" x14ac:dyDescent="0.25">
      <c r="F860" s="4"/>
      <c r="G860" s="3"/>
      <c r="H860" s="5"/>
    </row>
    <row r="861" spans="6:8" x14ac:dyDescent="0.25">
      <c r="F861" s="4"/>
      <c r="G861" s="3"/>
      <c r="H861" s="5"/>
    </row>
    <row r="862" spans="6:8" x14ac:dyDescent="0.25">
      <c r="F862" s="4"/>
      <c r="G862" s="3"/>
      <c r="H862" s="5"/>
    </row>
    <row r="863" spans="6:8" x14ac:dyDescent="0.25">
      <c r="F863" s="4"/>
      <c r="G863" s="3"/>
      <c r="H863" s="5"/>
    </row>
    <row r="864" spans="6:8" x14ac:dyDescent="0.25">
      <c r="F864" s="4"/>
      <c r="G864" s="3"/>
      <c r="H864" s="5"/>
    </row>
    <row r="865" spans="6:8" x14ac:dyDescent="0.25">
      <c r="F865" s="4"/>
      <c r="G865" s="3"/>
      <c r="H865" s="5"/>
    </row>
    <row r="866" spans="6:8" x14ac:dyDescent="0.25">
      <c r="F866" s="4"/>
      <c r="G866" s="3"/>
      <c r="H866" s="5"/>
    </row>
    <row r="867" spans="6:8" x14ac:dyDescent="0.25">
      <c r="F867" s="4"/>
      <c r="G867" s="3"/>
      <c r="H867" s="5"/>
    </row>
    <row r="868" spans="6:8" x14ac:dyDescent="0.25">
      <c r="F868" s="4"/>
      <c r="G868" s="3"/>
      <c r="H868" s="5"/>
    </row>
    <row r="869" spans="6:8" x14ac:dyDescent="0.25">
      <c r="F869" s="4"/>
      <c r="G869" s="3"/>
      <c r="H869" s="5"/>
    </row>
    <row r="870" spans="6:8" x14ac:dyDescent="0.25">
      <c r="F870" s="4"/>
      <c r="G870" s="3"/>
      <c r="H870" s="5"/>
    </row>
    <row r="871" spans="6:8" x14ac:dyDescent="0.25">
      <c r="F871" s="4"/>
      <c r="G871" s="3"/>
      <c r="H871" s="5"/>
    </row>
    <row r="872" spans="6:8" x14ac:dyDescent="0.25">
      <c r="F872" s="4"/>
      <c r="G872" s="3"/>
      <c r="H872" s="5"/>
    </row>
    <row r="873" spans="6:8" x14ac:dyDescent="0.25">
      <c r="F873" s="4"/>
      <c r="G873" s="3"/>
      <c r="H873" s="5"/>
    </row>
    <row r="874" spans="6:8" x14ac:dyDescent="0.25">
      <c r="F874" s="4"/>
      <c r="G874" s="3"/>
      <c r="H874" s="5"/>
    </row>
    <row r="875" spans="6:8" x14ac:dyDescent="0.25">
      <c r="F875" s="4"/>
      <c r="G875" s="3"/>
      <c r="H875" s="5"/>
    </row>
    <row r="876" spans="6:8" x14ac:dyDescent="0.25">
      <c r="F876" s="4"/>
      <c r="G876" s="3"/>
      <c r="H876" s="5"/>
    </row>
    <row r="877" spans="6:8" x14ac:dyDescent="0.25">
      <c r="F877" s="4"/>
      <c r="G877" s="3"/>
      <c r="H877" s="5"/>
    </row>
    <row r="878" spans="6:8" x14ac:dyDescent="0.25">
      <c r="F878" s="4"/>
      <c r="G878" s="3"/>
      <c r="H878" s="5"/>
    </row>
    <row r="879" spans="6:8" x14ac:dyDescent="0.25">
      <c r="F879" s="4"/>
      <c r="G879" s="3"/>
      <c r="H879" s="5"/>
    </row>
    <row r="880" spans="6:8" x14ac:dyDescent="0.25">
      <c r="F880" s="4"/>
      <c r="G880" s="3"/>
      <c r="H880" s="5"/>
    </row>
    <row r="881" spans="6:8" x14ac:dyDescent="0.25">
      <c r="F881" s="4"/>
      <c r="G881" s="3"/>
      <c r="H881" s="5"/>
    </row>
    <row r="882" spans="6:8" x14ac:dyDescent="0.25">
      <c r="F882" s="4"/>
      <c r="G882" s="3"/>
      <c r="H882" s="5"/>
    </row>
    <row r="883" spans="6:8" x14ac:dyDescent="0.25">
      <c r="F883" s="4"/>
      <c r="G883" s="3"/>
      <c r="H883" s="5"/>
    </row>
    <row r="884" spans="6:8" x14ac:dyDescent="0.25">
      <c r="F884" s="4"/>
      <c r="G884" s="3"/>
      <c r="H884" s="5"/>
    </row>
    <row r="885" spans="6:8" x14ac:dyDescent="0.25">
      <c r="F885" s="4"/>
      <c r="G885" s="3"/>
      <c r="H885" s="5"/>
    </row>
    <row r="886" spans="6:8" x14ac:dyDescent="0.25">
      <c r="F886" s="4"/>
      <c r="G886" s="3"/>
      <c r="H886" s="5"/>
    </row>
    <row r="887" spans="6:8" x14ac:dyDescent="0.25">
      <c r="F887" s="4"/>
      <c r="G887" s="3"/>
      <c r="H887" s="5"/>
    </row>
    <row r="888" spans="6:8" x14ac:dyDescent="0.25">
      <c r="F888" s="4"/>
      <c r="G888" s="3"/>
      <c r="H888" s="5"/>
    </row>
    <row r="889" spans="6:8" x14ac:dyDescent="0.25">
      <c r="F889" s="4"/>
      <c r="G889" s="3"/>
      <c r="H889" s="5"/>
    </row>
    <row r="890" spans="6:8" x14ac:dyDescent="0.25">
      <c r="F890" s="4"/>
      <c r="G890" s="3"/>
      <c r="H890" s="5"/>
    </row>
    <row r="891" spans="6:8" x14ac:dyDescent="0.25">
      <c r="F891" s="4"/>
      <c r="G891" s="3"/>
      <c r="H891" s="5"/>
    </row>
    <row r="892" spans="6:8" x14ac:dyDescent="0.25">
      <c r="F892" s="4"/>
      <c r="G892" s="3"/>
      <c r="H892" s="5"/>
    </row>
    <row r="893" spans="6:8" x14ac:dyDescent="0.25">
      <c r="F893" s="4"/>
      <c r="G893" s="3"/>
      <c r="H893" s="5"/>
    </row>
    <row r="894" spans="6:8" x14ac:dyDescent="0.25">
      <c r="F894" s="4"/>
      <c r="G894" s="3"/>
      <c r="H894" s="5"/>
    </row>
    <row r="895" spans="6:8" x14ac:dyDescent="0.25">
      <c r="F895" s="4"/>
      <c r="G895" s="3"/>
      <c r="H895" s="5"/>
    </row>
    <row r="896" spans="6:8" x14ac:dyDescent="0.25">
      <c r="F896" s="4"/>
      <c r="G896" s="3"/>
      <c r="H896" s="5"/>
    </row>
    <row r="897" spans="6:8" x14ac:dyDescent="0.25">
      <c r="F897" s="4"/>
      <c r="G897" s="3"/>
      <c r="H897" s="5"/>
    </row>
    <row r="898" spans="6:8" x14ac:dyDescent="0.25">
      <c r="F898" s="4"/>
      <c r="G898" s="3"/>
      <c r="H898" s="5"/>
    </row>
    <row r="899" spans="6:8" x14ac:dyDescent="0.25">
      <c r="F899" s="4"/>
      <c r="G899" s="3"/>
      <c r="H899" s="5"/>
    </row>
    <row r="900" spans="6:8" x14ac:dyDescent="0.25">
      <c r="F900" s="4"/>
      <c r="G900" s="3"/>
      <c r="H900" s="5"/>
    </row>
    <row r="901" spans="6:8" x14ac:dyDescent="0.25">
      <c r="F901" s="4"/>
      <c r="G901" s="3"/>
      <c r="H901" s="5"/>
    </row>
    <row r="902" spans="6:8" x14ac:dyDescent="0.25">
      <c r="F902" s="4"/>
      <c r="G902" s="3"/>
      <c r="H902" s="5"/>
    </row>
    <row r="903" spans="6:8" x14ac:dyDescent="0.25">
      <c r="F903" s="4"/>
      <c r="G903" s="3"/>
      <c r="H903" s="5"/>
    </row>
    <row r="904" spans="6:8" x14ac:dyDescent="0.25">
      <c r="F904" s="4"/>
      <c r="G904" s="3"/>
      <c r="H904" s="5"/>
    </row>
    <row r="905" spans="6:8" x14ac:dyDescent="0.25">
      <c r="F905" s="4"/>
      <c r="G905" s="3"/>
      <c r="H905" s="5"/>
    </row>
    <row r="906" spans="6:8" x14ac:dyDescent="0.25">
      <c r="F906" s="4"/>
      <c r="G906" s="3"/>
      <c r="H906" s="5"/>
    </row>
    <row r="907" spans="6:8" x14ac:dyDescent="0.25">
      <c r="F907" s="4"/>
      <c r="G907" s="3"/>
      <c r="H907" s="5"/>
    </row>
    <row r="908" spans="6:8" x14ac:dyDescent="0.25">
      <c r="F908" s="4"/>
      <c r="G908" s="3"/>
      <c r="H908" s="5"/>
    </row>
    <row r="909" spans="6:8" x14ac:dyDescent="0.25">
      <c r="F909" s="4"/>
      <c r="G909" s="3"/>
      <c r="H909" s="5"/>
    </row>
    <row r="910" spans="6:8" x14ac:dyDescent="0.25">
      <c r="F910" s="4"/>
      <c r="G910" s="3"/>
      <c r="H910" s="5"/>
    </row>
    <row r="911" spans="6:8" x14ac:dyDescent="0.25">
      <c r="F911" s="4"/>
      <c r="G911" s="3"/>
      <c r="H911" s="5"/>
    </row>
    <row r="912" spans="6:8" x14ac:dyDescent="0.25">
      <c r="F912" s="4"/>
      <c r="G912" s="3"/>
      <c r="H912" s="5"/>
    </row>
    <row r="913" spans="6:8" x14ac:dyDescent="0.25">
      <c r="F913" s="4"/>
      <c r="G913" s="3"/>
      <c r="H913" s="5"/>
    </row>
    <row r="914" spans="6:8" x14ac:dyDescent="0.25">
      <c r="F914" s="4"/>
      <c r="G914" s="3"/>
      <c r="H914" s="5"/>
    </row>
    <row r="915" spans="6:8" x14ac:dyDescent="0.25">
      <c r="F915" s="4"/>
      <c r="G915" s="3"/>
      <c r="H915" s="5"/>
    </row>
    <row r="916" spans="6:8" x14ac:dyDescent="0.25">
      <c r="F916" s="4"/>
      <c r="G916" s="3"/>
      <c r="H916" s="5"/>
    </row>
    <row r="917" spans="6:8" x14ac:dyDescent="0.25">
      <c r="F917" s="4"/>
      <c r="G917" s="3"/>
      <c r="H917" s="5"/>
    </row>
    <row r="918" spans="6:8" x14ac:dyDescent="0.25">
      <c r="F918" s="4"/>
      <c r="G918" s="3"/>
      <c r="H918" s="5"/>
    </row>
    <row r="919" spans="6:8" x14ac:dyDescent="0.25">
      <c r="F919" s="4"/>
      <c r="G919" s="3"/>
      <c r="H919" s="5"/>
    </row>
    <row r="920" spans="6:8" x14ac:dyDescent="0.25">
      <c r="F920" s="4"/>
      <c r="G920" s="3"/>
      <c r="H920" s="5"/>
    </row>
    <row r="921" spans="6:8" x14ac:dyDescent="0.25">
      <c r="F921" s="4"/>
      <c r="G921" s="3"/>
      <c r="H921" s="5"/>
    </row>
    <row r="922" spans="6:8" x14ac:dyDescent="0.25">
      <c r="F922" s="4"/>
      <c r="G922" s="3"/>
      <c r="H922" s="5"/>
    </row>
    <row r="923" spans="6:8" x14ac:dyDescent="0.25">
      <c r="F923" s="4"/>
      <c r="G923" s="3"/>
      <c r="H923" s="5"/>
    </row>
    <row r="924" spans="6:8" x14ac:dyDescent="0.25">
      <c r="F924" s="4"/>
      <c r="G924" s="3"/>
      <c r="H924" s="5"/>
    </row>
    <row r="925" spans="6:8" x14ac:dyDescent="0.25">
      <c r="F925" s="4"/>
      <c r="G925" s="3"/>
      <c r="H925" s="5"/>
    </row>
    <row r="926" spans="6:8" x14ac:dyDescent="0.25">
      <c r="F926" s="4"/>
      <c r="G926" s="3"/>
      <c r="H926" s="5"/>
    </row>
    <row r="927" spans="6:8" x14ac:dyDescent="0.25">
      <c r="F927" s="4"/>
      <c r="G927" s="3"/>
      <c r="H927" s="5"/>
    </row>
    <row r="928" spans="6:8" x14ac:dyDescent="0.25">
      <c r="F928" s="4"/>
      <c r="G928" s="3"/>
      <c r="H928" s="5"/>
    </row>
    <row r="929" spans="6:8" x14ac:dyDescent="0.25">
      <c r="F929" s="4"/>
      <c r="G929" s="3"/>
      <c r="H929" s="5"/>
    </row>
    <row r="930" spans="6:8" x14ac:dyDescent="0.25">
      <c r="F930" s="4"/>
      <c r="G930" s="3"/>
      <c r="H930" s="5"/>
    </row>
    <row r="931" spans="6:8" x14ac:dyDescent="0.25">
      <c r="F931" s="4"/>
      <c r="G931" s="3"/>
      <c r="H931" s="5"/>
    </row>
    <row r="932" spans="6:8" x14ac:dyDescent="0.25">
      <c r="F932" s="4"/>
      <c r="G932" s="3"/>
      <c r="H932" s="5"/>
    </row>
    <row r="933" spans="6:8" x14ac:dyDescent="0.25">
      <c r="F933" s="4"/>
      <c r="G933" s="3"/>
      <c r="H933" s="5"/>
    </row>
    <row r="934" spans="6:8" x14ac:dyDescent="0.25">
      <c r="F934" s="4"/>
      <c r="G934" s="3"/>
      <c r="H934" s="5"/>
    </row>
    <row r="935" spans="6:8" x14ac:dyDescent="0.25">
      <c r="F935" s="4"/>
      <c r="G935" s="3"/>
      <c r="H935" s="5"/>
    </row>
    <row r="936" spans="6:8" x14ac:dyDescent="0.25">
      <c r="F936" s="4"/>
      <c r="G936" s="3"/>
      <c r="H936" s="5"/>
    </row>
    <row r="937" spans="6:8" x14ac:dyDescent="0.25">
      <c r="F937" s="4"/>
      <c r="G937" s="3"/>
      <c r="H937" s="5"/>
    </row>
    <row r="938" spans="6:8" x14ac:dyDescent="0.25">
      <c r="F938" s="4"/>
      <c r="G938" s="3"/>
      <c r="H938" s="5"/>
    </row>
    <row r="939" spans="6:8" x14ac:dyDescent="0.25">
      <c r="F939" s="4"/>
      <c r="G939" s="3"/>
      <c r="H939" s="5"/>
    </row>
    <row r="940" spans="6:8" x14ac:dyDescent="0.25">
      <c r="F940" s="4"/>
      <c r="G940" s="3"/>
      <c r="H940" s="5"/>
    </row>
    <row r="941" spans="6:8" x14ac:dyDescent="0.25">
      <c r="F941" s="4"/>
      <c r="G941" s="3"/>
      <c r="H941" s="5"/>
    </row>
    <row r="942" spans="6:8" x14ac:dyDescent="0.25">
      <c r="F942" s="4"/>
      <c r="G942" s="3"/>
      <c r="H942" s="5"/>
    </row>
    <row r="943" spans="6:8" x14ac:dyDescent="0.25">
      <c r="F943" s="4"/>
      <c r="G943" s="3"/>
      <c r="H943" s="5"/>
    </row>
    <row r="944" spans="6:8" x14ac:dyDescent="0.25">
      <c r="F944" s="4"/>
      <c r="G944" s="3"/>
      <c r="H944" s="5"/>
    </row>
    <row r="945" spans="6:8" x14ac:dyDescent="0.25">
      <c r="F945" s="4"/>
      <c r="G945" s="3"/>
      <c r="H945" s="5"/>
    </row>
    <row r="946" spans="6:8" x14ac:dyDescent="0.25">
      <c r="F946" s="4"/>
      <c r="G946" s="3"/>
      <c r="H946" s="5"/>
    </row>
    <row r="947" spans="6:8" x14ac:dyDescent="0.25">
      <c r="F947" s="4"/>
      <c r="G947" s="3"/>
      <c r="H947" s="5"/>
    </row>
    <row r="948" spans="6:8" x14ac:dyDescent="0.25">
      <c r="F948" s="4"/>
      <c r="G948" s="3"/>
      <c r="H948" s="5"/>
    </row>
    <row r="949" spans="6:8" x14ac:dyDescent="0.25">
      <c r="F949" s="4"/>
      <c r="G949" s="3"/>
      <c r="H949" s="5"/>
    </row>
    <row r="950" spans="6:8" x14ac:dyDescent="0.25">
      <c r="F950" s="4"/>
      <c r="G950" s="3"/>
      <c r="H950" s="5"/>
    </row>
    <row r="951" spans="6:8" x14ac:dyDescent="0.25">
      <c r="F951" s="4"/>
      <c r="G951" s="3"/>
      <c r="H951" s="5"/>
    </row>
    <row r="952" spans="6:8" x14ac:dyDescent="0.25">
      <c r="F952" s="4"/>
      <c r="G952" s="3"/>
      <c r="H952" s="5"/>
    </row>
    <row r="953" spans="6:8" x14ac:dyDescent="0.25">
      <c r="F953" s="4"/>
      <c r="G953" s="3"/>
      <c r="H953" s="5"/>
    </row>
    <row r="954" spans="6:8" x14ac:dyDescent="0.25">
      <c r="F954" s="4"/>
      <c r="G954" s="3"/>
      <c r="H954" s="5"/>
    </row>
    <row r="955" spans="6:8" x14ac:dyDescent="0.25">
      <c r="F955" s="4"/>
      <c r="G955" s="3"/>
      <c r="H955" s="5"/>
    </row>
    <row r="956" spans="6:8" x14ac:dyDescent="0.25">
      <c r="F956" s="4"/>
      <c r="G956" s="3"/>
      <c r="H956" s="5"/>
    </row>
    <row r="957" spans="6:8" x14ac:dyDescent="0.25">
      <c r="F957" s="4"/>
      <c r="G957" s="3"/>
      <c r="H957" s="5"/>
    </row>
    <row r="958" spans="6:8" x14ac:dyDescent="0.25">
      <c r="F958" s="4"/>
      <c r="G958" s="3"/>
      <c r="H958" s="5"/>
    </row>
    <row r="959" spans="6:8" x14ac:dyDescent="0.25">
      <c r="F959" s="4"/>
      <c r="G959" s="3"/>
      <c r="H959" s="5"/>
    </row>
    <row r="960" spans="6:8" x14ac:dyDescent="0.25">
      <c r="F960" s="4"/>
      <c r="G960" s="3"/>
      <c r="H960" s="5"/>
    </row>
    <row r="961" spans="6:8" x14ac:dyDescent="0.25">
      <c r="F961" s="4"/>
      <c r="G961" s="3"/>
      <c r="H961" s="5"/>
    </row>
    <row r="962" spans="6:8" x14ac:dyDescent="0.25">
      <c r="F962" s="4"/>
      <c r="G962" s="3"/>
      <c r="H9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NBES Historical Data</vt:lpstr>
      <vt:lpstr>BRW VaR @ NBES</vt:lpstr>
      <vt:lpstr>BRW VaR @ NBES (2)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Lakpa Khumanlambam</dc:creator>
  <cp:lastModifiedBy>SHUSHANT BARNAWAL</cp:lastModifiedBy>
  <dcterms:created xsi:type="dcterms:W3CDTF">2025-11-19T05:49:59Z</dcterms:created>
  <dcterms:modified xsi:type="dcterms:W3CDTF">2026-01-30T17:59:58Z</dcterms:modified>
</cp:coreProperties>
</file>